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x" sheetId="1" r:id="rId4"/>
    <sheet state="visible" name="Brawly Split" sheetId="2" r:id="rId5"/>
    <sheet state="hidden" name="Sprites" sheetId="3" r:id="rId6"/>
    <sheet state="visible" name="Roxanne Split" sheetId="4" r:id="rId7"/>
    <sheet state="visible" name="Wattson Split" sheetId="5" r:id="rId8"/>
    <sheet state="visible" name="Norman Split" sheetId="6" r:id="rId9"/>
    <sheet state="visible" name="Flannery Split" sheetId="7" r:id="rId10"/>
    <sheet state="visible" name="Winona Split" sheetId="8" r:id="rId11"/>
    <sheet state="visible" name="Tate &amp; Liza Split" sheetId="9" r:id="rId12"/>
    <sheet state="visible" name="Juan Split" sheetId="10" r:id="rId13"/>
    <sheet state="visible" name="Victory Road Split" sheetId="11" r:id="rId14"/>
    <sheet state="visible" name="Pokémon League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Trainers whose Pokémon don't have listed moves will have level-up movesets.</t>
      </text>
    </comment>
    <comment authorId="0" ref="I182">
      <text>
        <t xml:space="preserve">This fight guards a rare candy.</t>
      </text>
    </comment>
    <comment authorId="0" ref="I194">
      <text>
        <t xml:space="preserve">Consecutive battles with no healing in between Grunts 1 and 2.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0">
      <text>
        <t xml:space="preserve">This route can be done before or after Roxanne.</t>
      </text>
    </comment>
    <comment authorId="0" ref="I92">
      <text>
        <t xml:space="preserve">You must do this and the next trainer with out leaving to get a rare candy.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Consecutive battles with no healing inbetween from Victor to Vicky.</t>
      </text>
    </comment>
    <comment authorId="0" ref="I46">
      <text>
        <t xml:space="preserve">Permanent Sandstorm starting here</t>
      </text>
    </comment>
    <comment authorId="0" ref="I135">
      <text>
        <t xml:space="preserve">Last trainer in the Sandstorm area</t>
      </text>
    </comment>
    <comment authorId="0" ref="I268">
      <text>
        <t xml:space="preserve">Must be done as a double with Lawrence approached from the top to obtain a Shed Shell.</t>
      </text>
    </comment>
    <comment authorId="0" ref="I402">
      <text>
        <t xml:space="preserve">Gauntlet with no access to a PokéCenter from Steve to Hector.</t>
      </text>
    </comment>
    <comment authorId="0" ref="I582">
      <text>
        <t xml:space="preserve">Gauntlet with no access to a PokéCenter from Julio to Diana.</t>
      </text>
    </comment>
    <comment authorId="0" ref="I649">
      <text>
        <t xml:space="preserve">Gauntlet with no access to a PokéCenter from Gerald to Axle.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1">
      <text>
        <t xml:space="preserve">Guards Beedrillite</t>
      </text>
    </comment>
    <comment authorId="0" ref="I237">
      <text>
        <t xml:space="preserve">Guards Lopunnite</t>
      </text>
    </comment>
    <comment authorId="0" ref="I304">
      <text>
        <t xml:space="preserve">Guards Audinite</t>
      </text>
    </comment>
    <comment authorId="0" ref="I449">
      <text>
        <t xml:space="preserve">Fights up until Weather Institute are in Rain</t>
      </text>
    </comment>
    <comment authorId="0" ref="I649">
      <text>
        <t xml:space="preserve">Fights up until Fortree are in Rain + Electric Terrain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Rain until Jennifer &amp; Callie</t>
      </text>
    </comment>
    <comment authorId="0" ref="I24">
      <text>
        <t xml:space="preserve">Last trainers in Rain</t>
      </text>
    </comment>
    <comment authorId="0" ref="I146">
      <text>
        <t xml:space="preserve">Guarding Safari Zone.</t>
      </text>
    </comment>
    <comment authorId="0" ref="I346">
      <text>
        <t xml:space="preserve">Gauntlet with no access to a PokéCenter from Kayla to Aqua Grunt 2.</t>
      </text>
    </comment>
    <comment authorId="0" ref="I368">
      <text>
        <t xml:space="preserve">Consecutive battles with no healing in between Aqua Grunts 1 and 2.</t>
      </text>
    </comment>
    <comment authorId="0" ref="I390">
      <text>
        <t xml:space="preserve">Mt. Pyre Summit, permanent Tailwind.</t>
      </text>
    </comment>
    <comment authorId="0" ref="I567">
      <text>
        <t xml:space="preserve">Magma Hideout Final Room, permanent Magma Storm.</t>
      </text>
    </comment>
    <comment authorId="0" ref="I844">
      <text>
        <t xml:space="preserve">Guards Manectite</t>
      </text>
    </comment>
    <comment authorId="0" ref="I855">
      <text>
        <t xml:space="preserve">Guards access to Shoal Cave</t>
      </text>
    </comment>
    <comment authorId="0" ref="I933">
      <text>
        <t xml:space="preserve">!Consecutive battles with no healing in between Tate and Liza.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6">
      <text>
        <t xml:space="preserve">Consecutive battles with no healing in between from Grunt 5 to 7.</t>
      </text>
    </comment>
    <comment authorId="0" ref="I191">
      <text>
        <t xml:space="preserve">Guards Aerodactylite</t>
      </text>
    </comment>
    <comment authorId="0" ref="I214">
      <text>
        <t xml:space="preserve">Guards Pinsirite</t>
      </text>
    </comment>
    <comment authorId="0" ref="I225">
      <text>
        <t xml:space="preserve">Guards Banettite</t>
      </text>
    </comment>
    <comment authorId="0" ref="I326">
      <text>
        <t xml:space="preserve">Seafloor Cavern, permanent Aurora Veil</t>
      </text>
    </comment>
    <comment authorId="0" ref="I348">
      <text>
        <t xml:space="preserve">Gauntlet with no access to a PokéCenter between Grunts 3 and 4. </t>
      </text>
    </comment>
    <comment authorId="0" ref="I392">
      <text>
        <t xml:space="preserve">Permanent Aurora Veil effect removed for Archie.</t>
      </text>
    </comment>
    <comment authorId="0" ref="I404">
      <text>
        <t xml:space="preserve">Sunny.</t>
      </text>
    </comment>
    <comment authorId="0" ref="I415">
      <text>
        <t xml:space="preserve">Sunny.</t>
      </text>
    </comment>
    <comment authorId="0" ref="I426">
      <text>
        <t xml:space="preserve">Rain.</t>
      </text>
    </comment>
    <comment authorId="0" ref="I437">
      <text>
        <t xml:space="preserve">Rain + Electric Terrain.</t>
      </text>
    </comment>
    <comment authorId="0" ref="I449">
      <text>
        <t xml:space="preserve">Rain.</t>
      </text>
    </comment>
    <comment authorId="0" ref="I460">
      <text>
        <t xml:space="preserve">Rain.</t>
      </text>
    </comment>
    <comment authorId="0" ref="I483">
      <text>
        <t xml:space="preserve">Sunny.</t>
      </text>
    </comment>
    <comment authorId="0" ref="I494">
      <text>
        <t xml:space="preserve">Sunny.</t>
      </text>
    </comment>
    <comment authorId="0" ref="I505">
      <text>
        <t xml:space="preserve">Sunny.</t>
      </text>
    </comment>
    <comment authorId="0" ref="I516">
      <text>
        <t xml:space="preserve">Rain.</t>
      </text>
    </comment>
    <comment authorId="0" ref="I683">
      <text>
        <t xml:space="preserve">Guards Gyaradosite</t>
      </text>
    </comment>
    <comment authorId="0" ref="I795">
      <text>
        <t xml:space="preserve">Gauntlet with no access to a PokéCenter from Andrea to Bridget.</t>
      </text>
    </comment>
    <comment authorId="0" ref="I806">
      <text>
        <t xml:space="preserve">Permanent Hail.</t>
      </text>
    </comment>
    <comment authorId="0" ref="I850">
      <text>
        <t xml:space="preserve">Consecutive battles with no healing in between Brianna and Pearl.</t>
      </text>
    </comment>
    <comment authorId="0" ref="I861">
      <text>
        <t xml:space="preserve">Permanent Hail.</t>
      </text>
    </comment>
    <comment authorId="0" ref="I872">
      <text>
        <t xml:space="preserve">Permanent Hail.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23">
      <text>
        <t xml:space="preserve">Rain. Guards Scizorite.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You can opt into any two doubles but you must do exactly two.</t>
      </text>
    </comment>
  </commentList>
</comments>
</file>

<file path=xl/sharedStrings.xml><?xml version="1.0" encoding="utf-8"?>
<sst xmlns="http://schemas.openxmlformats.org/spreadsheetml/2006/main" count="29131" uniqueCount="2753">
  <si>
    <t>Pokemon</t>
  </si>
  <si>
    <t>Name in file</t>
  </si>
  <si>
    <t>Sprite</t>
  </si>
  <si>
    <t>Bulbasaur</t>
  </si>
  <si>
    <t>Ivysaur</t>
  </si>
  <si>
    <t>Venusaur</t>
  </si>
  <si>
    <t>Venusaur-Gmax</t>
  </si>
  <si>
    <t>Venusaur-Mega</t>
  </si>
  <si>
    <t>Charmander</t>
  </si>
  <si>
    <t>Charmeleon</t>
  </si>
  <si>
    <t>Charizard</t>
  </si>
  <si>
    <t>Charizard-Gmax</t>
  </si>
  <si>
    <t>Charizard-Mega-X</t>
  </si>
  <si>
    <t>charizard-megax</t>
  </si>
  <si>
    <t>Charizard-Mega-Y</t>
  </si>
  <si>
    <t>charizard-megay</t>
  </si>
  <si>
    <t>Squirtle</t>
  </si>
  <si>
    <t>Wartortle</t>
  </si>
  <si>
    <t>Blastoise</t>
  </si>
  <si>
    <t>Blastoise-Gmax</t>
  </si>
  <si>
    <t>Blastoise-Mega</t>
  </si>
  <si>
    <t>Caterpie</t>
  </si>
  <si>
    <t>Metapod</t>
  </si>
  <si>
    <t>Butterfree</t>
  </si>
  <si>
    <t>Butterfree-Gmax</t>
  </si>
  <si>
    <t>Weedle</t>
  </si>
  <si>
    <t>Kakuna</t>
  </si>
  <si>
    <t>Beedrill</t>
  </si>
  <si>
    <t>Beedrill-Mega</t>
  </si>
  <si>
    <t>Pidgey</t>
  </si>
  <si>
    <t>Pidgeotto</t>
  </si>
  <si>
    <t>Pidgeot</t>
  </si>
  <si>
    <t>Pidgeot-Mega</t>
  </si>
  <si>
    <t>Rattata</t>
  </si>
  <si>
    <t>Rattata-Alola</t>
  </si>
  <si>
    <t>Raticate</t>
  </si>
  <si>
    <t>Raticate-Alola</t>
  </si>
  <si>
    <t>Spearow</t>
  </si>
  <si>
    <t>Fearow</t>
  </si>
  <si>
    <t>Ekans</t>
  </si>
  <si>
    <t>Arbok</t>
  </si>
  <si>
    <t>Pikachu</t>
  </si>
  <si>
    <t>Pikachu-Gmax</t>
  </si>
  <si>
    <t>Raichu</t>
  </si>
  <si>
    <t>Raichu-Alola</t>
  </si>
  <si>
    <t>Sandshrew</t>
  </si>
  <si>
    <t>Sandshrew-Alola</t>
  </si>
  <si>
    <t>Sandslash</t>
  </si>
  <si>
    <t>Sandslash-Alola</t>
  </si>
  <si>
    <t>Nidoran-F</t>
  </si>
  <si>
    <t>nidoranf</t>
  </si>
  <si>
    <t>Nidorina</t>
  </si>
  <si>
    <t>Nidoqueen</t>
  </si>
  <si>
    <t>Nidoran-M</t>
  </si>
  <si>
    <t>nidoranm</t>
  </si>
  <si>
    <t>Nidorino</t>
  </si>
  <si>
    <t>Nidoking</t>
  </si>
  <si>
    <t>Clefairy</t>
  </si>
  <si>
    <t>Clefable</t>
  </si>
  <si>
    <t>Vulpix</t>
  </si>
  <si>
    <t>Vulpix-Alola</t>
  </si>
  <si>
    <t>Ninetales</t>
  </si>
  <si>
    <t>Ninetales-Alola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</si>
  <si>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</si>
  <si>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</si>
  <si>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</si>
  <si>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</si>
  <si>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</si>
  <si>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</si>
  <si>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</si>
  <si>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</si>
  <si>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</si>
  <si>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</si>
  <si>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</si>
  <si>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</si>
  <si>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Diglett-Alola</t>
  </si>
  <si>
    <t>Dugtrio</t>
  </si>
  <si>
    <t>Dugtrio-Alola</t>
  </si>
  <si>
    <t>Meowth</t>
  </si>
  <si>
    <t>Meowth-Alola</t>
  </si>
  <si>
    <t>Meowth-Galar</t>
  </si>
  <si>
    <t>Meowth-Gmax</t>
  </si>
  <si>
    <t>Persian</t>
  </si>
  <si>
    <t>Persian-Alola</t>
  </si>
  <si>
    <t>Psyduck</t>
  </si>
  <si>
    <t>Golduck</t>
  </si>
  <si>
    <t>Mankey</t>
  </si>
  <si>
    <t>Primeape</t>
  </si>
  <si>
    <t>Growlithe</t>
  </si>
  <si>
    <t>Growlithe-Hisui</t>
  </si>
  <si>
    <t>Arcanine</t>
  </si>
  <si>
    <t>Arcanine-Hisui</t>
  </si>
  <si>
    <t>Poliwag</t>
  </si>
  <si>
    <t>Poliwhirl</t>
  </si>
  <si>
    <t>Poliwrath</t>
  </si>
  <si>
    <t>Abra</t>
  </si>
  <si>
    <t>Kadabra</t>
  </si>
  <si>
    <t>Alakazam</t>
  </si>
  <si>
    <t>Alakazam-Mega</t>
  </si>
  <si>
    <t>Machop</t>
  </si>
  <si>
    <t>Machoke</t>
  </si>
  <si>
    <t>Machamp</t>
  </si>
  <si>
    <t>Machamp-Gmax</t>
  </si>
  <si>
    <t>Bellsprout</t>
  </si>
  <si>
    <t>Weepinbell</t>
  </si>
  <si>
    <t>Victreebel</t>
  </si>
  <si>
    <t>Tentacool</t>
  </si>
  <si>
    <t>Tentacruel</t>
  </si>
  <si>
    <t>Geodude</t>
  </si>
  <si>
    <t>Geodude-Alola</t>
  </si>
  <si>
    <t>Graveler</t>
  </si>
  <si>
    <t>Graveler-Alola</t>
  </si>
  <si>
    <t>Golem</t>
  </si>
  <si>
    <t>Golem-Alola</t>
  </si>
  <si>
    <t>Ponyta</t>
  </si>
  <si>
    <t>Ponyta-Galar</t>
  </si>
  <si>
    <t>Rapidash</t>
  </si>
  <si>
    <t>Rapidash-Galar</t>
  </si>
  <si>
    <t>Slowpoke</t>
  </si>
  <si>
    <t>Slowpoke-Galar</t>
  </si>
  <si>
    <t>Slowbro</t>
  </si>
  <si>
    <t>Slowbro-Galar</t>
  </si>
  <si>
    <t>Slowbro-Mega</t>
  </si>
  <si>
    <t>Magnemite</t>
  </si>
  <si>
    <t>Magneton</t>
  </si>
  <si>
    <t>Farfetch’d</t>
  </si>
  <si>
    <t>farfetchd</t>
  </si>
  <si>
    <t>Farfetch’d-Galar</t>
  </si>
  <si>
    <t>farfetchd-galar</t>
  </si>
  <si>
    <t>Doduo</t>
  </si>
  <si>
    <t>Dodrio</t>
  </si>
  <si>
    <t>Seel</t>
  </si>
  <si>
    <t>Dewgong</t>
  </si>
  <si>
    <t>Grimer</t>
  </si>
  <si>
    <t>Grimer-Alola</t>
  </si>
  <si>
    <t>Muk</t>
  </si>
  <si>
    <t>Muk-Alola</t>
  </si>
  <si>
    <t>Shellder</t>
  </si>
  <si>
    <t>Cloyster</t>
  </si>
  <si>
    <t>Gastly</t>
  </si>
  <si>
    <t>Haunter</t>
  </si>
  <si>
    <t>Gengar</t>
  </si>
  <si>
    <t>Gengar-Gmax</t>
  </si>
  <si>
    <t>Gengar-Mega</t>
  </si>
  <si>
    <t>Onix</t>
  </si>
  <si>
    <t>Drowzee</t>
  </si>
  <si>
    <t>Hypno</t>
  </si>
  <si>
    <t>Krabby</t>
  </si>
  <si>
    <t>Kingler</t>
  </si>
  <si>
    <t>Kingler-Gmax</t>
  </si>
  <si>
    <t>Voltorb</t>
  </si>
  <si>
    <t>Voltorb-Hisui</t>
  </si>
  <si>
    <t>Electrode</t>
  </si>
  <si>
    <t>Electrode-Hisui</t>
  </si>
  <si>
    <t>Exeggcute</t>
  </si>
  <si>
    <t>Exeggutor</t>
  </si>
  <si>
    <t>Exeggutor-Alola</t>
  </si>
  <si>
    <t>Cubone</t>
  </si>
  <si>
    <t>Marowak</t>
  </si>
  <si>
    <t>Marowak-Alola</t>
  </si>
  <si>
    <t>Hitmonlee</t>
  </si>
  <si>
    <t>Hitmonchan</t>
  </si>
  <si>
    <t>Lickitung</t>
  </si>
  <si>
    <t>Koffing</t>
  </si>
  <si>
    <t>Weezing</t>
  </si>
  <si>
    <t>Weezing-Galar</t>
  </si>
  <si>
    <t>Rhyhorn</t>
  </si>
  <si>
    <t>Rhydon</t>
  </si>
  <si>
    <t>Chansey</t>
  </si>
  <si>
    <t>Tangela</t>
  </si>
  <si>
    <t>Kangaskhan</t>
  </si>
  <si>
    <t>Kangaskhan-Mega</t>
  </si>
  <si>
    <t>Horsea</t>
  </si>
  <si>
    <t>Seadra</t>
  </si>
  <si>
    <t>Goldeen</t>
  </si>
  <si>
    <t>Seaking</t>
  </si>
  <si>
    <t>Staryu</t>
  </si>
  <si>
    <t>Starmie</t>
  </si>
  <si>
    <t>Mr. Mime</t>
  </si>
  <si>
    <t>mrmime</t>
  </si>
  <si>
    <t>Mr. Mime-Galar</t>
  </si>
  <si>
    <t>mrmime-galar</t>
  </si>
  <si>
    <t>Scyther</t>
  </si>
  <si>
    <t>Jynx</t>
  </si>
  <si>
    <t>Electabuzz</t>
  </si>
  <si>
    <t>Magmar</t>
  </si>
  <si>
    <t>Pinsir</t>
  </si>
  <si>
    <t>Pinsir-Mega</t>
  </si>
  <si>
    <t>Tauros</t>
  </si>
  <si>
    <t>Tauros-Paldea-Combat</t>
  </si>
  <si>
    <t>Tauros-Paldea-Blaze</t>
  </si>
  <si>
    <t>Tauros-Paldea-Aqua</t>
  </si>
  <si>
    <t>Magikarp</t>
  </si>
  <si>
    <t>Gyarados</t>
  </si>
  <si>
    <t>Gyarados-Mega</t>
  </si>
  <si>
    <t>Lapras</t>
  </si>
  <si>
    <t>Lapras-Gmax</t>
  </si>
  <si>
    <t>Ditto</t>
  </si>
  <si>
    <t>Eevee</t>
  </si>
  <si>
    <t>Eevee-Gmax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</si>
  <si>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</si>
  <si>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</si>
  <si>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</si>
  <si>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</si>
  <si>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</si>
  <si>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</si>
  <si>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</si>
  <si>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</si>
  <si>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</si>
  <si>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Aerodactyl-Mega</t>
  </si>
  <si>
    <t>Snorlax</t>
  </si>
  <si>
    <t>Snorlax-Gmax</t>
  </si>
  <si>
    <t>Articuno</t>
  </si>
  <si>
    <t>Articuno-Galar</t>
  </si>
  <si>
    <t>Zapdos</t>
  </si>
  <si>
    <t>Zapdos-Galar</t>
  </si>
  <si>
    <t>Moltres</t>
  </si>
  <si>
    <t>Moltres-Galar</t>
  </si>
  <si>
    <t>Dratini</t>
  </si>
  <si>
    <t>Dragonair</t>
  </si>
  <si>
    <t>Dragonite</t>
  </si>
  <si>
    <t>Mewtwo</t>
  </si>
  <si>
    <t>Mewtwo-Mega-X</t>
  </si>
  <si>
    <t>mewtwo-megax</t>
  </si>
  <si>
    <t>Mewtwo-Mega-Y</t>
  </si>
  <si>
    <t>mewtwo-megay</t>
  </si>
  <si>
    <t>Mew</t>
  </si>
  <si>
    <t>Chikorita</t>
  </si>
  <si>
    <t>Bayleef</t>
  </si>
  <si>
    <t>Meganium</t>
  </si>
  <si>
    <t>Cyndaquil</t>
  </si>
  <si>
    <t>Quilava</t>
  </si>
  <si>
    <t>Typhlosion</t>
  </si>
  <si>
    <t>Typhlosion-Hisui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</si>
  <si>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</si>
  <si>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</si>
  <si>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</si>
  <si>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</si>
  <si>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</si>
  <si>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</si>
  <si>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</si>
  <si>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</si>
  <si>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</si>
  <si>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</si>
  <si>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</si>
  <si>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</si>
  <si>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</si>
  <si>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</si>
  <si>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</si>
  <si>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</si>
  <si>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</si>
  <si>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</si>
  <si>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</si>
  <si>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</si>
  <si>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</si>
  <si>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</si>
  <si>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</si>
  <si>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</si>
  <si>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Ampharos-Mega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</si>
  <si>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</si>
  <si>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</si>
  <si>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</si>
  <si>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</si>
  <si>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</si>
  <si>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</si>
  <si>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</si>
  <si>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</si>
  <si>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</si>
  <si>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</si>
  <si>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</si>
  <si>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</si>
  <si>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</si>
  <si>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Wooper-Paldea</t>
  </si>
  <si>
    <t>Quagsire</t>
  </si>
  <si>
    <t>Espeon</t>
  </si>
  <si>
    <t>Umbreon</t>
  </si>
  <si>
    <t>Murkrow</t>
  </si>
  <si>
    <t>Slowking</t>
  </si>
  <si>
    <t>Slowking-Galar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</si>
  <si>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</si>
  <si>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</si>
  <si>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</si>
  <si>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</si>
  <si>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</si>
  <si>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</si>
  <si>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</si>
  <si>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</si>
  <si>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</si>
  <si>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Steelix-Mega</t>
  </si>
  <si>
    <t>Snubbull</t>
  </si>
  <si>
    <t>Granbull</t>
  </si>
  <si>
    <t>Qwilfish</t>
  </si>
  <si>
    <t>Qwilfish-Hisui</t>
  </si>
  <si>
    <t>Scizor</t>
  </si>
  <si>
    <t>Scizor-Mega</t>
  </si>
  <si>
    <t>Shuckle</t>
  </si>
  <si>
    <t>Heracross</t>
  </si>
  <si>
    <t>Heracross-Mega</t>
  </si>
  <si>
    <t>Sneasel</t>
  </si>
  <si>
    <t>Sneasel-Hisui</t>
  </si>
  <si>
    <t>Teddiursa</t>
  </si>
  <si>
    <t>Ursaring</t>
  </si>
  <si>
    <t>Slugma</t>
  </si>
  <si>
    <t>Magcargo</t>
  </si>
  <si>
    <t>Swinub</t>
  </si>
  <si>
    <t>Piloswine</t>
  </si>
  <si>
    <t>Corsola</t>
  </si>
  <si>
    <t>Corsola-Galar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</si>
  <si>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</si>
  <si>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</si>
  <si>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</si>
  <si>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</si>
  <si>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</si>
  <si>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</si>
  <si>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</si>
  <si>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Houndoom-Mega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</si>
  <si>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</si>
  <si>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</si>
  <si>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</si>
  <si>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</si>
  <si>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</si>
  <si>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</si>
  <si>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</si>
  <si>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</si>
  <si>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</si>
  <si>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</si>
  <si>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</si>
  <si>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</si>
  <si>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</si>
  <si>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</si>
  <si>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</si>
  <si>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</si>
  <si>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</si>
  <si>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</si>
  <si>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</si>
  <si>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Tyranitar-Mega</t>
  </si>
  <si>
    <t>Lugia</t>
  </si>
  <si>
    <t>Ho-Oh</t>
  </si>
  <si>
    <t>hooh</t>
  </si>
  <si>
    <t>Celebi</t>
  </si>
  <si>
    <t>Treecko</t>
  </si>
  <si>
    <t>Grovyle</t>
  </si>
  <si>
    <t>Sceptile</t>
  </si>
  <si>
    <t>Sceptile-Mega</t>
  </si>
  <si>
    <t>Torchic</t>
  </si>
  <si>
    <t>Combusken</t>
  </si>
  <si>
    <t>Blaziken</t>
  </si>
  <si>
    <t>Blaziken-Mega</t>
  </si>
  <si>
    <t>Mudkip</t>
  </si>
  <si>
    <t>Marshtomp</t>
  </si>
  <si>
    <t>Swampert</t>
  </si>
  <si>
    <t>Swampert-Mega</t>
  </si>
  <si>
    <t>Poochyena</t>
  </si>
  <si>
    <t>Mightyena</t>
  </si>
  <si>
    <t>Zigzagoon</t>
  </si>
  <si>
    <t>Zigzagoon-Galar</t>
  </si>
  <si>
    <t>Linoone</t>
  </si>
  <si>
    <t>Linoone-Galar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</si>
  <si>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</si>
  <si>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</si>
  <si>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</si>
  <si>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</si>
  <si>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</si>
  <si>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</si>
  <si>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</si>
  <si>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</si>
  <si>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</si>
  <si>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</si>
  <si>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</si>
  <si>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</si>
  <si>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</si>
  <si>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</si>
  <si>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</si>
  <si>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</si>
  <si>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</si>
  <si>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</si>
  <si>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Gardevoir-Mega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</si>
  <si>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</si>
  <si>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</si>
  <si>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</si>
  <si>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</si>
  <si>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</si>
  <si>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</si>
  <si>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</si>
  <si>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</si>
  <si>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</si>
  <si>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</si>
  <si>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</si>
  <si>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</si>
  <si>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</si>
  <si>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</si>
  <si>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</si>
  <si>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</si>
  <si>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</si>
  <si>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</si>
  <si>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</si>
  <si>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</si>
  <si>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Sableye-Mega</t>
  </si>
  <si>
    <t>Mawile</t>
  </si>
  <si>
    <t>Mawile-Mega</t>
  </si>
  <si>
    <t>Aron</t>
  </si>
  <si>
    <t>Lairon</t>
  </si>
  <si>
    <t>Aggron</t>
  </si>
  <si>
    <t>Aggron-Mega</t>
  </si>
  <si>
    <t>Meditite</t>
  </si>
  <si>
    <t>Medicham</t>
  </si>
  <si>
    <t>Medicham-Mega</t>
  </si>
  <si>
    <t>Electrike</t>
  </si>
  <si>
    <t>Manectric</t>
  </si>
  <si>
    <t>Manectric-Mega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</si>
  <si>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</si>
  <si>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</si>
  <si>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</si>
  <si>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</si>
  <si>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</si>
  <si>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</si>
  <si>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</si>
  <si>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</si>
  <si>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</si>
  <si>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Sharpedo-Mega</t>
  </si>
  <si>
    <t>Wailmer</t>
  </si>
  <si>
    <t>Wailord</t>
  </si>
  <si>
    <t>Numel</t>
  </si>
  <si>
    <t>Camerupt</t>
  </si>
  <si>
    <t>Camerupt-Mega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</si>
  <si>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</si>
  <si>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</si>
  <si>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</si>
  <si>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</si>
  <si>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</si>
  <si>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</si>
  <si>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</si>
  <si>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</si>
  <si>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</si>
  <si>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</si>
  <si>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</si>
  <si>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Altaria-Mega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</si>
  <si>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</si>
  <si>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</si>
  <si>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</si>
  <si>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</si>
  <si>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</si>
  <si>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</si>
  <si>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</si>
  <si>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</si>
  <si>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</si>
  <si>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</si>
  <si>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</si>
  <si>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</si>
  <si>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</si>
  <si>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</si>
  <si>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</si>
  <si>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</si>
  <si>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</si>
  <si>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</si>
  <si>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</si>
  <si>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</si>
  <si>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Banette-Mega</t>
  </si>
  <si>
    <t>Duskull</t>
  </si>
  <si>
    <t>Dusclops</t>
  </si>
  <si>
    <t>Tropius</t>
  </si>
  <si>
    <t>Chimecho</t>
  </si>
  <si>
    <t>Absol</t>
  </si>
  <si>
    <t>Absol-Mega</t>
  </si>
  <si>
    <t>Wynaut</t>
  </si>
  <si>
    <t>Snorunt</t>
  </si>
  <si>
    <t>Glalie</t>
  </si>
  <si>
    <t>Glalie-Mega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</si>
  <si>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</si>
  <si>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</si>
  <si>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</si>
  <si>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</si>
  <si>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</si>
  <si>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</si>
  <si>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</si>
  <si>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</si>
  <si>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</si>
  <si>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</si>
  <si>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</si>
  <si>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Salamence-Mega</t>
  </si>
  <si>
    <t>Beldum</t>
  </si>
  <si>
    <t>Metang</t>
  </si>
  <si>
    <t>Metagross</t>
  </si>
  <si>
    <t>Metagross-Mega</t>
  </si>
  <si>
    <t>Regirock</t>
  </si>
  <si>
    <t>Regice</t>
  </si>
  <si>
    <t>Registeel</t>
  </si>
  <si>
    <t>Latias</t>
  </si>
  <si>
    <t>Latias-Mega</t>
  </si>
  <si>
    <t>Latios</t>
  </si>
  <si>
    <t>Latios-Mega</t>
  </si>
  <si>
    <t>Kyogre</t>
  </si>
  <si>
    <t>Kyogre-Primal</t>
  </si>
  <si>
    <t>Groudon</t>
  </si>
  <si>
    <t>Groudon-Primal</t>
  </si>
  <si>
    <t>Rayquaza</t>
  </si>
  <si>
    <t>Rayquaza-Mega</t>
  </si>
  <si>
    <t>Jirachi</t>
  </si>
  <si>
    <t>Deoxys</t>
  </si>
  <si>
    <t>Deoxys-Attack</t>
  </si>
  <si>
    <t>Deoxys-Defense</t>
  </si>
  <si>
    <t>Deoxys-Speed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</si>
  <si>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</si>
  <si>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</si>
  <si>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</si>
  <si>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</si>
  <si>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</si>
  <si>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</si>
  <si>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</si>
  <si>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</si>
  <si>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</si>
  <si>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</si>
  <si>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</si>
  <si>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</si>
  <si>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</si>
  <si>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</si>
  <si>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</si>
  <si>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</si>
  <si>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</si>
  <si>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</si>
  <si>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</si>
  <si>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</si>
  <si>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</si>
  <si>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</si>
  <si>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</si>
  <si>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</si>
  <si>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</si>
  <si>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</si>
  <si>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Wormadam-Sandy</t>
  </si>
  <si>
    <t>Wormadam-Trash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</si>
  <si>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</si>
  <si>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</si>
  <si>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</si>
  <si>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</si>
  <si>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</si>
  <si>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</si>
  <si>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</si>
  <si>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</si>
  <si>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</si>
  <si>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</si>
  <si>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</si>
  <si>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</si>
  <si>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</si>
  <si>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</si>
  <si>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</si>
  <si>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</si>
  <si>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Lopunny-Mega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</si>
  <si>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</si>
  <si>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</si>
  <si>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</si>
  <si>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</si>
  <si>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</si>
  <si>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</si>
  <si>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</si>
  <si>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</si>
  <si>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</si>
  <si>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</si>
  <si>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</si>
  <si>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mimejr</t>
  </si>
  <si>
    <t>Happiny</t>
  </si>
  <si>
    <t>Chatot</t>
  </si>
  <si>
    <t>Spiritomb</t>
  </si>
  <si>
    <t>Gible</t>
  </si>
  <si>
    <t>Gabite</t>
  </si>
  <si>
    <t>Garchomp</t>
  </si>
  <si>
    <t>Garchomp-Mega</t>
  </si>
  <si>
    <t>Munchlax</t>
  </si>
  <si>
    <t>Riolu</t>
  </si>
  <si>
    <t>Lucario</t>
  </si>
  <si>
    <t>Lucario-Mega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</si>
  <si>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</si>
  <si>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</si>
  <si>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</si>
  <si>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</si>
  <si>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</si>
  <si>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</si>
  <si>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</si>
  <si>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</si>
  <si>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</si>
  <si>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</si>
  <si>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</si>
  <si>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</si>
  <si>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Abomasnow-Mega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</si>
  <si>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</si>
  <si>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</si>
  <si>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</si>
  <si>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</si>
  <si>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</si>
  <si>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</si>
  <si>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</si>
  <si>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</si>
  <si>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</si>
  <si>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</si>
  <si>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</si>
  <si>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</si>
  <si>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</si>
  <si>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</si>
  <si>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porygonz</t>
  </si>
  <si>
    <t>Gallade</t>
  </si>
  <si>
    <t>Gallade-Mega</t>
  </si>
  <si>
    <t>Probopass</t>
  </si>
  <si>
    <t>Dusknoir</t>
  </si>
  <si>
    <t>Froslass</t>
  </si>
  <si>
    <t>Rotom</t>
  </si>
  <si>
    <t>Rotom-Frost</t>
  </si>
  <si>
    <t>Rotom-Heat</t>
  </si>
  <si>
    <t>Rotom-Mow</t>
  </si>
  <si>
    <t>Rotom-Fan</t>
  </si>
  <si>
    <t>Rotom-Wash</t>
  </si>
  <si>
    <t>Uxie</t>
  </si>
  <si>
    <t>Mesprit</t>
  </si>
  <si>
    <t>Azelf</t>
  </si>
  <si>
    <t>Dialga</t>
  </si>
  <si>
    <t>Dialga-Origin</t>
  </si>
  <si>
    <t>Palkia</t>
  </si>
  <si>
    <t>Palkia-Origin</t>
  </si>
  <si>
    <t>Heatran</t>
  </si>
  <si>
    <t>Regigigas</t>
  </si>
  <si>
    <t>Giratina</t>
  </si>
  <si>
    <t>Giratina-Origin</t>
  </si>
  <si>
    <t>Cresselia</t>
  </si>
  <si>
    <t>Phione</t>
  </si>
  <si>
    <t>Manaphy</t>
  </si>
  <si>
    <t>Darkrai</t>
  </si>
  <si>
    <t>Shaymin</t>
  </si>
  <si>
    <t>Shaymin-Sky</t>
  </si>
  <si>
    <t>Arceus</t>
  </si>
  <si>
    <t>Arceus-Bug</t>
  </si>
  <si>
    <t>Arceus-Dark</t>
  </si>
  <si>
    <t>Arceus-Dragon</t>
  </si>
  <si>
    <t>Arceus-Electric</t>
  </si>
  <si>
    <t>Arceus-Fairy</t>
  </si>
  <si>
    <t>Arceus-Fighting</t>
  </si>
  <si>
    <t>Arceus-Fire</t>
  </si>
  <si>
    <t>Arceus-Flying</t>
  </si>
  <si>
    <t>Arceus-Ghost</t>
  </si>
  <si>
    <t>Arceus-Grass</t>
  </si>
  <si>
    <t>Arceus-Ground</t>
  </si>
  <si>
    <t>Arceus-Ice</t>
  </si>
  <si>
    <t>Arceus-Poison</t>
  </si>
  <si>
    <t>Arceus-Psychic</t>
  </si>
  <si>
    <t>Arceus-Rock</t>
  </si>
  <si>
    <t>Arceus-Steel</t>
  </si>
  <si>
    <t>Arceus-Water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</si>
  <si>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</si>
  <si>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</si>
  <si>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</si>
  <si>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</si>
  <si>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</si>
  <si>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</si>
  <si>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</si>
  <si>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</si>
  <si>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</si>
  <si>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</si>
  <si>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Samurott-Hisui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</si>
  <si>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</si>
  <si>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</si>
  <si>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</si>
  <si>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</si>
  <si>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</si>
  <si>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</si>
  <si>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</si>
  <si>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</si>
  <si>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</si>
  <si>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</si>
  <si>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</si>
  <si>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</si>
  <si>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</si>
  <si>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</si>
  <si>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</si>
  <si>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</si>
  <si>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</si>
  <si>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</si>
  <si>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</si>
  <si>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</si>
  <si>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</si>
  <si>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</si>
  <si>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</si>
  <si>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</si>
  <si>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</si>
  <si>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</si>
  <si>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</si>
  <si>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</si>
  <si>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Audino-Mega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</si>
  <si>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</si>
  <si>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</si>
  <si>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</si>
  <si>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</si>
  <si>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</si>
  <si>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</si>
  <si>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</si>
  <si>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</si>
  <si>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</si>
  <si>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</si>
  <si>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</si>
  <si>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</si>
  <si>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</si>
  <si>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</si>
  <si>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</si>
  <si>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</si>
  <si>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</si>
  <si>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</si>
  <si>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Lilligant-Hisui</t>
  </si>
  <si>
    <t>Basculin</t>
  </si>
  <si>
    <t>Sandile</t>
  </si>
  <si>
    <t>Krokorok</t>
  </si>
  <si>
    <t>Krookodile</t>
  </si>
  <si>
    <t>Darumaka</t>
  </si>
  <si>
    <t>Darumaka-Galar</t>
  </si>
  <si>
    <t>Darmanitan</t>
  </si>
  <si>
    <t>Darmanitan-Galar</t>
  </si>
  <si>
    <t>Maractus</t>
  </si>
  <si>
    <t>Dwebble</t>
  </si>
  <si>
    <t>Crustle</t>
  </si>
  <si>
    <t>Scraggy</t>
  </si>
  <si>
    <t>Scrafty</t>
  </si>
  <si>
    <t>Sigilyph</t>
  </si>
  <si>
    <t>Yamask</t>
  </si>
  <si>
    <t>Yamask-Galar</t>
  </si>
  <si>
    <t>Cofagrigus</t>
  </si>
  <si>
    <t>Tirtouga</t>
  </si>
  <si>
    <t>Carracosta</t>
  </si>
  <si>
    <t>Archen</t>
  </si>
  <si>
    <t>Archeops</t>
  </si>
  <si>
    <t>Trubbish</t>
  </si>
  <si>
    <t>Garbodor</t>
  </si>
  <si>
    <t>Garbodor-Gmax</t>
  </si>
  <si>
    <t>Zorua</t>
  </si>
  <si>
    <t>Zorua-Hisui</t>
  </si>
  <si>
    <t>Zoroark-Hisui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</si>
  <si>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</si>
  <si>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</si>
  <si>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</si>
  <si>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</si>
  <si>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</si>
  <si>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</si>
  <si>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</si>
  <si>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</si>
  <si>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</si>
  <si>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</si>
  <si>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</si>
  <si>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</si>
  <si>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</si>
  <si>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</si>
  <si>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</si>
  <si>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</si>
  <si>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</si>
  <si>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</si>
  <si>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</si>
  <si>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</si>
  <si>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</si>
  <si>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</si>
  <si>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</si>
  <si>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</si>
  <si>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</si>
  <si>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</si>
  <si>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</si>
  <si>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</si>
  <si>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</si>
  <si>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</si>
  <si>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</si>
  <si>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</si>
  <si>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</si>
  <si>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</si>
  <si>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</si>
  <si>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</si>
  <si>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</si>
  <si>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</si>
  <si>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</si>
  <si>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</si>
  <si>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</si>
  <si>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</si>
  <si>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</si>
  <si>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</si>
  <si>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</si>
  <si>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</si>
  <si>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</si>
  <si>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</si>
  <si>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Stunfisk-Galar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</si>
  <si>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</si>
  <si>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</si>
  <si>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</si>
  <si>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</si>
  <si>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</si>
  <si>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</si>
  <si>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</si>
  <si>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</si>
  <si>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</si>
  <si>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</si>
  <si>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Braviary-Hisui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</si>
  <si>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</si>
  <si>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</si>
  <si>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</si>
  <si>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</si>
  <si>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</si>
  <si>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</si>
  <si>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</si>
  <si>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</si>
  <si>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</si>
  <si>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</si>
  <si>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</si>
  <si>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</si>
  <si>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</si>
  <si>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Tornadus-T</t>
  </si>
  <si>
    <t>tornadus-therian</t>
  </si>
  <si>
    <t>Thundurus</t>
  </si>
  <si>
    <t>Thundurus-T</t>
  </si>
  <si>
    <t>thundurus-therian</t>
  </si>
  <si>
    <t>Reshiram</t>
  </si>
  <si>
    <t>Zekrom</t>
  </si>
  <si>
    <t>Landorus</t>
  </si>
  <si>
    <t>Landorus-T</t>
  </si>
  <si>
    <t>landorus-therian</t>
  </si>
  <si>
    <t>Kyurem</t>
  </si>
  <si>
    <t>Kyurem-Black</t>
  </si>
  <si>
    <t>Kyurem-White</t>
  </si>
  <si>
    <t>Keldeo</t>
  </si>
  <si>
    <t>Meloetta</t>
  </si>
  <si>
    <t>Meloetta-Pirouette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</si>
  <si>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</si>
  <si>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</si>
  <si>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</si>
  <si>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</si>
  <si>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</si>
  <si>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</si>
  <si>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</si>
  <si>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</si>
  <si>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</si>
  <si>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</si>
  <si>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Greninja-Ash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</si>
  <si>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</si>
  <si>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</si>
  <si>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</si>
  <si>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</si>
  <si>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</si>
  <si>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</si>
  <si>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</si>
  <si>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</si>
  <si>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</si>
  <si>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</si>
  <si>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</si>
  <si>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</si>
  <si>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Floette-Eternal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</si>
  <si>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</si>
  <si>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</si>
  <si>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</si>
  <si>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</si>
  <si>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</si>
  <si>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</si>
  <si>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</si>
  <si>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</si>
  <si>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Meowstic-F</t>
  </si>
  <si>
    <t>Honedge</t>
  </si>
  <si>
    <t>Doublade</t>
  </si>
  <si>
    <t>Aegislash</t>
  </si>
  <si>
    <t>Aegislash-Blade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</si>
  <si>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</si>
  <si>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</si>
  <si>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</si>
  <si>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</si>
  <si>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</si>
  <si>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</si>
  <si>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</si>
  <si>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</si>
  <si>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</si>
  <si>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</si>
  <si>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</si>
  <si>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</si>
  <si>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</si>
  <si>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</si>
  <si>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</si>
  <si>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</si>
  <si>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</si>
  <si>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</si>
  <si>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</si>
  <si>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</si>
  <si>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</si>
  <si>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</si>
  <si>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</si>
  <si>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</si>
  <si>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Sliggoo-Hisui</t>
  </si>
  <si>
    <t>Goodra</t>
  </si>
  <si>
    <t>Goodra-Hisui</t>
  </si>
  <si>
    <t>Klefki</t>
  </si>
  <si>
    <t>Phantump</t>
  </si>
  <si>
    <t>Trevenant</t>
  </si>
  <si>
    <t>Pumpkaboo</t>
  </si>
  <si>
    <t>Gourgeist-Small</t>
  </si>
  <si>
    <t>Gourgeist-Large</t>
  </si>
  <si>
    <t>Gourgeist-Super</t>
  </si>
  <si>
    <t>Gourgeist</t>
  </si>
  <si>
    <t>Bergmite</t>
  </si>
  <si>
    <t>Avalugg</t>
  </si>
  <si>
    <t>Avalugg-Hisui</t>
  </si>
  <si>
    <t>Noibat</t>
  </si>
  <si>
    <t>Noivern</t>
  </si>
  <si>
    <t>Xerneas</t>
  </si>
  <si>
    <t>Yveltal</t>
  </si>
  <si>
    <t>Zygarde</t>
  </si>
  <si>
    <t>Zygarde-10%</t>
  </si>
  <si>
    <t>zygarde-10</t>
  </si>
  <si>
    <t>Zygarde-C</t>
  </si>
  <si>
    <t>zygarde-complete</t>
  </si>
  <si>
    <t>Diancie</t>
  </si>
  <si>
    <t>Diancie-Mega</t>
  </si>
  <si>
    <t>Hoopa</t>
  </si>
  <si>
    <t>Hoopa-Unbound</t>
  </si>
  <si>
    <t>Volcanion</t>
  </si>
  <si>
    <t>Rowlet</t>
  </si>
  <si>
    <t>Dartrix</t>
  </si>
  <si>
    <t>Decidueye</t>
  </si>
  <si>
    <t>Decidueye-Hisui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</si>
  <si>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</si>
  <si>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</si>
  <si>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</si>
  <si>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</si>
  <si>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</si>
  <si>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</si>
  <si>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</si>
  <si>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</si>
  <si>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</si>
  <si>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</si>
  <si>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</si>
  <si>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</si>
  <si>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</si>
  <si>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</si>
  <si>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</si>
  <si>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</si>
  <si>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</si>
  <si>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Oricorio-Pom-Pom</t>
  </si>
  <si>
    <t>oricorio-pompom</t>
  </si>
  <si>
    <t>Oricorio-Pa'u</t>
  </si>
  <si>
    <t>oricorio-pau</t>
  </si>
  <si>
    <t>Oricorio-Sensu</t>
  </si>
  <si>
    <t>Cutiefly</t>
  </si>
  <si>
    <t>Ribombee</t>
  </si>
  <si>
    <t>Rockruff</t>
  </si>
  <si>
    <t>Lycanroc</t>
  </si>
  <si>
    <t>Lycanroc-Dusk</t>
  </si>
  <si>
    <t>Lycanroc-Midnight</t>
  </si>
  <si>
    <t>Wishiwashi</t>
  </si>
  <si>
    <t>Wishiwashi-School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</si>
  <si>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</si>
  <si>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</si>
  <si>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</si>
  <si>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</si>
  <si>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</si>
  <si>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</si>
  <si>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</si>
  <si>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</si>
  <si>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</si>
  <si>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</si>
  <si>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</si>
  <si>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</si>
  <si>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</si>
  <si>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</si>
  <si>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</si>
  <si>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</si>
  <si>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</si>
  <si>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</si>
  <si>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</si>
  <si>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</si>
  <si>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</si>
  <si>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</si>
  <si>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</si>
  <si>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</si>
  <si>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</si>
  <si>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</si>
  <si>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typenull</t>
  </si>
  <si>
    <t>Silvally</t>
  </si>
  <si>
    <t>Silvally-Fire</t>
  </si>
  <si>
    <t>Silvally-Flying</t>
  </si>
  <si>
    <t>Silvally-Poison</t>
  </si>
  <si>
    <t>Silvally-Ground</t>
  </si>
  <si>
    <t>Silvally-Rock</t>
  </si>
  <si>
    <t>Silvally-Bug</t>
  </si>
  <si>
    <t>Silvally-Fairy</t>
  </si>
  <si>
    <t>Silvally-Ice</t>
  </si>
  <si>
    <t>Silvally-Fighting</t>
  </si>
  <si>
    <t>Silvally-Water</t>
  </si>
  <si>
    <t>Silvally-Grass</t>
  </si>
  <si>
    <t>Silvally-Electric</t>
  </si>
  <si>
    <t>Silvally-Psychic</t>
  </si>
  <si>
    <t>Silvally-Steel</t>
  </si>
  <si>
    <t>Silvally-Dragon</t>
  </si>
  <si>
    <t>Silvally-Dark</t>
  </si>
  <si>
    <t>Silvally-Ghost</t>
  </si>
  <si>
    <t>Minior</t>
  </si>
  <si>
    <t>Minior-Core</t>
  </si>
  <si>
    <t>minior-meteor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</si>
  <si>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</si>
  <si>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</si>
  <si>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</si>
  <si>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</si>
  <si>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</si>
  <si>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</si>
  <si>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</si>
  <si>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</si>
  <si>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jangmoo</t>
  </si>
  <si>
    <t>Hakamo-o</t>
  </si>
  <si>
    <t>hakamoo</t>
  </si>
  <si>
    <t>Kommo-o</t>
  </si>
  <si>
    <t>kommoo</t>
  </si>
  <si>
    <t>Tapu Koko</t>
  </si>
  <si>
    <t>tapukoko</t>
  </si>
  <si>
    <t>Tapu Lele</t>
  </si>
  <si>
    <t>tapulele</t>
  </si>
  <si>
    <t>Tapu Bulu</t>
  </si>
  <si>
    <t>tapubulu</t>
  </si>
  <si>
    <t>Tapu Fini</t>
  </si>
  <si>
    <t>tapufini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</si>
  <si>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</si>
  <si>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</si>
  <si>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</si>
  <si>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</si>
  <si>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</si>
  <si>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</si>
  <si>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</si>
  <si>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</si>
  <si>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</si>
  <si>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</si>
  <si>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</si>
  <si>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</si>
  <si>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Necrozma-Dusk</t>
  </si>
  <si>
    <t>necrozma-duskmane</t>
  </si>
  <si>
    <t>Necrozma-Dawn</t>
  </si>
  <si>
    <t>necrozma-dawnwings</t>
  </si>
  <si>
    <t>Necrozma-Ultra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</si>
  <si>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</si>
  <si>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</si>
  <si>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</si>
  <si>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</si>
  <si>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</si>
  <si>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</si>
  <si>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</si>
  <si>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</si>
  <si>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</si>
  <si>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Melmetal-Gmax</t>
  </si>
  <si>
    <t>Grookey</t>
  </si>
  <si>
    <t>Thwackey</t>
  </si>
  <si>
    <t>Rillaboom</t>
  </si>
  <si>
    <t>Rillaboom-Gmax</t>
  </si>
  <si>
    <t>Scorbunny</t>
  </si>
  <si>
    <t>Raboot</t>
  </si>
  <si>
    <t>Cinderace</t>
  </si>
  <si>
    <t>Cinderace-Gmax</t>
  </si>
  <si>
    <t>Sobble</t>
  </si>
  <si>
    <t>Drizzile</t>
  </si>
  <si>
    <t>Inteleon</t>
  </si>
  <si>
    <t>Inteleon-Gmax</t>
  </si>
  <si>
    <t>Skwovet</t>
  </si>
  <si>
    <t>Greedent</t>
  </si>
  <si>
    <t>Rookidee</t>
  </si>
  <si>
    <t>Corvisquire</t>
  </si>
  <si>
    <t>Corviknight</t>
  </si>
  <si>
    <t>Corviknight-Gmax</t>
  </si>
  <si>
    <t>Blipbug</t>
  </si>
  <si>
    <t>Dottler</t>
  </si>
  <si>
    <t>Orbeetle</t>
  </si>
  <si>
    <t>Orbeetle-Gmax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</si>
  <si>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</si>
  <si>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</si>
  <si>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</si>
  <si>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</si>
  <si>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</si>
  <si>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</si>
  <si>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</si>
  <si>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</si>
  <si>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Drednaw-Gmax</t>
  </si>
  <si>
    <t>Yamper</t>
  </si>
  <si>
    <t>Boltund</t>
  </si>
  <si>
    <t>Rolycoly</t>
  </si>
  <si>
    <t>Carkol</t>
  </si>
  <si>
    <t>Coalossal</t>
  </si>
  <si>
    <t>Coalossal-Gmax</t>
  </si>
  <si>
    <t>Applin</t>
  </si>
  <si>
    <t>Flapple</t>
  </si>
  <si>
    <t>Flapple-Gmax</t>
  </si>
  <si>
    <t>Appletun</t>
  </si>
  <si>
    <t>Appletun-Gmax</t>
  </si>
  <si>
    <t>Silicobra</t>
  </si>
  <si>
    <t>Sandaconda</t>
  </si>
  <si>
    <t>Sandaconda-Gmax</t>
  </si>
  <si>
    <t>Cramorant</t>
  </si>
  <si>
    <t>Arrokuda</t>
  </si>
  <si>
    <t>Barraskewda</t>
  </si>
  <si>
    <t>Toxel</t>
  </si>
  <si>
    <t>Toxtricity</t>
  </si>
  <si>
    <t>Toxtricity-Gmax</t>
  </si>
  <si>
    <t>Sizzlipede</t>
  </si>
  <si>
    <t>Centiskorch</t>
  </si>
  <si>
    <t>Centiskorch-Gmax</t>
  </si>
  <si>
    <t>Clobbopus</t>
  </si>
  <si>
    <t>Grapploct</t>
  </si>
  <si>
    <t>Sinistea</t>
  </si>
  <si>
    <t>Polteageist</t>
  </si>
  <si>
    <t>Hatenna</t>
  </si>
  <si>
    <t>Hattrem</t>
  </si>
  <si>
    <t>Hatterene</t>
  </si>
  <si>
    <t>Hatterene-Gmax</t>
  </si>
  <si>
    <t>Impidimp</t>
  </si>
  <si>
    <t>Morgrem</t>
  </si>
  <si>
    <t>Grimmsnarl</t>
  </si>
  <si>
    <t>Grimmsnarl-Gmax</t>
  </si>
  <si>
    <t>Obstagoon</t>
  </si>
  <si>
    <t>Perrserker</t>
  </si>
  <si>
    <t>Cursola</t>
  </si>
  <si>
    <t>Sirfetch’d</t>
  </si>
  <si>
    <t>sirfetchd</t>
  </si>
  <si>
    <t>Mr. Rime</t>
  </si>
  <si>
    <t>mrrime</t>
  </si>
  <si>
    <t>Runerigus</t>
  </si>
  <si>
    <t>Milcery</t>
  </si>
  <si>
    <t>Alcremie</t>
  </si>
  <si>
    <t>Alcremie-Gmax</t>
  </si>
  <si>
    <t>Falinks</t>
  </si>
  <si>
    <t>Pincurchin</t>
  </si>
  <si>
    <t>Snom</t>
  </si>
  <si>
    <t>Frosmoth</t>
  </si>
  <si>
    <t>Stonjourner</t>
  </si>
  <si>
    <t>Eiscue</t>
  </si>
  <si>
    <t>Eiscue-Noice</t>
  </si>
  <si>
    <t>Indeedee</t>
  </si>
  <si>
    <t>Indeedee-F</t>
  </si>
  <si>
    <t>Morpeko</t>
  </si>
  <si>
    <t>Cufant</t>
  </si>
  <si>
    <t>Copperajah</t>
  </si>
  <si>
    <t>Copperajah-Gmax</t>
  </si>
  <si>
    <t>Dracozolt</t>
  </si>
  <si>
    <t>Arctozolt</t>
  </si>
  <si>
    <t>Dracovish</t>
  </si>
  <si>
    <t>Arctovish</t>
  </si>
  <si>
    <t>Duraludon</t>
  </si>
  <si>
    <t>Duraludon-Gmax</t>
  </si>
  <si>
    <t>Dreepy</t>
  </si>
  <si>
    <t>Drakloak</t>
  </si>
  <si>
    <t>Dragapult</t>
  </si>
  <si>
    <t>Zacian</t>
  </si>
  <si>
    <t>Zacian-C</t>
  </si>
  <si>
    <t>zacian-crowned</t>
  </si>
  <si>
    <t>Zamazenta</t>
  </si>
  <si>
    <t>Zamazenta-C</t>
  </si>
  <si>
    <t>zamazenta-crowned</t>
  </si>
  <si>
    <t>Eternatus</t>
  </si>
  <si>
    <t>Eternatus-Emax</t>
  </si>
  <si>
    <t>eternatus-eternamax</t>
  </si>
  <si>
    <t>Kubfu</t>
  </si>
  <si>
    <t>Urshifu</t>
  </si>
  <si>
    <t>urshifu</t>
  </si>
  <si>
    <t>Urshifu-Single-Gmax</t>
  </si>
  <si>
    <t>urshifu-gmax</t>
  </si>
  <si>
    <t>Urshifu-Rapid-Strike</t>
  </si>
  <si>
    <t>urshifu-rapidstrike</t>
  </si>
  <si>
    <t>Urshifu-Rapid-Gmax</t>
  </si>
  <si>
    <t>urshifu-rapidstrikegmax</t>
  </si>
  <si>
    <t>Zarude</t>
  </si>
  <si>
    <t>Regieleki</t>
  </si>
  <si>
    <t>Regidrago</t>
  </si>
  <si>
    <t>Glastrier</t>
  </si>
  <si>
    <t>Spectrier</t>
  </si>
  <si>
    <t>Calyrex</t>
  </si>
  <si>
    <t>Calyrex-Ice</t>
  </si>
  <si>
    <t>Calyrex-Shadow</t>
  </si>
  <si>
    <t>Wyrdeer</t>
  </si>
  <si>
    <t>Kleavor</t>
  </si>
  <si>
    <t>Ursaluna</t>
  </si>
  <si>
    <t>Basculegion</t>
  </si>
  <si>
    <t>Basculegion-F</t>
  </si>
  <si>
    <t>Sneasler</t>
  </si>
  <si>
    <t>Overqwil</t>
  </si>
  <si>
    <t>Enamorus</t>
  </si>
  <si>
    <t>Enamorus-T</t>
  </si>
  <si>
    <t>enamorus-therian</t>
  </si>
  <si>
    <t>Route 102</t>
  </si>
  <si>
    <t>Name</t>
  </si>
  <si>
    <t>Youngster Calvin</t>
  </si>
  <si>
    <t>Pokémon</t>
  </si>
  <si>
    <t/>
  </si>
  <si>
    <t>Level</t>
  </si>
  <si>
    <t xml:space="preserve">5 </t>
  </si>
  <si>
    <t xml:space="preserve">6 </t>
  </si>
  <si>
    <t>Held Item</t>
  </si>
  <si>
    <t>Ability</t>
  </si>
  <si>
    <t>Rattled</t>
  </si>
  <si>
    <t>Vital Spirit</t>
  </si>
  <si>
    <t>Keen Eye</t>
  </si>
  <si>
    <t>Nature</t>
  </si>
  <si>
    <t>Bashful</t>
  </si>
  <si>
    <t>Moves</t>
  </si>
  <si>
    <t>Bite</t>
  </si>
  <si>
    <t>Tackle</t>
  </si>
  <si>
    <t>Wing Attack</t>
  </si>
  <si>
    <t>Quick Attack</t>
  </si>
  <si>
    <t>Sand Attack</t>
  </si>
  <si>
    <t>Swagger</t>
  </si>
  <si>
    <t>Bug Catcher Rick</t>
  </si>
  <si>
    <t xml:space="preserve">7 </t>
  </si>
  <si>
    <t>Oran Berry</t>
  </si>
  <si>
    <t>Swarm</t>
  </si>
  <si>
    <t>Sturdy</t>
  </si>
  <si>
    <t>Flash Fire</t>
  </si>
  <si>
    <t>Bug Bite</t>
  </si>
  <si>
    <t>Pin Missile</t>
  </si>
  <si>
    <t>Spark</t>
  </si>
  <si>
    <t>Iron Defense</t>
  </si>
  <si>
    <t>Ember</t>
  </si>
  <si>
    <t>Vise Grip</t>
  </si>
  <si>
    <t>Wrap</t>
  </si>
  <si>
    <t>Youngster Allen</t>
  </si>
  <si>
    <t>Lum Berry</t>
  </si>
  <si>
    <t>Sap Sipper</t>
  </si>
  <si>
    <t>Unnerve</t>
  </si>
  <si>
    <t>Swift Swim</t>
  </si>
  <si>
    <t>Vine Whip</t>
  </si>
  <si>
    <t>Headbutt</t>
  </si>
  <si>
    <t>Bubble Beam</t>
  </si>
  <si>
    <t>Psywave</t>
  </si>
  <si>
    <t>Synthesis</t>
  </si>
  <si>
    <t>Work Up</t>
  </si>
  <si>
    <t>Lass Tiana</t>
  </si>
  <si>
    <t xml:space="preserve">8 </t>
  </si>
  <si>
    <t>Berry Juice</t>
  </si>
  <si>
    <t>Unburden</t>
  </si>
  <si>
    <t>Own Tempo</t>
  </si>
  <si>
    <t>Fairy Wind</t>
  </si>
  <si>
    <t>Fake Out</t>
  </si>
  <si>
    <t>Metronome</t>
  </si>
  <si>
    <t>Route 104</t>
  </si>
  <si>
    <t>Triathlete Mikey</t>
  </si>
  <si>
    <t xml:space="preserve">9 </t>
  </si>
  <si>
    <t>Iron Ball</t>
  </si>
  <si>
    <t>Shell Armor</t>
  </si>
  <si>
    <t>Limber</t>
  </si>
  <si>
    <t>Speed Boost</t>
  </si>
  <si>
    <t>Relaxed</t>
  </si>
  <si>
    <t>Jolly</t>
  </si>
  <si>
    <t>Aqua Jet</t>
  </si>
  <si>
    <t>Rock Smash</t>
  </si>
  <si>
    <t>Acrobatics</t>
  </si>
  <si>
    <t>Stomp</t>
  </si>
  <si>
    <t>Bind</t>
  </si>
  <si>
    <t>Sonic Boom</t>
  </si>
  <si>
    <t>Mud Shot</t>
  </si>
  <si>
    <t>Detect</t>
  </si>
  <si>
    <t>Fisherman Darian</t>
  </si>
  <si>
    <t xml:space="preserve">12 </t>
  </si>
  <si>
    <t>Choice Band</t>
  </si>
  <si>
    <t>Focus Sash</t>
  </si>
  <si>
    <t>Adamant</t>
  </si>
  <si>
    <t>Hasty</t>
  </si>
  <si>
    <t>Bounce</t>
  </si>
  <si>
    <t>Hydro Pump</t>
  </si>
  <si>
    <t>Flail</t>
  </si>
  <si>
    <t>Lady Cindy</t>
  </si>
  <si>
    <t xml:space="preserve">10 </t>
  </si>
  <si>
    <t>Cute Charm</t>
  </si>
  <si>
    <t>Modest</t>
  </si>
  <si>
    <t>Bold</t>
  </si>
  <si>
    <t>Swift</t>
  </si>
  <si>
    <t>Round</t>
  </si>
  <si>
    <t>Attract</t>
  </si>
  <si>
    <t>Draining Kiss</t>
  </si>
  <si>
    <t>Thunder Wave</t>
  </si>
  <si>
    <t>Team Aqua Grunt Petalburg Woods [Boss]</t>
  </si>
  <si>
    <t xml:space="preserve">11 </t>
  </si>
  <si>
    <t>Salac Berry</t>
  </si>
  <si>
    <t>Rough Skin</t>
  </si>
  <si>
    <t>Poison Touch</t>
  </si>
  <si>
    <t>Harvest</t>
  </si>
  <si>
    <t>Naive</t>
  </si>
  <si>
    <t>Belch</t>
  </si>
  <si>
    <t>Confusion</t>
  </si>
  <si>
    <t>Water Pulse</t>
  </si>
  <si>
    <t>Bullet Seed</t>
  </si>
  <si>
    <t>Poison Sting</t>
  </si>
  <si>
    <t>Leech Seed</t>
  </si>
  <si>
    <t>Poison Fang</t>
  </si>
  <si>
    <t>Stun Spore</t>
  </si>
  <si>
    <t>Route 106</t>
  </si>
  <si>
    <t>Fisherman Elliot</t>
  </si>
  <si>
    <t xml:space="preserve">13 </t>
  </si>
  <si>
    <t>Mystic Water</t>
  </si>
  <si>
    <t>Flying Gem</t>
  </si>
  <si>
    <t>Natural Cure</t>
  </si>
  <si>
    <t>Timid</t>
  </si>
  <si>
    <t>Giga Drain</t>
  </si>
  <si>
    <t>Aurora Beam</t>
  </si>
  <si>
    <t>Psybeam</t>
  </si>
  <si>
    <t>Seismic Toss</t>
  </si>
  <si>
    <t>Peck</t>
  </si>
  <si>
    <t>Shock Wave</t>
  </si>
  <si>
    <t>Teeter Dance</t>
  </si>
  <si>
    <t>Laser Focus</t>
  </si>
  <si>
    <t>Ruin Maniac Georgie</t>
  </si>
  <si>
    <t xml:space="preserve">14 </t>
  </si>
  <si>
    <t>Leftovers</t>
  </si>
  <si>
    <t>Weak Armor</t>
  </si>
  <si>
    <t>Water Compaction</t>
  </si>
  <si>
    <t>Intimidate</t>
  </si>
  <si>
    <t>Gluttony</t>
  </si>
  <si>
    <t>Lonely</t>
  </si>
  <si>
    <t>Bulldoze</t>
  </si>
  <si>
    <t>Covet</t>
  </si>
  <si>
    <t>Rock Blast</t>
  </si>
  <si>
    <t>Astonish</t>
  </si>
  <si>
    <t>Metal Claw</t>
  </si>
  <si>
    <t>Belly Drum</t>
  </si>
  <si>
    <t>Knock Off</t>
  </si>
  <si>
    <t>Mega Drain</t>
  </si>
  <si>
    <t>Fire Fang</t>
  </si>
  <si>
    <t>Sticky Web</t>
  </si>
  <si>
    <t>Hypnosis</t>
  </si>
  <si>
    <t>Route 109</t>
  </si>
  <si>
    <t>Tuber Chandler</t>
  </si>
  <si>
    <t>Never-Melt Ice</t>
  </si>
  <si>
    <t>Magnet</t>
  </si>
  <si>
    <t>Charcoal</t>
  </si>
  <si>
    <t>Hydration</t>
  </si>
  <si>
    <t>Flame Body</t>
  </si>
  <si>
    <t>Incinerate</t>
  </si>
  <si>
    <t>Fire Punch</t>
  </si>
  <si>
    <t>Brick Break</t>
  </si>
  <si>
    <t>Lovely Kiss</t>
  </si>
  <si>
    <t>Ice Punch</t>
  </si>
  <si>
    <t>Mach Punch</t>
  </si>
  <si>
    <t>Confuse Ray</t>
  </si>
  <si>
    <t>Tuber Lola</t>
  </si>
  <si>
    <t>Aerial Ace</t>
  </si>
  <si>
    <t>Flame Charge</t>
  </si>
  <si>
    <t>Steel Wing</t>
  </si>
  <si>
    <t>Ice Fang</t>
  </si>
  <si>
    <t>Sailor Edmond</t>
  </si>
  <si>
    <t xml:space="preserve">15 </t>
  </si>
  <si>
    <t>Rindo Berry</t>
  </si>
  <si>
    <t>Rash</t>
  </si>
  <si>
    <t>Air Cutter</t>
  </si>
  <si>
    <t>Pursuit</t>
  </si>
  <si>
    <t>Sludge</t>
  </si>
  <si>
    <t>Rain Dance</t>
  </si>
  <si>
    <t>Fisherman Bill</t>
  </si>
  <si>
    <t xml:space="preserve">16 </t>
  </si>
  <si>
    <t>Choice Specs</t>
  </si>
  <si>
    <t>Shield Dust</t>
  </si>
  <si>
    <t>Struggle Bug</t>
  </si>
  <si>
    <t>Tuber Ricky</t>
  </si>
  <si>
    <t>Silk Scarf</t>
  </si>
  <si>
    <t>Black Sludge</t>
  </si>
  <si>
    <t>Run Away</t>
  </si>
  <si>
    <t>Poison Point</t>
  </si>
  <si>
    <t>Double Hit</t>
  </si>
  <si>
    <t>Venoshock</t>
  </si>
  <si>
    <t>Poison Tail</t>
  </si>
  <si>
    <t>Double Kick</t>
  </si>
  <si>
    <t>Howl</t>
  </si>
  <si>
    <t>Tuber Hailey</t>
  </si>
  <si>
    <t>Black Belt</t>
  </si>
  <si>
    <t>Inner Focus</t>
  </si>
  <si>
    <t>Static</t>
  </si>
  <si>
    <t>Force Palm</t>
  </si>
  <si>
    <t>Reversal</t>
  </si>
  <si>
    <t>Rock Tomb</t>
  </si>
  <si>
    <t>Helping Hand</t>
  </si>
  <si>
    <t>Toxic</t>
  </si>
  <si>
    <t>Route 110</t>
  </si>
  <si>
    <t>Camper Gavi [Optional]</t>
  </si>
  <si>
    <t xml:space="preserve">17 </t>
  </si>
  <si>
    <t>Sitrus Berry</t>
  </si>
  <si>
    <t>Unaware</t>
  </si>
  <si>
    <t>Levitate</t>
  </si>
  <si>
    <t>Chlorophyll</t>
  </si>
  <si>
    <t>Flame Wheel</t>
  </si>
  <si>
    <t>Energy Ball</t>
  </si>
  <si>
    <t>Play Rough</t>
  </si>
  <si>
    <t>Sludge Bomb</t>
  </si>
  <si>
    <t>Infestation</t>
  </si>
  <si>
    <t>Pluck</t>
  </si>
  <si>
    <t>Super Fang</t>
  </si>
  <si>
    <t>Roost</t>
  </si>
  <si>
    <t>Grass Whistle</t>
  </si>
  <si>
    <t>Slateport Museum</t>
  </si>
  <si>
    <t>Team Aqua Grunt Museum #1 [Boss]</t>
  </si>
  <si>
    <t>Insomnia</t>
  </si>
  <si>
    <t>Solid Rock</t>
  </si>
  <si>
    <t>Sassy</t>
  </si>
  <si>
    <t>Ancient Power</t>
  </si>
  <si>
    <t>Payback</t>
  </si>
  <si>
    <t>Acid</t>
  </si>
  <si>
    <t>Brine</t>
  </si>
  <si>
    <t>Night Shade</t>
  </si>
  <si>
    <t>Protect</t>
  </si>
  <si>
    <t>Team Aqua Grunt Museum #2 [Boss]</t>
  </si>
  <si>
    <t>Rocky Helmet</t>
  </si>
  <si>
    <t>Merciless</t>
  </si>
  <si>
    <t>Cursed Body</t>
  </si>
  <si>
    <t>Calm</t>
  </si>
  <si>
    <t>Hex</t>
  </si>
  <si>
    <t>Baneful Bunker</t>
  </si>
  <si>
    <t>Soak</t>
  </si>
  <si>
    <t>Recover</t>
  </si>
  <si>
    <t>Rollout</t>
  </si>
  <si>
    <t>Dewford Gym</t>
  </si>
  <si>
    <t>Battle Girl Laura</t>
  </si>
  <si>
    <t xml:space="preserve">18 </t>
  </si>
  <si>
    <t>Eviolite</t>
  </si>
  <si>
    <t>Fluffy</t>
  </si>
  <si>
    <t>Defiant</t>
  </si>
  <si>
    <t>Careful</t>
  </si>
  <si>
    <t>Body Slam</t>
  </si>
  <si>
    <t>Outrage</t>
  </si>
  <si>
    <t>Thrash</t>
  </si>
  <si>
    <t>Bulk Up</t>
  </si>
  <si>
    <t>Stomping Tantrum</t>
  </si>
  <si>
    <t>Smelling Salts</t>
  </si>
  <si>
    <t>Sailor Brenden</t>
  </si>
  <si>
    <t xml:space="preserve">19 </t>
  </si>
  <si>
    <t>Dual Wingbeat</t>
  </si>
  <si>
    <t>Battle Girl Lilith</t>
  </si>
  <si>
    <t>Flame Orb</t>
  </si>
  <si>
    <t>Muscle Band</t>
  </si>
  <si>
    <t>Guts</t>
  </si>
  <si>
    <t>Iron Fist</t>
  </si>
  <si>
    <t>Arm Thrust</t>
  </si>
  <si>
    <t>Power-Up Punch</t>
  </si>
  <si>
    <t>Drain Punch</t>
  </si>
  <si>
    <t>Rock Throw</t>
  </si>
  <si>
    <t>Thunder Punch</t>
  </si>
  <si>
    <t>Bullet Punch</t>
  </si>
  <si>
    <t>Black Belt Cristian</t>
  </si>
  <si>
    <t>Coba Berry</t>
  </si>
  <si>
    <t>Pure Power</t>
  </si>
  <si>
    <t>Vital Throw</t>
  </si>
  <si>
    <t>Low Sweep</t>
  </si>
  <si>
    <t>Facade</t>
  </si>
  <si>
    <t>Black Belt Takao</t>
  </si>
  <si>
    <t>Toxic Orb</t>
  </si>
  <si>
    <t>Wide Lens</t>
  </si>
  <si>
    <t>Poison Heal</t>
  </si>
  <si>
    <t>Wake-Up Slap</t>
  </si>
  <si>
    <t>Rock Slide</t>
  </si>
  <si>
    <t>Jump Kick</t>
  </si>
  <si>
    <t>Triple Axel</t>
  </si>
  <si>
    <t>Spore</t>
  </si>
  <si>
    <t>Battle Girl Jocelyn</t>
  </si>
  <si>
    <t>Protean</t>
  </si>
  <si>
    <t>Blaze</t>
  </si>
  <si>
    <t>Overcoat</t>
  </si>
  <si>
    <t>Impish</t>
  </si>
  <si>
    <t>Quiet</t>
  </si>
  <si>
    <t>Shadow Punch</t>
  </si>
  <si>
    <t>Dragon Breath</t>
  </si>
  <si>
    <t>Dizzy Punch</t>
  </si>
  <si>
    <t>Mega Punch</t>
  </si>
  <si>
    <t>Dragon Tail</t>
  </si>
  <si>
    <t>Take Down</t>
  </si>
  <si>
    <t>Leader Brawly [Boss]</t>
  </si>
  <si>
    <t xml:space="preserve">20 </t>
  </si>
  <si>
    <t xml:space="preserve">21 </t>
  </si>
  <si>
    <t>Iapapa Berry</t>
  </si>
  <si>
    <t>Eject Button</t>
  </si>
  <si>
    <t>Protective Pads</t>
  </si>
  <si>
    <t>Expert Belt</t>
  </si>
  <si>
    <t>Technician</t>
  </si>
  <si>
    <t>Water Absorb</t>
  </si>
  <si>
    <t>Shed Skin</t>
  </si>
  <si>
    <t>Naughty</t>
  </si>
  <si>
    <t>Mild</t>
  </si>
  <si>
    <t>Retaliate</t>
  </si>
  <si>
    <t>Feint Attack</t>
  </si>
  <si>
    <t>Ice Beam</t>
  </si>
  <si>
    <t>Zen Headbutt</t>
  </si>
  <si>
    <t>Hidden Power Grass</t>
  </si>
  <si>
    <t>Sucker Punch</t>
  </si>
  <si>
    <t>Superpower</t>
  </si>
  <si>
    <t>Rest</t>
  </si>
  <si>
    <t>TRAINER_PIC_AQUA_ADMIN_F</t>
  </si>
  <si>
    <t>TRAINER_PIC_AQUA_ADMIN_M</t>
  </si>
  <si>
    <t>TRAINER_PIC_AQUA_GRUNT_F</t>
  </si>
  <si>
    <t>TRAINER_PIC_AQUA_GRUNT_M</t>
  </si>
  <si>
    <t>TRAINER_PIC_AQUA_LEADER_ARCHIE</t>
  </si>
  <si>
    <t>TRAINER_PIC_ARENA_TYCOON_GRETA</t>
  </si>
  <si>
    <t>TRAINER_PIC_AROMA_LADY</t>
  </si>
  <si>
    <t>TRAINER_PIC_BATTLE_GIRL</t>
  </si>
  <si>
    <t>TRAINER_PIC_BEAUTY</t>
  </si>
  <si>
    <t>TRAINER_PIC_BIRD_KEEPER</t>
  </si>
  <si>
    <t>TRAINER_PIC_BLACK_BELT</t>
  </si>
  <si>
    <t>TRAINER_PIC_BRENDAN</t>
  </si>
  <si>
    <t>TRAINER_PIC_BUG_CATCHER</t>
  </si>
  <si>
    <t>TRAINER_PIC_BUG_MANIAC</t>
  </si>
  <si>
    <t>TRAINER_PIC_CAMPER</t>
  </si>
  <si>
    <t>TRAINER_PIC_CHAMPION_WALLACE</t>
  </si>
  <si>
    <t>TRAINER_PIC_COLLECTOR</t>
  </si>
  <si>
    <t>TRAINER_PIC_COOLTRAINER_F</t>
  </si>
  <si>
    <t>TRAINER_PIC_COOLTRAINER_M</t>
  </si>
  <si>
    <t>TRAINER_PIC_CYCLING_TRIATHLETE_F</t>
  </si>
  <si>
    <t>TRAINER_PIC_CYCLING_TRIATHLETE_M</t>
  </si>
  <si>
    <t>TRAINER_PIC_DOME_ACE_TUCKER</t>
  </si>
  <si>
    <t>TRAINER_PIC_DRAGON_TAMER</t>
  </si>
  <si>
    <t>TRAINER_PIC_ELITE_FOUR_DRAKE</t>
  </si>
  <si>
    <t>TRAINER_PIC_ELITE_FOUR_GLACIA</t>
  </si>
  <si>
    <t>TRAINER_PIC_ELITE_FOUR_PHOEBE</t>
  </si>
  <si>
    <t>TRAINER_PIC_ELITE_FOUR_SIDNEY</t>
  </si>
  <si>
    <t>TRAINER_PIC_EXPERT_F</t>
  </si>
  <si>
    <t>TRAINER_PIC_EXPERT_M</t>
  </si>
  <si>
    <t>TRAINER_PIC_FACTORY_HEAD_NOLAND</t>
  </si>
  <si>
    <t>TRAINER_PIC_FISHERMAN</t>
  </si>
  <si>
    <t>TRAINER_PIC_GENTLEMAN</t>
  </si>
  <si>
    <t>TRAINER_PIC_GUITARIST</t>
  </si>
  <si>
    <t>TRAINER_PIC_HEX_MANIAC</t>
  </si>
  <si>
    <t>TRAINER_PIC_HIKER</t>
  </si>
  <si>
    <t>TRAINER_PIC_INTERVIEWER</t>
  </si>
  <si>
    <t>TRAINER_PIC_KINDLER</t>
  </si>
  <si>
    <t>TRAINER_PIC_LADY</t>
  </si>
  <si>
    <t>TRAINER_PIC_LASS</t>
  </si>
  <si>
    <t>TRAINER_PIC_LEADER_BRAWLY</t>
  </si>
  <si>
    <t>TRAINER_PIC_LEADER_FLANNERY</t>
  </si>
  <si>
    <t>TRAINER_PIC_LEADER_JUAN</t>
  </si>
  <si>
    <t>TRAINER_PIC_LEADER_LIZA</t>
  </si>
  <si>
    <t>TRAINER_PIC_LEADER_NORMAN</t>
  </si>
  <si>
    <t>TRAINER_PIC_LEADER_ROXANNE</t>
  </si>
  <si>
    <t>TRAINER_PIC_LEADER_TATE</t>
  </si>
  <si>
    <t>TRAINER_PIC_LEADER_TATE_AND_LIZA</t>
  </si>
  <si>
    <t>TRAINER_PIC_LEADER_WATTSON</t>
  </si>
  <si>
    <t>TRAINER_PIC_LEADER_WINONA</t>
  </si>
  <si>
    <t>TRAINER_PIC_LEAF</t>
  </si>
  <si>
    <t>TRAINER_PIC_MAGMA_ADMIN</t>
  </si>
  <si>
    <t>TRAINER_PIC_MAGMA_GRUNT_F</t>
  </si>
  <si>
    <t>TRAINER_PIC_MAGMA_GRUNT_M</t>
  </si>
  <si>
    <t>TRAINER_PIC_MAGMA_LEADER_MAXIE</t>
  </si>
  <si>
    <t>TRAINER_PIC_MAY</t>
  </si>
  <si>
    <t>TRAINER_PIC_NINJA_BOY</t>
  </si>
  <si>
    <t>TRAINER_PIC_OLD_COUPLE</t>
  </si>
  <si>
    <t>TRAINER_PIC_PALACE_MAVEN_SPENSER</t>
  </si>
  <si>
    <t>TRAINER_PIC_PARASOL_LADY</t>
  </si>
  <si>
    <t>TRAINER_PIC_PICNICKER</t>
  </si>
  <si>
    <t>TRAINER_PIC_PIKE_QUEEN_LUCY</t>
  </si>
  <si>
    <t>TRAINER_PIC_POKEFAN_F</t>
  </si>
  <si>
    <t>TRAINER_PIC_POKEFAN_M</t>
  </si>
  <si>
    <t>TRAINER_PIC_POKEMANIAC</t>
  </si>
  <si>
    <t>TRAINER_PIC_POKEMON_BREEDER_F</t>
  </si>
  <si>
    <t>TRAINER_PIC_POKEMON_BREEDER_M</t>
  </si>
  <si>
    <t>TRAINER_PIC_POKEMON_RANGER_F</t>
  </si>
  <si>
    <t>TRAINER_PIC_POKEMON_RANGER_M</t>
  </si>
  <si>
    <t>TRAINER_PIC_PSYCHIC_F</t>
  </si>
  <si>
    <t>TRAINER_PIC_PSYCHIC_M</t>
  </si>
  <si>
    <t>TRAINER_PIC_PYRAMID_KING_BRANDON</t>
  </si>
  <si>
    <t>TRAINER_PIC_RED</t>
  </si>
  <si>
    <t>TRAINER_PIC_RICH_BOY</t>
  </si>
  <si>
    <t>TRAINER_PIC_RS_BRENDAN</t>
  </si>
  <si>
    <t>TRAINER_PIC_RS_MAY</t>
  </si>
  <si>
    <t>TRAINER_PIC_RUIN_MANIAC</t>
  </si>
  <si>
    <t>TRAINER_PIC_RUNNING_TRIATHLETE_F</t>
  </si>
  <si>
    <t>TRAINER_PIC_RUNNING_TRIATHLETE_M</t>
  </si>
  <si>
    <t>TRAINER_PIC_SAILOR</t>
  </si>
  <si>
    <t>TRAINER_PIC_SALON_MAIDEN_ANABEL</t>
  </si>
  <si>
    <t>TRAINER_PIC_SCHOOL_KID_F</t>
  </si>
  <si>
    <t>TRAINER_PIC_SCHOOL_KID_M</t>
  </si>
  <si>
    <t>TRAINER_PIC_SIS_AND_BRO</t>
  </si>
  <si>
    <t>TRAINER_PIC_SR_AND_JR</t>
  </si>
  <si>
    <t>TRAINER_PIC_STEVEN</t>
  </si>
  <si>
    <t>TRAINER_PIC_SWIMMER_F</t>
  </si>
  <si>
    <t>TRAINER_PIC_SWIMMER_M</t>
  </si>
  <si>
    <t>TRAINER_PIC_SWIMMING_TRIATHLETE_F</t>
  </si>
  <si>
    <t>TRAINER_PIC_SWIMMING_TRIATHLETE_M</t>
  </si>
  <si>
    <t>TRAINER_PIC_TUBER_F</t>
  </si>
  <si>
    <t>TRAINER_PIC_TUBER_M</t>
  </si>
  <si>
    <t>TRAINER_PIC_TWINS</t>
  </si>
  <si>
    <t>TRAINER_PIC_WALLY</t>
  </si>
  <si>
    <t>TRAINER_PIC_YOUNG_COUPLE</t>
  </si>
  <si>
    <t>TRAINER_PIC_YOUNGSTER</t>
  </si>
  <si>
    <t>Petalburg Woods</t>
  </si>
  <si>
    <t>Bug Catcher Lyle</t>
  </si>
  <si>
    <t>Scope Lens</t>
  </si>
  <si>
    <t>White Herb</t>
  </si>
  <si>
    <t>Sniper</t>
  </si>
  <si>
    <t>Cross Poison</t>
  </si>
  <si>
    <t>Leech Life</t>
  </si>
  <si>
    <t>Fell Stinger</t>
  </si>
  <si>
    <t>Night Slash</t>
  </si>
  <si>
    <t>Shadow Sneak</t>
  </si>
  <si>
    <t>Bug Maniac James</t>
  </si>
  <si>
    <t xml:space="preserve">22 </t>
  </si>
  <si>
    <t>Yache Berry</t>
  </si>
  <si>
    <t>Bright Powder</t>
  </si>
  <si>
    <t>Wise Glasses</t>
  </si>
  <si>
    <t>Wonder Guard</t>
  </si>
  <si>
    <t>Skitter Smack</t>
  </si>
  <si>
    <t>X-Scissor</t>
  </si>
  <si>
    <t>Signal Beam</t>
  </si>
  <si>
    <t>Breaking Swipe</t>
  </si>
  <si>
    <t>Magical Leaf</t>
  </si>
  <si>
    <t>Will-O-Wisp</t>
  </si>
  <si>
    <t>Fake Tears</t>
  </si>
  <si>
    <t>Rich Boy Winston</t>
  </si>
  <si>
    <t>Fur Coat</t>
  </si>
  <si>
    <t>Crunch</t>
  </si>
  <si>
    <t>Fisherman Ivan</t>
  </si>
  <si>
    <t>Ice Body</t>
  </si>
  <si>
    <t>Dive</t>
  </si>
  <si>
    <t>Whirlpool</t>
  </si>
  <si>
    <t>Hail</t>
  </si>
  <si>
    <t>Focus Energy</t>
  </si>
  <si>
    <t>Twins Gina And Mia [Double]</t>
  </si>
  <si>
    <t>Cheek Pouch</t>
  </si>
  <si>
    <t>Friend Guard</t>
  </si>
  <si>
    <t>Magic Guard</t>
  </si>
  <si>
    <t>Dazzling Gleam</t>
  </si>
  <si>
    <t>Follow Me</t>
  </si>
  <si>
    <t>Iron Head</t>
  </si>
  <si>
    <t>Electroweb</t>
  </si>
  <si>
    <t>Zing Zap</t>
  </si>
  <si>
    <t>Lass Haley</t>
  </si>
  <si>
    <t xml:space="preserve">23 </t>
  </si>
  <si>
    <t>Fighting Gem</t>
  </si>
  <si>
    <t>Passho Berry</t>
  </si>
  <si>
    <t>Water Veil</t>
  </si>
  <si>
    <t>Stench</t>
  </si>
  <si>
    <t>Simple</t>
  </si>
  <si>
    <t>Surf</t>
  </si>
  <si>
    <t>Earth Power</t>
  </si>
  <si>
    <t>Air Slash</t>
  </si>
  <si>
    <t>Lava Plume</t>
  </si>
  <si>
    <t>Icy Wind</t>
  </si>
  <si>
    <t>Sleep Powder</t>
  </si>
  <si>
    <t>Strength Sap</t>
  </si>
  <si>
    <t>Route 116</t>
  </si>
  <si>
    <t>Youngster Joey</t>
  </si>
  <si>
    <t>Quick Feet</t>
  </si>
  <si>
    <t>Hyper Fang</t>
  </si>
  <si>
    <t>Slash</t>
  </si>
  <si>
    <t>Heat Wave</t>
  </si>
  <si>
    <t>Seed Bomb</t>
  </si>
  <si>
    <t>Lass Janice</t>
  </si>
  <si>
    <t xml:space="preserve">24 </t>
  </si>
  <si>
    <t>Kebia Berry</t>
  </si>
  <si>
    <t>Dancer</t>
  </si>
  <si>
    <t>Liquid Voice</t>
  </si>
  <si>
    <t>Prankster</t>
  </si>
  <si>
    <t>Revelation Dance</t>
  </si>
  <si>
    <t>Echoed Voice</t>
  </si>
  <si>
    <t>Feather Dance</t>
  </si>
  <si>
    <t>Nature Power</t>
  </si>
  <si>
    <t>Swords Dance</t>
  </si>
  <si>
    <t>Rich Boy Dawson</t>
  </si>
  <si>
    <t>Chople Berry</t>
  </si>
  <si>
    <t>Comatose</t>
  </si>
  <si>
    <t>Dragon Rage</t>
  </si>
  <si>
    <t>Wood Hammer</t>
  </si>
  <si>
    <t>School Kid Jerry &amp; Youngster Johnson [Double]</t>
  </si>
  <si>
    <t>Torrent</t>
  </si>
  <si>
    <t>Water Pledge</t>
  </si>
  <si>
    <t>Bug Buzz</t>
  </si>
  <si>
    <t>Ice Shard</t>
  </si>
  <si>
    <t>Grass Knot</t>
  </si>
  <si>
    <t>Bug Catcher Jose</t>
  </si>
  <si>
    <t>Hyper Cutter</t>
  </si>
  <si>
    <t>First Impression</t>
  </si>
  <si>
    <t>Storm Throw</t>
  </si>
  <si>
    <t>Quiver Dance</t>
  </si>
  <si>
    <t>Thunder Fang</t>
  </si>
  <si>
    <t>Lady Sarah</t>
  </si>
  <si>
    <t>Electric Gem</t>
  </si>
  <si>
    <t>Steely Spirit</t>
  </si>
  <si>
    <t>Iron Tail</t>
  </si>
  <si>
    <t>Thunder</t>
  </si>
  <si>
    <t>Hone Claws</t>
  </si>
  <si>
    <t>School Kid Karen</t>
  </si>
  <si>
    <t xml:space="preserve">25 </t>
  </si>
  <si>
    <t>Regenerator</t>
  </si>
  <si>
    <t>Gulp Missile</t>
  </si>
  <si>
    <t>Lightning Rod</t>
  </si>
  <si>
    <t>Discharge</t>
  </si>
  <si>
    <t>Drill Peck</t>
  </si>
  <si>
    <t>Extreme Speed</t>
  </si>
  <si>
    <t>Hiker Clark</t>
  </si>
  <si>
    <t>Soft Sand</t>
  </si>
  <si>
    <t>Arena Trap</t>
  </si>
  <si>
    <t>Tangling Hair</t>
  </si>
  <si>
    <t>Earthquake</t>
  </si>
  <si>
    <t>Stone Edge</t>
  </si>
  <si>
    <t>Double Team</t>
  </si>
  <si>
    <t>Hiker Devan</t>
  </si>
  <si>
    <t>Strong Jaw</t>
  </si>
  <si>
    <t>Cross Chop</t>
  </si>
  <si>
    <t>Razor Shell</t>
  </si>
  <si>
    <t>Sky Uppercut</t>
  </si>
  <si>
    <t>Rock Polish</t>
  </si>
  <si>
    <t>Rustboro Gym</t>
  </si>
  <si>
    <t>Youngster Josh</t>
  </si>
  <si>
    <t>Choice Scarf</t>
  </si>
  <si>
    <t>Defeatist</t>
  </si>
  <si>
    <t>Mold Breaker</t>
  </si>
  <si>
    <t>Youngster Tommy</t>
  </si>
  <si>
    <t>Rock Head</t>
  </si>
  <si>
    <t>Steam Engine</t>
  </si>
  <si>
    <t>Storm Drain</t>
  </si>
  <si>
    <t>Scald</t>
  </si>
  <si>
    <t>Submission</t>
  </si>
  <si>
    <t>Scorching Sands</t>
  </si>
  <si>
    <t>Calm Mind</t>
  </si>
  <si>
    <t>Sand Tomb</t>
  </si>
  <si>
    <t>Hiker Marc</t>
  </si>
  <si>
    <t>Weakness Policy</t>
  </si>
  <si>
    <t>Shuca Berry</t>
  </si>
  <si>
    <t>Custap Berry</t>
  </si>
  <si>
    <t>Wild Charge</t>
  </si>
  <si>
    <t>Stealth Rock</t>
  </si>
  <si>
    <t>Sandstorm</t>
  </si>
  <si>
    <t>Leader Roxanne [Boss]</t>
  </si>
  <si>
    <t>Aura Break</t>
  </si>
  <si>
    <t>Refrigerate</t>
  </si>
  <si>
    <t>Thousand Arrows</t>
  </si>
  <si>
    <t>Stored Power</t>
  </si>
  <si>
    <t>Dragon Claw</t>
  </si>
  <si>
    <t>Power Gem</t>
  </si>
  <si>
    <t>Psycho Cut</t>
  </si>
  <si>
    <t>Morning Sun</t>
  </si>
  <si>
    <t>Rusturf Tunnel</t>
  </si>
  <si>
    <t>Hiker Mike</t>
  </si>
  <si>
    <t xml:space="preserve">26 </t>
  </si>
  <si>
    <t>Pixie Plate</t>
  </si>
  <si>
    <t>Sand Spit</t>
  </si>
  <si>
    <t>Sand Force</t>
  </si>
  <si>
    <t>Sand Rush</t>
  </si>
  <si>
    <t>Flash Cannon</t>
  </si>
  <si>
    <t>Thunderbolt</t>
  </si>
  <si>
    <t>Glare</t>
  </si>
  <si>
    <t>Mystical Fire</t>
  </si>
  <si>
    <t>Route 117</t>
  </si>
  <si>
    <t>Breeder Lydia</t>
  </si>
  <si>
    <t xml:space="preserve">27 </t>
  </si>
  <si>
    <t>Shadow Tag</t>
  </si>
  <si>
    <t>Psychic</t>
  </si>
  <si>
    <t>Foul Play</t>
  </si>
  <si>
    <t>Shift Gear</t>
  </si>
  <si>
    <t>Breeder Corgi</t>
  </si>
  <si>
    <t xml:space="preserve">28 </t>
  </si>
  <si>
    <t>Steadfast</t>
  </si>
  <si>
    <t>Flare Blitz</t>
  </si>
  <si>
    <t>Return</t>
  </si>
  <si>
    <t>Aura Sphere</t>
  </si>
  <si>
    <t>Flamethrower</t>
  </si>
  <si>
    <t>Psychic Fangs</t>
  </si>
  <si>
    <t>Shadow Ball</t>
  </si>
  <si>
    <t>Magnet Rise</t>
  </si>
  <si>
    <t>Psychic Brandi &amp; Battle Girl Aisha [Double]</t>
  </si>
  <si>
    <t>Payapa Berry</t>
  </si>
  <si>
    <t>Compound Eyes</t>
  </si>
  <si>
    <t>Bad Dreams</t>
  </si>
  <si>
    <t>Thick Fat</t>
  </si>
  <si>
    <t>Poison Jab</t>
  </si>
  <si>
    <t>Dark Void</t>
  </si>
  <si>
    <t>Battle Girl Luna</t>
  </si>
  <si>
    <t>Motor Drive</t>
  </si>
  <si>
    <t>Queenly Majesty</t>
  </si>
  <si>
    <t>Brave</t>
  </si>
  <si>
    <t>Heat Crash</t>
  </si>
  <si>
    <t>Trop Kick</t>
  </si>
  <si>
    <t>Revenge</t>
  </si>
  <si>
    <t>Heavy Slam</t>
  </si>
  <si>
    <t>Low Kick</t>
  </si>
  <si>
    <t>Liquidation</t>
  </si>
  <si>
    <t>Curse</t>
  </si>
  <si>
    <t>Pain Split</t>
  </si>
  <si>
    <t>Triathlete Dylan</t>
  </si>
  <si>
    <t xml:space="preserve">29 </t>
  </si>
  <si>
    <t xml:space="preserve">30 </t>
  </si>
  <si>
    <t>Black Glasses</t>
  </si>
  <si>
    <t>Sticky Hold</t>
  </si>
  <si>
    <t>Early Bird</t>
  </si>
  <si>
    <t>Snarl</t>
  </si>
  <si>
    <t>Water Shuriken</t>
  </si>
  <si>
    <t>Nasty Plot</t>
  </si>
  <si>
    <t>Drill Run</t>
  </si>
  <si>
    <t>Triathlete Maria</t>
  </si>
  <si>
    <t>Skill Link</t>
  </si>
  <si>
    <t>Tail Slap</t>
  </si>
  <si>
    <t>Brave Bird</t>
  </si>
  <si>
    <t>Megahorn</t>
  </si>
  <si>
    <t>Hyper Voice</t>
  </si>
  <si>
    <t>High Horsepower</t>
  </si>
  <si>
    <t>Sing</t>
  </si>
  <si>
    <t>Breeder Isaac</t>
  </si>
  <si>
    <t>Metal Coat</t>
  </si>
  <si>
    <t>Clear Body</t>
  </si>
  <si>
    <t>Gear Grind</t>
  </si>
  <si>
    <t>Electro Ball</t>
  </si>
  <si>
    <t>Extrasensory</t>
  </si>
  <si>
    <t>Autotomize</t>
  </si>
  <si>
    <t>Hidden Power Ice</t>
  </si>
  <si>
    <t>Sr. And Jr. Anna And Meg [Double]</t>
  </si>
  <si>
    <t xml:space="preserve">31 </t>
  </si>
  <si>
    <t>Volt Absorb</t>
  </si>
  <si>
    <t>Bone Rush</t>
  </si>
  <si>
    <t>Muddy Water</t>
  </si>
  <si>
    <t>Trainer Chelle Daycare [Boss]</t>
  </si>
  <si>
    <t xml:space="preserve">32 </t>
  </si>
  <si>
    <t>Quick Claw</t>
  </si>
  <si>
    <t>Super Luck</t>
  </si>
  <si>
    <t>Pressure</t>
  </si>
  <si>
    <t>Quick Draw</t>
  </si>
  <si>
    <t>Normalize</t>
  </si>
  <si>
    <t>Frost Breath</t>
  </si>
  <si>
    <t>Attack Order</t>
  </si>
  <si>
    <t>Last Resort</t>
  </si>
  <si>
    <t>Body Press</t>
  </si>
  <si>
    <t>Double-Edge</t>
  </si>
  <si>
    <t>Slack Off</t>
  </si>
  <si>
    <t>Route 111</t>
  </si>
  <si>
    <t>Camper Tyron &amp; Aroma Lady Celina [Double]</t>
  </si>
  <si>
    <t xml:space="preserve">33 </t>
  </si>
  <si>
    <t>Leek</t>
  </si>
  <si>
    <t>Analytic</t>
  </si>
  <si>
    <t>Healer</t>
  </si>
  <si>
    <t>Effect Spore</t>
  </si>
  <si>
    <t>Gunk Shot</t>
  </si>
  <si>
    <t>Moonblast</t>
  </si>
  <si>
    <t>Leaf Blade</t>
  </si>
  <si>
    <t>Aqua Tail</t>
  </si>
  <si>
    <t>Coil</t>
  </si>
  <si>
    <t>Picnicker Bianca</t>
  </si>
  <si>
    <t>Tinted Lens</t>
  </si>
  <si>
    <t>Overgrow</t>
  </si>
  <si>
    <t>Hurricane</t>
  </si>
  <si>
    <t>Leaf Storm</t>
  </si>
  <si>
    <t>Kindler Hayden</t>
  </si>
  <si>
    <t xml:space="preserve">34 </t>
  </si>
  <si>
    <t>White Smoke</t>
  </si>
  <si>
    <t>Fire Lash</t>
  </si>
  <si>
    <t>Dragon Pulse</t>
  </si>
  <si>
    <t>Fire Spin</t>
  </si>
  <si>
    <t>Explosion</t>
  </si>
  <si>
    <t>Fisherman Dale</t>
  </si>
  <si>
    <t>Bug Gem</t>
  </si>
  <si>
    <t>Normal Gem</t>
  </si>
  <si>
    <t>Waterfall</t>
  </si>
  <si>
    <t>Freeze-Dry</t>
  </si>
  <si>
    <t>Endeavor</t>
  </si>
  <si>
    <t>Psychic Edward</t>
  </si>
  <si>
    <t>Assault Vest</t>
  </si>
  <si>
    <t>Psyshock</t>
  </si>
  <si>
    <t>Charge Beam</t>
  </si>
  <si>
    <t>Mauville</t>
  </si>
  <si>
    <t>Trainer Wally</t>
  </si>
  <si>
    <t xml:space="preserve">43 </t>
  </si>
  <si>
    <t>Synchronize</t>
  </si>
  <si>
    <t>Mauville Gym</t>
  </si>
  <si>
    <t>Guitarist Kirk</t>
  </si>
  <si>
    <t>Electric Seed</t>
  </si>
  <si>
    <t>Poison Barb</t>
  </si>
  <si>
    <t>Electric Surge</t>
  </si>
  <si>
    <t>Punk Rock</t>
  </si>
  <si>
    <t>Surge Surfer</t>
  </si>
  <si>
    <t>Rising Voltage</t>
  </si>
  <si>
    <t>Overdrive</t>
  </si>
  <si>
    <t>Toxic Spikes</t>
  </si>
  <si>
    <t>Battle Girl Vivian</t>
  </si>
  <si>
    <t>Baton Pass</t>
  </si>
  <si>
    <t>Tail Glow</t>
  </si>
  <si>
    <t>Youngster Ben</t>
  </si>
  <si>
    <t>Light Ball</t>
  </si>
  <si>
    <t>Download</t>
  </si>
  <si>
    <t>Galvanize</t>
  </si>
  <si>
    <t>Volt Tackle</t>
  </si>
  <si>
    <t>Tri Attack</t>
  </si>
  <si>
    <t>Guitarist Shawn &amp; Guitarist Angelo [Double]</t>
  </si>
  <si>
    <t>Terrain Extender</t>
  </si>
  <si>
    <t>Plus</t>
  </si>
  <si>
    <t>Minus</t>
  </si>
  <si>
    <t>Steel Beam</t>
  </si>
  <si>
    <t>Electric Terrain</t>
  </si>
  <si>
    <t>Leader Wattson [Boss]</t>
  </si>
  <si>
    <t xml:space="preserve">35 </t>
  </si>
  <si>
    <t>Ampharosite</t>
  </si>
  <si>
    <t>Plasma Fists</t>
  </si>
  <si>
    <t>Close Combat</t>
  </si>
  <si>
    <t>Sleep Talk</t>
  </si>
  <si>
    <t>Psychic Jaclyn</t>
  </si>
  <si>
    <t>Magic Bounce</t>
  </si>
  <si>
    <t>Focus Blast</t>
  </si>
  <si>
    <t>Light Screen</t>
  </si>
  <si>
    <t>Reflect</t>
  </si>
  <si>
    <t>Triathlete Abigail</t>
  </si>
  <si>
    <t>Life Orb</t>
  </si>
  <si>
    <t>Reckless</t>
  </si>
  <si>
    <t>Infiltrator</t>
  </si>
  <si>
    <t>Magnet Pull</t>
  </si>
  <si>
    <t>U-turn</t>
  </si>
  <si>
    <t>Blaze Kick</t>
  </si>
  <si>
    <t>Screech</t>
  </si>
  <si>
    <t>Triathlete Anthony</t>
  </si>
  <si>
    <t>Dark Pulse</t>
  </si>
  <si>
    <t>Agility</t>
  </si>
  <si>
    <t>Triathlete Alyssa</t>
  </si>
  <si>
    <t xml:space="preserve">36 </t>
  </si>
  <si>
    <t xml:space="preserve">37 </t>
  </si>
  <si>
    <t>Competitive</t>
  </si>
  <si>
    <t>Counter</t>
  </si>
  <si>
    <t>Triathlete Benjamin</t>
  </si>
  <si>
    <t>Light Clay</t>
  </si>
  <si>
    <t>Nuzzle</t>
  </si>
  <si>
    <t>Triathlete Jacob</t>
  </si>
  <si>
    <t>Power Herb</t>
  </si>
  <si>
    <t>Serene Grace</t>
  </si>
  <si>
    <t>Corrosion</t>
  </si>
  <si>
    <t>Triathlete Jasmine</t>
  </si>
  <si>
    <t>Pastel Veil</t>
  </si>
  <si>
    <t>Illusion</t>
  </si>
  <si>
    <t>Scrappy</t>
  </si>
  <si>
    <t>Night Daze</t>
  </si>
  <si>
    <t>Trainer Rival Cycling Road Sceptile [Boss]</t>
  </si>
  <si>
    <t xml:space="preserve">38 </t>
  </si>
  <si>
    <t>Psychic Seed</t>
  </si>
  <si>
    <t>Psychic Surge</t>
  </si>
  <si>
    <t>Expanding Force</t>
  </si>
  <si>
    <t>Solar Beam</t>
  </si>
  <si>
    <t>Dragon Dance</t>
  </si>
  <si>
    <t>Trainer Rival Cycling Road Blaziken [Boss]</t>
  </si>
  <si>
    <t>Sweet Veil</t>
  </si>
  <si>
    <t>Overheat</t>
  </si>
  <si>
    <t>Scale Shot</t>
  </si>
  <si>
    <t>Icicle Spear</t>
  </si>
  <si>
    <t>Acid Armor</t>
  </si>
  <si>
    <t>Trainer Rival Cycling Road Swampert [Boss]</t>
  </si>
  <si>
    <t>Avalanche</t>
  </si>
  <si>
    <t>Destiny Bond</t>
  </si>
  <si>
    <t>Pokéfan Isabel &amp; Pokéfan Kaleb [Double]</t>
  </si>
  <si>
    <t>Tough Claws</t>
  </si>
  <si>
    <t>Accelerock</t>
  </si>
  <si>
    <t>Hammer Arm</t>
  </si>
  <si>
    <t>Assurance</t>
  </si>
  <si>
    <t>Guitarist Brian</t>
  </si>
  <si>
    <t>Dry Skin</t>
  </si>
  <si>
    <t>Immunity</t>
  </si>
  <si>
    <t>Boomburst</t>
  </si>
  <si>
    <t>Chatter</t>
  </si>
  <si>
    <t>Collector Edwin</t>
  </si>
  <si>
    <t xml:space="preserve">39 </t>
  </si>
  <si>
    <t>Miracle Seed</t>
  </si>
  <si>
    <t>Sheer Force</t>
  </si>
  <si>
    <t>Eruption</t>
  </si>
  <si>
    <t>Scary Face</t>
  </si>
  <si>
    <t>Route 103</t>
  </si>
  <si>
    <t>Black Belt Rhett &amp; Guitarist Marcos [Double]</t>
  </si>
  <si>
    <t>Crabhammer</t>
  </si>
  <si>
    <t>Tailwind</t>
  </si>
  <si>
    <t>Pokéfan Miguel</t>
  </si>
  <si>
    <t>Iron Barbs</t>
  </si>
  <si>
    <t>Disguise</t>
  </si>
  <si>
    <t>Steel Roller</t>
  </si>
  <si>
    <t>Aroma Lady Daisy</t>
  </si>
  <si>
    <t>Contrary</t>
  </si>
  <si>
    <t>Flower Veil</t>
  </si>
  <si>
    <t>Shadow Claw</t>
  </si>
  <si>
    <t>Dragon Hammer</t>
  </si>
  <si>
    <t>Trick Room</t>
  </si>
  <si>
    <t>Twins Amy And Liv [Double]</t>
  </si>
  <si>
    <t xml:space="preserve">40 </t>
  </si>
  <si>
    <t>Dream Eater</t>
  </si>
  <si>
    <t>Nightmare</t>
  </si>
  <si>
    <t>Substitute</t>
  </si>
  <si>
    <t>Fisherman Andrew</t>
  </si>
  <si>
    <t>Ice Gem</t>
  </si>
  <si>
    <t>Water Gem</t>
  </si>
  <si>
    <t>Lagging Tail</t>
  </si>
  <si>
    <t>Steelworker</t>
  </si>
  <si>
    <t>Grassy Glide</t>
  </si>
  <si>
    <t>Wring Out</t>
  </si>
  <si>
    <t>Throat Chop</t>
  </si>
  <si>
    <t>Switcheroo</t>
  </si>
  <si>
    <t>Petalburg Gym</t>
  </si>
  <si>
    <t>Cool Trainer Mary [Accuracy Room]</t>
  </si>
  <si>
    <t>No Guard</t>
  </si>
  <si>
    <t>Dynamic Punch</t>
  </si>
  <si>
    <t>Mega Kick</t>
  </si>
  <si>
    <t>Head Smash</t>
  </si>
  <si>
    <t>Sacred Sword</t>
  </si>
  <si>
    <t>Cool Trainer Randall [Speed Room]</t>
  </si>
  <si>
    <t>Dig</t>
  </si>
  <si>
    <t>Cool Trainer George [Recovery Room]</t>
  </si>
  <si>
    <t>Grassy Surge</t>
  </si>
  <si>
    <t>Soft-Boiled</t>
  </si>
  <si>
    <t>Cool Trainer Alexia [Defense Room]</t>
  </si>
  <si>
    <t>Stamina</t>
  </si>
  <si>
    <t>Power Whip</t>
  </si>
  <si>
    <t>Cosmic Power</t>
  </si>
  <si>
    <t>Cool Trainer Parker [Critical-Hit Room]</t>
  </si>
  <si>
    <t>Snipe Shot</t>
  </si>
  <si>
    <t>Octazooka</t>
  </si>
  <si>
    <t>Cool Trainer Berke [Recoil Room]</t>
  </si>
  <si>
    <t xml:space="preserve">41 </t>
  </si>
  <si>
    <t>Light of Ruin</t>
  </si>
  <si>
    <t>Head Charge</t>
  </si>
  <si>
    <t>Vacuum Wave</t>
  </si>
  <si>
    <t>Lash Out</t>
  </si>
  <si>
    <t>Cool Trainer Jody [Strength Room]</t>
  </si>
  <si>
    <t>Thick Club</t>
  </si>
  <si>
    <t>Truant</t>
  </si>
  <si>
    <t>Giga Impact</t>
  </si>
  <si>
    <t>High Jump Kick</t>
  </si>
  <si>
    <t>Bonemerang</t>
  </si>
  <si>
    <t>Leader Norman [Boss]</t>
  </si>
  <si>
    <t xml:space="preserve">42 </t>
  </si>
  <si>
    <t>King's Rock</t>
  </si>
  <si>
    <t>Pidgeotite</t>
  </si>
  <si>
    <t>Huge Power</t>
  </si>
  <si>
    <t>Relic Song</t>
  </si>
  <si>
    <t>Winstrate House</t>
  </si>
  <si>
    <t>Winstrate Victor</t>
  </si>
  <si>
    <t>Supersonic</t>
  </si>
  <si>
    <t>Winstrate Victoria</t>
  </si>
  <si>
    <t xml:space="preserve">44 </t>
  </si>
  <si>
    <t>Soundproof</t>
  </si>
  <si>
    <t>Winstrate Vivi</t>
  </si>
  <si>
    <t>Winstrate Vicky</t>
  </si>
  <si>
    <t>Medichamite</t>
  </si>
  <si>
    <t>Moxie</t>
  </si>
  <si>
    <t>Picnicker Irene</t>
  </si>
  <si>
    <t xml:space="preserve">45 </t>
  </si>
  <si>
    <t>Camper Travis</t>
  </si>
  <si>
    <t>Shell Smash</t>
  </si>
  <si>
    <t>Ruin Maniac Bryan &amp; Picnicker Celia [Double]</t>
  </si>
  <si>
    <t>Hidden Power Fire</t>
  </si>
  <si>
    <t>Weather Ball</t>
  </si>
  <si>
    <t>Spiky Shield</t>
  </si>
  <si>
    <t>Camper Branden</t>
  </si>
  <si>
    <t>Red Card</t>
  </si>
  <si>
    <t>Spikes</t>
  </si>
  <si>
    <t>Collector John</t>
  </si>
  <si>
    <t xml:space="preserve">46 </t>
  </si>
  <si>
    <t>Sticky Barb</t>
  </si>
  <si>
    <t>Heavy Metal</t>
  </si>
  <si>
    <t>Camper Beau</t>
  </si>
  <si>
    <t>Sand Veil</t>
  </si>
  <si>
    <t>Zap Cannon</t>
  </si>
  <si>
    <t>Shore Up</t>
  </si>
  <si>
    <t>Ninja Boy Jinra</t>
  </si>
  <si>
    <t>Rock Gem</t>
  </si>
  <si>
    <t>Focus Punch</t>
  </si>
  <si>
    <t>Ruin Maniac Rigger</t>
  </si>
  <si>
    <t>Dragon Rush</t>
  </si>
  <si>
    <t>Power Trip</t>
  </si>
  <si>
    <t>Camper Drew</t>
  </si>
  <si>
    <t>Air Balloon</t>
  </si>
  <si>
    <t>Horn Leech</t>
  </si>
  <si>
    <t>Cool Trainer Wilton</t>
  </si>
  <si>
    <t>Occa Berry</t>
  </si>
  <si>
    <t>Blunder Policy</t>
  </si>
  <si>
    <t>Emergency Exit</t>
  </si>
  <si>
    <t>Black Belt Daisuke</t>
  </si>
  <si>
    <t>Circle Throw</t>
  </si>
  <si>
    <t>Cool Trainer Brooke</t>
  </si>
  <si>
    <t>Safety Goggles</t>
  </si>
  <si>
    <t>Snow Warning</t>
  </si>
  <si>
    <t>Slush Rush</t>
  </si>
  <si>
    <t>Blizzard</t>
  </si>
  <si>
    <t>Route 113</t>
  </si>
  <si>
    <t>Pokémaniac Wyatt</t>
  </si>
  <si>
    <t>Ninja Boy Lao</t>
  </si>
  <si>
    <t>Strange Steam</t>
  </si>
  <si>
    <t>Picnicker Sophie</t>
  </si>
  <si>
    <t>Starf Berry</t>
  </si>
  <si>
    <t>Apple Acid</t>
  </si>
  <si>
    <t>Ninja Boy Lung</t>
  </si>
  <si>
    <t>Final Gambit</t>
  </si>
  <si>
    <t>Rich Boy Santos</t>
  </si>
  <si>
    <t>Drought</t>
  </si>
  <si>
    <t>Oblivious</t>
  </si>
  <si>
    <t>Solar Blade</t>
  </si>
  <si>
    <t>Icicle Crash</t>
  </si>
  <si>
    <t>Twins Tori And Tia [Double]</t>
  </si>
  <si>
    <t>Dazzling</t>
  </si>
  <si>
    <t>Youngster Jaylen</t>
  </si>
  <si>
    <t>Bird Keeper Coby</t>
  </si>
  <si>
    <t>Grav Apple</t>
  </si>
  <si>
    <t>Parasol Lady Madeline</t>
  </si>
  <si>
    <t>Shadow Bone</t>
  </si>
  <si>
    <t>Camper Lawrence</t>
  </si>
  <si>
    <t>Fallarbor</t>
  </si>
  <si>
    <t>Winstrate Vito [Boss]</t>
  </si>
  <si>
    <t xml:space="preserve">48 </t>
  </si>
  <si>
    <t xml:space="preserve">47 </t>
  </si>
  <si>
    <t>Aggronite</t>
  </si>
  <si>
    <t>Adaptability</t>
  </si>
  <si>
    <t>Filter</t>
  </si>
  <si>
    <t>Route 114</t>
  </si>
  <si>
    <t>Picnicker Charlotte</t>
  </si>
  <si>
    <t xml:space="preserve">54 </t>
  </si>
  <si>
    <t>Tangled Feet</t>
  </si>
  <si>
    <t>Imposter</t>
  </si>
  <si>
    <t>Leaf Guard</t>
  </si>
  <si>
    <t>Transform</t>
  </si>
  <si>
    <t>Rich Boy Braw</t>
  </si>
  <si>
    <t>Fisherman Nolan</t>
  </si>
  <si>
    <t xml:space="preserve">49 </t>
  </si>
  <si>
    <t>Marvel Scale</t>
  </si>
  <si>
    <t>Mirror Coat</t>
  </si>
  <si>
    <t>Fisherman Kai</t>
  </si>
  <si>
    <t>Drizzle</t>
  </si>
  <si>
    <t>Flip Turn</t>
  </si>
  <si>
    <t>Fisherman Claude</t>
  </si>
  <si>
    <t>Mega Launcher</t>
  </si>
  <si>
    <t>Kindler Bernie</t>
  </si>
  <si>
    <t>Fire Gem</t>
  </si>
  <si>
    <t>Aftermath</t>
  </si>
  <si>
    <t>Fire Blast</t>
  </si>
  <si>
    <t>Picnicker Angelina</t>
  </si>
  <si>
    <t>Expert Nancy</t>
  </si>
  <si>
    <t xml:space="preserve">50 </t>
  </si>
  <si>
    <t>Cotton Down</t>
  </si>
  <si>
    <t>Berserk</t>
  </si>
  <si>
    <t>Gyro Ball</t>
  </si>
  <si>
    <t>Meteor Assault</t>
  </si>
  <si>
    <t>Pollen Puff</t>
  </si>
  <si>
    <t>Trick</t>
  </si>
  <si>
    <t>Sr. And Jr. Tyra And Ivy [Double]</t>
  </si>
  <si>
    <t>Burning Jealousy</t>
  </si>
  <si>
    <t>Spirit Break</t>
  </si>
  <si>
    <t>Pokémaniac Steve</t>
  </si>
  <si>
    <t>Hiker Lucas</t>
  </si>
  <si>
    <t>Hiker Lenny</t>
  </si>
  <si>
    <t xml:space="preserve">51 </t>
  </si>
  <si>
    <t>Suction Cups</t>
  </si>
  <si>
    <t>Route 115</t>
  </si>
  <si>
    <t>Black Belt Nob</t>
  </si>
  <si>
    <t xml:space="preserve">52 </t>
  </si>
  <si>
    <t>Battle Girl Cyndy</t>
  </si>
  <si>
    <t>Octolock</t>
  </si>
  <si>
    <t>Psychic Marlene</t>
  </si>
  <si>
    <t>Screen Cleaner</t>
  </si>
  <si>
    <t>Mummy</t>
  </si>
  <si>
    <t>Collector Hector</t>
  </si>
  <si>
    <t>Hustle</t>
  </si>
  <si>
    <t>Toxic Boost</t>
  </si>
  <si>
    <t>Route 112</t>
  </si>
  <si>
    <t>Kindler Bryant &amp; Aroma Lady Shayla [Double]</t>
  </si>
  <si>
    <t>Grass Gem</t>
  </si>
  <si>
    <t>Solar Power</t>
  </si>
  <si>
    <t>Petal Blizzard</t>
  </si>
  <si>
    <t>Camper Merc</t>
  </si>
  <si>
    <t>Dark Gem</t>
  </si>
  <si>
    <t>Hiker Trent</t>
  </si>
  <si>
    <t>Metal Burst</t>
  </si>
  <si>
    <t>Roar</t>
  </si>
  <si>
    <t>Hiker Brice</t>
  </si>
  <si>
    <t xml:space="preserve">53 </t>
  </si>
  <si>
    <t>Colbur Berry</t>
  </si>
  <si>
    <t>Room Service</t>
  </si>
  <si>
    <t>Future Sight</t>
  </si>
  <si>
    <t>Picnicker Carol</t>
  </si>
  <si>
    <t>Mt. Chimney</t>
  </si>
  <si>
    <t>Team Magma Grunt Mt Chimney #1 &amp; Team Magma Grunt Mt Chimney #2 [Double]</t>
  </si>
  <si>
    <t>Fairy Gem</t>
  </si>
  <si>
    <t>Acid Spray</t>
  </si>
  <si>
    <t>Encore</t>
  </si>
  <si>
    <t>Magma Admin Tabitha</t>
  </si>
  <si>
    <t>Absolite</t>
  </si>
  <si>
    <t>Battle Armor</t>
  </si>
  <si>
    <t>Magma Leader Maxie [Boss]</t>
  </si>
  <si>
    <t>Cameruptite</t>
  </si>
  <si>
    <t>Darkest Lariat</t>
  </si>
  <si>
    <t>Jagged Pass</t>
  </si>
  <si>
    <t>Hiker Eric &amp; Picnicker Autumn [Double]</t>
  </si>
  <si>
    <t>Power Spot</t>
  </si>
  <si>
    <t>Triathlete Julio</t>
  </si>
  <si>
    <t>Camper Ethan</t>
  </si>
  <si>
    <t>Picnicker Diana</t>
  </si>
  <si>
    <t>Grassy Seed</t>
  </si>
  <si>
    <t>Self-Destruct</t>
  </si>
  <si>
    <t>Team Magma Grunt Jagged Pass [Optional]</t>
  </si>
  <si>
    <t>Magma Armor</t>
  </si>
  <si>
    <t>Lavaridge Gym</t>
  </si>
  <si>
    <t>Kindler Jace</t>
  </si>
  <si>
    <t>Libero</t>
  </si>
  <si>
    <t>Pyro Ball</t>
  </si>
  <si>
    <t>Kindler Cole</t>
  </si>
  <si>
    <t>Cool Trainer Gerald</t>
  </si>
  <si>
    <t>Kindler Keegan</t>
  </si>
  <si>
    <t xml:space="preserve">55 </t>
  </si>
  <si>
    <t>Kindler Axle</t>
  </si>
  <si>
    <t>Charti Berry</t>
  </si>
  <si>
    <t>Kindler Jeff</t>
  </si>
  <si>
    <t xml:space="preserve">56 </t>
  </si>
  <si>
    <t>Battle Girl Danielle</t>
  </si>
  <si>
    <t>Block</t>
  </si>
  <si>
    <t>Hiker Eli</t>
  </si>
  <si>
    <t>Burn Up</t>
  </si>
  <si>
    <t>Leader Flannery [Double] [Boss]</t>
  </si>
  <si>
    <t xml:space="preserve">58 </t>
  </si>
  <si>
    <t xml:space="preserve">57 </t>
  </si>
  <si>
    <t>Charizardite Y</t>
  </si>
  <si>
    <t>Gale Wings</t>
  </si>
  <si>
    <t>Sacred Fire</t>
  </si>
  <si>
    <t>Poltergeist</t>
  </si>
  <si>
    <t>Seashore House</t>
  </si>
  <si>
    <t>Tuber Simon</t>
  </si>
  <si>
    <t>Petaya Berry</t>
  </si>
  <si>
    <t>Endure</t>
  </si>
  <si>
    <t>Beauty Johanna</t>
  </si>
  <si>
    <t>Sludge Wave</t>
  </si>
  <si>
    <t>Sailor Dwayne</t>
  </si>
  <si>
    <t xml:space="preserve">59 </t>
  </si>
  <si>
    <t>Wacan Berry</t>
  </si>
  <si>
    <t>Adrenaline Orb</t>
  </si>
  <si>
    <t>Route 105</t>
  </si>
  <si>
    <t>Swimmer♀ Imani [Optional]</t>
  </si>
  <si>
    <t>Swimmer♂ Dominik [Optional]</t>
  </si>
  <si>
    <t>Ruin Maniac Foster [Optional]</t>
  </si>
  <si>
    <t>Swimmer♀ Beverly [Optional]</t>
  </si>
  <si>
    <t xml:space="preserve">70 </t>
  </si>
  <si>
    <t>Swimmer♂ Luis [Optional]</t>
  </si>
  <si>
    <t>Bird Keeper Josue &amp; Ruin Maniac Andres [Double]</t>
  </si>
  <si>
    <t xml:space="preserve">64 </t>
  </si>
  <si>
    <t xml:space="preserve">65 </t>
  </si>
  <si>
    <t>Beedrillite</t>
  </si>
  <si>
    <t>Meteor Beam</t>
  </si>
  <si>
    <t>Swimmer♂ Douglas [Optional]</t>
  </si>
  <si>
    <t>Swimmer♀ Kyla [Optional]</t>
  </si>
  <si>
    <t>Route 107</t>
  </si>
  <si>
    <t>Swimmer♀ Denise [Optional]</t>
  </si>
  <si>
    <t>Swimmer♂ Tony [Optional]</t>
  </si>
  <si>
    <t>Sis And Bro Lisa And Ray [Double]</t>
  </si>
  <si>
    <t>Swimmer♂ Darrin [Optional]</t>
  </si>
  <si>
    <t>Swimmer♀ Beth [Optional]</t>
  </si>
  <si>
    <t>Water Bubble</t>
  </si>
  <si>
    <t>Triathlete Camron [Optional]</t>
  </si>
  <si>
    <t>Route 108</t>
  </si>
  <si>
    <t>Swimmer♀ Missy [Optional]</t>
  </si>
  <si>
    <t>Swimmer♂ Matthew [Optional]</t>
  </si>
  <si>
    <t>Swimmer♀ Tara [Optional]</t>
  </si>
  <si>
    <t>Swimmer♂ Jerome [Optional]</t>
  </si>
  <si>
    <t>Cool Trainer Carolina &amp; Sailor Cory [Double]</t>
  </si>
  <si>
    <t>Lopunnite</t>
  </si>
  <si>
    <t>Abandoned Ship</t>
  </si>
  <si>
    <t>Beauty Thalia [Optional]</t>
  </si>
  <si>
    <t>Youngster Demetrius [Optional]</t>
  </si>
  <si>
    <t>Sailor Duncan [Optional]</t>
  </si>
  <si>
    <t>Tuber Charlie [Optional]</t>
  </si>
  <si>
    <t>Young Couple Kira And Dan [Double]</t>
  </si>
  <si>
    <t>Ruin Maniac Garrison &amp; Tuber Jani [Double]</t>
  </si>
  <si>
    <t>Ground Gem</t>
  </si>
  <si>
    <t>Audinite</t>
  </si>
  <si>
    <t>Life Dew</t>
  </si>
  <si>
    <t>Bird Keeper Elijah [Optional]</t>
  </si>
  <si>
    <t>Fisherman Carter [Optional]</t>
  </si>
  <si>
    <t>Young Couple Mel And Paul [Double] [Optional]</t>
  </si>
  <si>
    <t>Swimmer♀ Alice [Optional]</t>
  </si>
  <si>
    <t>Swimmer♂ David [Optional]</t>
  </si>
  <si>
    <t>Tuber Gwen [Optional]</t>
  </si>
  <si>
    <t>Tuber Austina [Optional]</t>
  </si>
  <si>
    <t>Route 118</t>
  </si>
  <si>
    <t>Swimmer♀ Rose &amp; Swimmer♂ Deandre [Double]</t>
  </si>
  <si>
    <t>Acupressure</t>
  </si>
  <si>
    <t>Fisherman Wade</t>
  </si>
  <si>
    <t xml:space="preserve">60 </t>
  </si>
  <si>
    <t>Fisherman Barny</t>
  </si>
  <si>
    <t xml:space="preserve">61 </t>
  </si>
  <si>
    <t>Guitarist Dalton</t>
  </si>
  <si>
    <t>Bird Keeper Perry &amp; Bird Keeper Chester [Double]</t>
  </si>
  <si>
    <t>Route 119</t>
  </si>
  <si>
    <t>Bug Maniac Taylor</t>
  </si>
  <si>
    <t>Rain Dish</t>
  </si>
  <si>
    <t>Bug Catcher Doug</t>
  </si>
  <si>
    <t xml:space="preserve">62 </t>
  </si>
  <si>
    <t>Fisherman Phil</t>
  </si>
  <si>
    <t xml:space="preserve">80 </t>
  </si>
  <si>
    <t xml:space="preserve">90 </t>
  </si>
  <si>
    <t>Sweet Kiss</t>
  </si>
  <si>
    <t>Ranger Lydian</t>
  </si>
  <si>
    <t>Draco Meteor</t>
  </si>
  <si>
    <t>Bug Catcher Greg</t>
  </si>
  <si>
    <t xml:space="preserve">63 </t>
  </si>
  <si>
    <t>Ice Scales</t>
  </si>
  <si>
    <t>Disable</t>
  </si>
  <si>
    <t>Bug Maniac Brent</t>
  </si>
  <si>
    <t>Fissure</t>
  </si>
  <si>
    <t>Expert Donald</t>
  </si>
  <si>
    <t>Dragon Gem</t>
  </si>
  <si>
    <t>Dual Chop</t>
  </si>
  <si>
    <t>Ranger Catherine</t>
  </si>
  <si>
    <t>Pixilate</t>
  </si>
  <si>
    <t>Ranger Jackson</t>
  </si>
  <si>
    <t>Hunger Switch</t>
  </si>
  <si>
    <t>Aura Wheel</t>
  </si>
  <si>
    <t>Bug Catcher Kent</t>
  </si>
  <si>
    <t>Steel Gem</t>
  </si>
  <si>
    <t>Ninja Boy Takashi &amp; Psychic Dayton [Double]</t>
  </si>
  <si>
    <t>Telepathy</t>
  </si>
  <si>
    <t>Water Spout</t>
  </si>
  <si>
    <t>Bird Keeper Hugh</t>
  </si>
  <si>
    <t>Sharp Beak</t>
  </si>
  <si>
    <t>Liechi Berry</t>
  </si>
  <si>
    <t>Ripen</t>
  </si>
  <si>
    <t>Whirlwind</t>
  </si>
  <si>
    <t>Fly</t>
  </si>
  <si>
    <t>Parasol Lady Koko</t>
  </si>
  <si>
    <t>Volt Switch</t>
  </si>
  <si>
    <t>Weather Institute</t>
  </si>
  <si>
    <t>Team Aqua Grunt Weather Inst #1</t>
  </si>
  <si>
    <t>Smart Strike</t>
  </si>
  <si>
    <t>Team Aqua Grunt Weather Inst #2</t>
  </si>
  <si>
    <t>Focus Band</t>
  </si>
  <si>
    <t>Team Aqua Grunt Weather Inst #3</t>
  </si>
  <si>
    <t>Shell Side Arm</t>
  </si>
  <si>
    <t>Team Aqua Grunt Weather Inst #4 &amp; Team Aqua Grunt Weather Inst #5 [Double]</t>
  </si>
  <si>
    <t>Psychic Gem</t>
  </si>
  <si>
    <t>Bolt Beak</t>
  </si>
  <si>
    <t>Aurora Veil</t>
  </si>
  <si>
    <t>Aqua Admin Shelly Weather Institute [Boss]</t>
  </si>
  <si>
    <t>Blastoisinite</t>
  </si>
  <si>
    <t>Beast Boost</t>
  </si>
  <si>
    <t>Multiscale</t>
  </si>
  <si>
    <t>Trainer Rival Bridge Sceptile [Double] [Boss]</t>
  </si>
  <si>
    <t xml:space="preserve">66 </t>
  </si>
  <si>
    <t>Sceptilite</t>
  </si>
  <si>
    <t>Terrain Pulse</t>
  </si>
  <si>
    <t>Trainer Rival Bridge Blaziken [Double] [Boss]</t>
  </si>
  <si>
    <t>Blazikenite</t>
  </si>
  <si>
    <t>Meteor Mash</t>
  </si>
  <si>
    <t>Trainer Rival Bridge Swampert [Double] [Boss]</t>
  </si>
  <si>
    <t>Swampertite</t>
  </si>
  <si>
    <t>Ninja Boy Yasu &amp; Guitarist Fabian [Double]</t>
  </si>
  <si>
    <t>Forecast</t>
  </si>
  <si>
    <t>Frustration</t>
  </si>
  <si>
    <t>Ninja Boy Gren</t>
  </si>
  <si>
    <t xml:space="preserve">69 </t>
  </si>
  <si>
    <t>Battle Bond</t>
  </si>
  <si>
    <t>Route 120</t>
  </si>
  <si>
    <t>Parasol Lady Clarissa</t>
  </si>
  <si>
    <t xml:space="preserve">67 </t>
  </si>
  <si>
    <t>Bird Keeper Robert</t>
  </si>
  <si>
    <t>Guillotine</t>
  </si>
  <si>
    <t>Fortree Gym</t>
  </si>
  <si>
    <t>Expert Kevin</t>
  </si>
  <si>
    <t xml:space="preserve">68 </t>
  </si>
  <si>
    <t>Hidden Power Ground</t>
  </si>
  <si>
    <t>Picnicker Ashley</t>
  </si>
  <si>
    <t>Camper Flint &amp; Bird Keeper Edwardo [Double]</t>
  </si>
  <si>
    <t>Wonder Skin</t>
  </si>
  <si>
    <t>Bird Keeper Darius</t>
  </si>
  <si>
    <t>Bird Keeper Jared</t>
  </si>
  <si>
    <t>Leader Winona [Boss]</t>
  </si>
  <si>
    <t>Altarianite</t>
  </si>
  <si>
    <t>Seed Flare</t>
  </si>
  <si>
    <t>Fiery Dance</t>
  </si>
  <si>
    <t>Aromatherapy</t>
  </si>
  <si>
    <t>Bird Keeper Colin</t>
  </si>
  <si>
    <t>Cool Trainer Gian</t>
  </si>
  <si>
    <t>Babiri Berry</t>
  </si>
  <si>
    <t>Cool Trainer Jennifer &amp; Battle Girl Callie [Double]</t>
  </si>
  <si>
    <t>Coaching</t>
  </si>
  <si>
    <t>Parasol Lady Angelica</t>
  </si>
  <si>
    <t xml:space="preserve">71 </t>
  </si>
  <si>
    <t>Ghost Gem</t>
  </si>
  <si>
    <t>Ranger Jenna</t>
  </si>
  <si>
    <t>Eject Pack</t>
  </si>
  <si>
    <t>Petal Dance</t>
  </si>
  <si>
    <t>Ranger Lorenzo</t>
  </si>
  <si>
    <t>Bug Maniac Jeffrey</t>
  </si>
  <si>
    <t xml:space="preserve">73 </t>
  </si>
  <si>
    <t>Ruin Maniac Chip</t>
  </si>
  <si>
    <t>Ninja Boy Keigo</t>
  </si>
  <si>
    <t>Perish Body</t>
  </si>
  <si>
    <t>Moody</t>
  </si>
  <si>
    <t>Ninja Boy Riley</t>
  </si>
  <si>
    <t>Memento</t>
  </si>
  <si>
    <t>Route 121</t>
  </si>
  <si>
    <t>Cool Trainer Tammy &amp; Bug Maniac Cale [Double]</t>
  </si>
  <si>
    <t xml:space="preserve">72 </t>
  </si>
  <si>
    <t>Neutralizing Gas</t>
  </si>
  <si>
    <t>Beauty Jessica</t>
  </si>
  <si>
    <t>Breeder Pat</t>
  </si>
  <si>
    <t>Breeder Myles</t>
  </si>
  <si>
    <t>Smack Down</t>
  </si>
  <si>
    <t>Cool Trainer Gustavo</t>
  </si>
  <si>
    <t>Poison Gem</t>
  </si>
  <si>
    <t>Cool Trainer Cristin</t>
  </si>
  <si>
    <t>Sand Stream</t>
  </si>
  <si>
    <t>Young Couple Brian And Casey [Double]</t>
  </si>
  <si>
    <t>Heal Pulse</t>
  </si>
  <si>
    <t>Gentleman Walter</t>
  </si>
  <si>
    <t>Dark Memory</t>
  </si>
  <si>
    <t>RKS System</t>
  </si>
  <si>
    <t>Multi-Attack</t>
  </si>
  <si>
    <t>Pokéfan Vanessa</t>
  </si>
  <si>
    <t>Aroma Veil</t>
  </si>
  <si>
    <t>Lilycove</t>
  </si>
  <si>
    <t>Trainer Rival Lilycove Sceptile [Boss]</t>
  </si>
  <si>
    <t>Double Iron Bash</t>
  </si>
  <si>
    <t>Fiery Wrath</t>
  </si>
  <si>
    <t>Trainer Rival Lilycove Blaziken [Boss]</t>
  </si>
  <si>
    <t>Freezing Glare</t>
  </si>
  <si>
    <t>Trainer Rival Lilycove Swampert [Boss]</t>
  </si>
  <si>
    <t>Thunderous Kick</t>
  </si>
  <si>
    <t>Mt. Pyre</t>
  </si>
  <si>
    <t>Young Couple Dez And Luke [Double]</t>
  </si>
  <si>
    <t>Hex Maniac Leah</t>
  </si>
  <si>
    <t>Pokémaniac Mark</t>
  </si>
  <si>
    <t>Psychic William</t>
  </si>
  <si>
    <t xml:space="preserve">74 </t>
  </si>
  <si>
    <t>Wandering Spirit</t>
  </si>
  <si>
    <t>Liquid Ooze</t>
  </si>
  <si>
    <t>Snow Cloak</t>
  </si>
  <si>
    <t>Barrier</t>
  </si>
  <si>
    <t>Breeder Gabrielle</t>
  </si>
  <si>
    <t>Hex Maniac Tasha</t>
  </si>
  <si>
    <t>Black Belt Atsushi</t>
  </si>
  <si>
    <t>Hex Maniac Valerie</t>
  </si>
  <si>
    <t>Psychic Cedric</t>
  </si>
  <si>
    <t>Roseli Berry</t>
  </si>
  <si>
    <t>Psychic Kayla</t>
  </si>
  <si>
    <t xml:space="preserve">75 </t>
  </si>
  <si>
    <t>Heatproof</t>
  </si>
  <si>
    <t>Black Belt Zander</t>
  </si>
  <si>
    <t>Team Aqua Grunt Mt Pyre #1</t>
  </si>
  <si>
    <t>Team Aqua Grunt Mt Pyre #2</t>
  </si>
  <si>
    <t>Team Aqua Grunt Mt Pyre #3</t>
  </si>
  <si>
    <t>Team Aqua Grunt Mt Pyre #4</t>
  </si>
  <si>
    <t>Team Aqua Grunt Mt Pyre #5 &amp; Team Aqua Grunt Mt Pyre #6 [Double]</t>
  </si>
  <si>
    <t>Fishious Rend</t>
  </si>
  <si>
    <t>Aqua Leader Archie [Tag Battle] [Boss]</t>
  </si>
  <si>
    <t xml:space="preserve">76 </t>
  </si>
  <si>
    <t xml:space="preserve">77 </t>
  </si>
  <si>
    <t>Sharpedonite</t>
  </si>
  <si>
    <t>Unseen Fist</t>
  </si>
  <si>
    <t>Surging Strikes</t>
  </si>
  <si>
    <t>Trainer Chelle [Tag Partner]</t>
  </si>
  <si>
    <t>Venusaurite</t>
  </si>
  <si>
    <t>Magma Hideout</t>
  </si>
  <si>
    <t>Team Magma Grunt Magma Hideout #1</t>
  </si>
  <si>
    <t>Team Magma Grunt Magma Hideout #2</t>
  </si>
  <si>
    <t>Team Magma Grunt Magma Hideout #3</t>
  </si>
  <si>
    <t>Team Magma Grunt Magma Hideout #4</t>
  </si>
  <si>
    <t>Yawn</t>
  </si>
  <si>
    <t>Team Magma Grunt Magma Hideout #5</t>
  </si>
  <si>
    <t>Team Magma Grunt Magma Hideout #6</t>
  </si>
  <si>
    <t>Team Magma Grunt Magma Hideout #7 &amp; Team Magma Grunt Magma Hideout #8 [Double]</t>
  </si>
  <si>
    <t xml:space="preserve">78 </t>
  </si>
  <si>
    <t>Tanga Berry</t>
  </si>
  <si>
    <t>Growth</t>
  </si>
  <si>
    <t>Imprison</t>
  </si>
  <si>
    <t>Milk Drink</t>
  </si>
  <si>
    <t>Natural Gift</t>
  </si>
  <si>
    <t>Team Magma Grunt Magma Hideout #9</t>
  </si>
  <si>
    <t>Phantom Force</t>
  </si>
  <si>
    <t>Anchor Shot</t>
  </si>
  <si>
    <t>Team Magma Grunt Magma Hideout #10</t>
  </si>
  <si>
    <t>Fire Memory</t>
  </si>
  <si>
    <t>Grass Pledge</t>
  </si>
  <si>
    <t>Team Magma Grunt Magma Hideout #11</t>
  </si>
  <si>
    <t>Misty Seed</t>
  </si>
  <si>
    <t>Misty Surge</t>
  </si>
  <si>
    <t>Misty Explosion</t>
  </si>
  <si>
    <t>Team Magma Grunt Magma Hideout  #12</t>
  </si>
  <si>
    <t>Team Magma Grunt Magma Hideout #13</t>
  </si>
  <si>
    <t>Team Magma Grunt Magma Hideout #14</t>
  </si>
  <si>
    <t>Team Magma Grunt Magma Hideout #15</t>
  </si>
  <si>
    <t xml:space="preserve">79 </t>
  </si>
  <si>
    <t>Victory Star</t>
  </si>
  <si>
    <t>V-create</t>
  </si>
  <si>
    <t>Bolt Strike</t>
  </si>
  <si>
    <t>Houndoominite</t>
  </si>
  <si>
    <t>Precipice Blades</t>
  </si>
  <si>
    <t>Aqua Hideout</t>
  </si>
  <si>
    <t>Team Aqua Grunt Aqua Hideout #1</t>
  </si>
  <si>
    <t>Team Aqua Grunt Aqua Hideout #2</t>
  </si>
  <si>
    <t>Wish</t>
  </si>
  <si>
    <t>Team Aqua Grunt Aqua Hideout #3</t>
  </si>
  <si>
    <t>Team Aqua Grunt Aqua Hideout #4</t>
  </si>
  <si>
    <t>Ice Face</t>
  </si>
  <si>
    <t>Team Aqua Grunt Aqua Hideout #5</t>
  </si>
  <si>
    <t>Team Aqua Grunt Aqua Hideout #6</t>
  </si>
  <si>
    <t>Team Aqua Grunt Aqua Hideout #7</t>
  </si>
  <si>
    <t>Gooey</t>
  </si>
  <si>
    <t>Team Aqua Grunt Aqua Hideout #8</t>
  </si>
  <si>
    <t>Obstruct</t>
  </si>
  <si>
    <t>Aqua Admin Matt [Boss]</t>
  </si>
  <si>
    <t xml:space="preserve">81 </t>
  </si>
  <si>
    <t xml:space="preserve">82 </t>
  </si>
  <si>
    <t>Gyaradosite</t>
  </si>
  <si>
    <t>Dragon Darts</t>
  </si>
  <si>
    <t>Route 124</t>
  </si>
  <si>
    <t>Swimmer♀ Grace &amp; Swimmer♂ Declan [Double]</t>
  </si>
  <si>
    <t>Mat Block</t>
  </si>
  <si>
    <t>Swimmer♂ Cranberry</t>
  </si>
  <si>
    <t xml:space="preserve">83 </t>
  </si>
  <si>
    <t xml:space="preserve">84 </t>
  </si>
  <si>
    <t>Triathlete Aubrey</t>
  </si>
  <si>
    <t>Throat Spray</t>
  </si>
  <si>
    <t>Swimmer♂ Chad [Optional]</t>
  </si>
  <si>
    <t>Triathlete Isabella [Optional]</t>
  </si>
  <si>
    <t>Swimmer♂ Roland [Optional]</t>
  </si>
  <si>
    <t>Swimmer♂ Nolen [Optional]</t>
  </si>
  <si>
    <t>Sailor Ernest [Optional]</t>
  </si>
  <si>
    <t>Swimmer♀ Sharon [Optional]</t>
  </si>
  <si>
    <t>Swimmer♀ Tanya [Optional]</t>
  </si>
  <si>
    <t>Swimmer♂ Stan [Optional]</t>
  </si>
  <si>
    <t>Bird Keeper Presley &amp; Expert Auron [Double]</t>
  </si>
  <si>
    <t xml:space="preserve">85 </t>
  </si>
  <si>
    <t>Manectite</t>
  </si>
  <si>
    <t>Sr. And Jr. Kim And Iris [Double]</t>
  </si>
  <si>
    <t>Mossdeep Gym</t>
  </si>
  <si>
    <t>Psychic Preston &amp; Psychic Maura [Double]</t>
  </si>
  <si>
    <t>Psych Up</t>
  </si>
  <si>
    <t>Silver Wind</t>
  </si>
  <si>
    <t>Psychic Blake &amp; Psychic Samantha [Double]</t>
  </si>
  <si>
    <t>Metal Sound</t>
  </si>
  <si>
    <t>Psychic Virgil &amp; Gentleman Nate [Double]</t>
  </si>
  <si>
    <t>Fling</t>
  </si>
  <si>
    <t>Psychic Hannah &amp; Battle Girl Sylvia [Double]</t>
  </si>
  <si>
    <t>Leer</t>
  </si>
  <si>
    <t>Hex Maniac Kathleen &amp; Psychic Nicholas [Double]</t>
  </si>
  <si>
    <t>Gentleman Clifford &amp; Psychic Macey [Double]</t>
  </si>
  <si>
    <t xml:space="preserve">1 </t>
  </si>
  <si>
    <t>Receiver</t>
  </si>
  <si>
    <t>Quirky</t>
  </si>
  <si>
    <t>Role Play</t>
  </si>
  <si>
    <t>Leader Tate [Boss]</t>
  </si>
  <si>
    <t xml:space="preserve">86 </t>
  </si>
  <si>
    <t>Latiosite</t>
  </si>
  <si>
    <t>Magician</t>
  </si>
  <si>
    <t>Hyperspace Hole</t>
  </si>
  <si>
    <t>Leader Liza [Boss]</t>
  </si>
  <si>
    <t>Soul Dew</t>
  </si>
  <si>
    <t>Metagrossite</t>
  </si>
  <si>
    <t>Hyperspace Fury</t>
  </si>
  <si>
    <t>Nature's Madness</t>
  </si>
  <si>
    <t>Mossdeep Space Center</t>
  </si>
  <si>
    <t>Team Magma Grunt Space Center #1</t>
  </si>
  <si>
    <t>Team Magma Grunt Space Center #2</t>
  </si>
  <si>
    <t>Team Magma Grunt Space Center #3</t>
  </si>
  <si>
    <t>Grass Memory</t>
  </si>
  <si>
    <t>Magma Admin Courtney</t>
  </si>
  <si>
    <t xml:space="preserve">87 </t>
  </si>
  <si>
    <t>Charizardite X</t>
  </si>
  <si>
    <t>Team Magma Grunt Space Center #5</t>
  </si>
  <si>
    <t>Team Magma Grunt Space Center #6</t>
  </si>
  <si>
    <t>Team Magma Grunt Space Center #7</t>
  </si>
  <si>
    <t>Magma Leader Maxie &amp; Magma Admin Tabitha [Tag Battle] [Boss]</t>
  </si>
  <si>
    <t xml:space="preserve">88 </t>
  </si>
  <si>
    <t xml:space="preserve">89 </t>
  </si>
  <si>
    <t>Garchompite</t>
  </si>
  <si>
    <t>Tyranitarite</t>
  </si>
  <si>
    <t>Magma Storm</t>
  </si>
  <si>
    <t>Taunt</t>
  </si>
  <si>
    <t>Trainer Steven [Tag Partner]</t>
  </si>
  <si>
    <t>Steelixite</t>
  </si>
  <si>
    <t>Sis And Bro Lila And Roy [Double]</t>
  </si>
  <si>
    <t>Route 126</t>
  </si>
  <si>
    <t>Swimmer♂ Dean</t>
  </si>
  <si>
    <t>Shields Down</t>
  </si>
  <si>
    <t>Swimmer♀ Sienna [Optional]</t>
  </si>
  <si>
    <t>Swimmer♂ Leonardo [Optional]</t>
  </si>
  <si>
    <t>Triathlete Isobel [Optional]</t>
  </si>
  <si>
    <t>Swimmer♀ Brenda [Optional]</t>
  </si>
  <si>
    <t>Swimmer♀ Nikki [Optional]</t>
  </si>
  <si>
    <t>Swimmer♂ Barry [Optional]</t>
  </si>
  <si>
    <t>Triathlete Pablo</t>
  </si>
  <si>
    <t>Aerodactylite</t>
  </si>
  <si>
    <t>Route 127</t>
  </si>
  <si>
    <t>Bird Keeper Camden &amp; Battle Girl Donny [Double]</t>
  </si>
  <si>
    <t>Bird Keeper Aidan &amp; Cool Trainer Athena [Double]</t>
  </si>
  <si>
    <t>Pinsirite</t>
  </si>
  <si>
    <t>Aerilate</t>
  </si>
  <si>
    <t>Feint</t>
  </si>
  <si>
    <t>Fisherman Roger &amp; Black Belt Koji [Double]</t>
  </si>
  <si>
    <t>Banettite</t>
  </si>
  <si>
    <t>Fisherman Jonah [Optional]</t>
  </si>
  <si>
    <t>Fisherman Henry [Optional]</t>
  </si>
  <si>
    <t>Route 128</t>
  </si>
  <si>
    <t>Swimmer♀ Carlee &amp; Swimmer♂ Harrison [Double]</t>
  </si>
  <si>
    <t xml:space="preserve">91 </t>
  </si>
  <si>
    <t>Sheer Cold</t>
  </si>
  <si>
    <t>Cool Trainer Alexa [Optional]</t>
  </si>
  <si>
    <t>Anticipation</t>
  </si>
  <si>
    <t>Cool Trainer Ruben [Optional]</t>
  </si>
  <si>
    <t>Triathlete Katelyn [Optional]</t>
  </si>
  <si>
    <t>Fisherman Wayne [Optional]</t>
  </si>
  <si>
    <t>Triathlete Isaiah [Optional]</t>
  </si>
  <si>
    <t>Seafloor Cavern</t>
  </si>
  <si>
    <t>Team Aqua Grunt Seafloor Cavern #1</t>
  </si>
  <si>
    <t>Team Aqua Grunt Seafloor Cavern #2</t>
  </si>
  <si>
    <t>Team Aqua Grunt Seafloor Cavern #3</t>
  </si>
  <si>
    <t>Team Aqua Grunt Seafloor Cavern #4</t>
  </si>
  <si>
    <t>Jaw Lock</t>
  </si>
  <si>
    <t>Team Aqua Grunt Seafloor Cavern #5</t>
  </si>
  <si>
    <t>Aqua Admin Shelly</t>
  </si>
  <si>
    <t>Slowbronite</t>
  </si>
  <si>
    <t>Gorilla Tactics</t>
  </si>
  <si>
    <t>Mean Look</t>
  </si>
  <si>
    <t>Aqua Leader Archie [Boss]</t>
  </si>
  <si>
    <t>Stance Change</t>
  </si>
  <si>
    <t>Origin Pulse</t>
  </si>
  <si>
    <t>King's Shield</t>
  </si>
  <si>
    <t>Route 129 [Erratic Weather]</t>
  </si>
  <si>
    <t>Swimmer♂ Reed</t>
  </si>
  <si>
    <t>Triathlete Chase &amp; Triathlete Allison [Double]</t>
  </si>
  <si>
    <t>Swimmer♀ Tisha</t>
  </si>
  <si>
    <t>Triage</t>
  </si>
  <si>
    <t>No Retreat</t>
  </si>
  <si>
    <t>Swimmer♂ Clarence</t>
  </si>
  <si>
    <t>Route 130</t>
  </si>
  <si>
    <t>Swimmer♂ Rodney</t>
  </si>
  <si>
    <t>Innards Out</t>
  </si>
  <si>
    <t>Swimmer♀ Katie</t>
  </si>
  <si>
    <t>Swimmer♂ Santiago [Optional]</t>
  </si>
  <si>
    <t>Route 131</t>
  </si>
  <si>
    <t>Swimmer♂ Zappator</t>
  </si>
  <si>
    <t>Triathlete Xayah</t>
  </si>
  <si>
    <t>Ghost Memory</t>
  </si>
  <si>
    <t>Sis And Bro Reli And Ian [Double]</t>
  </si>
  <si>
    <t>Swimmer♂ Herman</t>
  </si>
  <si>
    <t>Route 132</t>
  </si>
  <si>
    <t>Swimmer♂ Richard [Optional]</t>
  </si>
  <si>
    <t>Swimmer♀ Kara [Optional]</t>
  </si>
  <si>
    <t>Swimmer♀ Susie [Optional]</t>
  </si>
  <si>
    <t>Fisherman Ronald [Optional]</t>
  </si>
  <si>
    <t>Expert Paxton [Optional]</t>
  </si>
  <si>
    <t>Cool Trainer Darcy [Optional]</t>
  </si>
  <si>
    <t>Expert Makayla [Optional]</t>
  </si>
  <si>
    <t>Cool Trainer Jonathan [Optional]</t>
  </si>
  <si>
    <t>Black Belt Kiyo [Optional]</t>
  </si>
  <si>
    <t>Swimmer♀ Dana [Optional]</t>
  </si>
  <si>
    <t>Route 133</t>
  </si>
  <si>
    <t>Swimmer♂ Franklin [Optional]</t>
  </si>
  <si>
    <t>Swimmer♀ Debra [Optional]</t>
  </si>
  <si>
    <t>Cool Trainer Warren [Optional]</t>
  </si>
  <si>
    <t>Frisk</t>
  </si>
  <si>
    <t>Bird Keeper Beck [Optional]</t>
  </si>
  <si>
    <t>Expert Mollie &amp; Expert Conor [Double]</t>
  </si>
  <si>
    <t>Route 134</t>
  </si>
  <si>
    <t>Sailor Hudson [Optional]</t>
  </si>
  <si>
    <t>Battle Girl Reyna [Optional]</t>
  </si>
  <si>
    <t>Black Belt Hitoshi [Optional]</t>
  </si>
  <si>
    <t>Swimmer♂ Jaiden [Optional]</t>
  </si>
  <si>
    <t>Swimmer♀ Laurel [Optional]</t>
  </si>
  <si>
    <t>Cool Trainer Marley [Optional]</t>
  </si>
  <si>
    <t>Dragon Tamer Aaron [Optional]</t>
  </si>
  <si>
    <t>Dark Aura</t>
  </si>
  <si>
    <t>Bird Keeper Alex [Optional]</t>
  </si>
  <si>
    <t>Sailor Kelvin [Optional]</t>
  </si>
  <si>
    <t>Sootopolis Gym</t>
  </si>
  <si>
    <t>Lass Andrea &amp; Beauty Connie [Double]</t>
  </si>
  <si>
    <t>Beauty Bridget</t>
  </si>
  <si>
    <t>Lady Daphne</t>
  </si>
  <si>
    <t>Pokéfan Bethany</t>
  </si>
  <si>
    <t>Lass Crissy</t>
  </si>
  <si>
    <t>Lady Brianna</t>
  </si>
  <si>
    <t>Lass Pearl</t>
  </si>
  <si>
    <t>Beauty Tiffany &amp; Beauty Olivia [Double]</t>
  </si>
  <si>
    <t>Clanging Scales</t>
  </si>
  <si>
    <t>Leader Juan [Double] [Boss]</t>
  </si>
  <si>
    <t xml:space="preserve">93 </t>
  </si>
  <si>
    <t xml:space="preserve">92 </t>
  </si>
  <si>
    <t>Glalitite</t>
  </si>
  <si>
    <t>Justified</t>
  </si>
  <si>
    <t>Chilling Neigh</t>
  </si>
  <si>
    <t>Glacial Lance</t>
  </si>
  <si>
    <t>Secret Sword</t>
  </si>
  <si>
    <t>Spirit Shackle</t>
  </si>
  <si>
    <t>Victory Road</t>
  </si>
  <si>
    <t xml:space="preserve">94 </t>
  </si>
  <si>
    <t xml:space="preserve">95 </t>
  </si>
  <si>
    <t>Gardevoirite</t>
  </si>
  <si>
    <t>Cool Trainer Hope &amp; Cool Trainer Albert [Double]</t>
  </si>
  <si>
    <t>Cool Trainer Katelynn</t>
  </si>
  <si>
    <t>Cool Trainer Quincy</t>
  </si>
  <si>
    <t>Cool Trainer Felix</t>
  </si>
  <si>
    <t>Cool Trainer Julie &amp; Cool Trainer Dianne [Double]</t>
  </si>
  <si>
    <t>Kangaskhanite</t>
  </si>
  <si>
    <t>Symbiosis</t>
  </si>
  <si>
    <t>Parental Bond</t>
  </si>
  <si>
    <t>Cool Trainer Samuel</t>
  </si>
  <si>
    <t>Cool Trainer Shannon</t>
  </si>
  <si>
    <t>Cool Trainer Caroline</t>
  </si>
  <si>
    <t>Galladite</t>
  </si>
  <si>
    <t>Cool Trainer Michelle</t>
  </si>
  <si>
    <t>Heracronite</t>
  </si>
  <si>
    <t>Cool Trainer Specter</t>
  </si>
  <si>
    <t xml:space="preserve">97 </t>
  </si>
  <si>
    <t>Sablenite</t>
  </si>
  <si>
    <t>Cool Trainer Edgar</t>
  </si>
  <si>
    <t xml:space="preserve">96 </t>
  </si>
  <si>
    <t>Triathlete Darren</t>
  </si>
  <si>
    <t xml:space="preserve">100 </t>
  </si>
  <si>
    <t>Cool Trainer Halle</t>
  </si>
  <si>
    <t>Mawilite</t>
  </si>
  <si>
    <t>Alakazite</t>
  </si>
  <si>
    <t>Trace</t>
  </si>
  <si>
    <t>Route 123 [Optional]</t>
  </si>
  <si>
    <t>Pokémaniac Hambino</t>
  </si>
  <si>
    <t>Cool Trainer Wendy &amp; Cool Trainer Braxton [Double]</t>
  </si>
  <si>
    <t>Rage Powder</t>
  </si>
  <si>
    <t>Stuff Cheeks</t>
  </si>
  <si>
    <t>Ninja Boy Jonas &amp; Expert Fredrick [Double]</t>
  </si>
  <si>
    <t>Hex Maniac Gongas</t>
  </si>
  <si>
    <t>Twins Miu And Yuki [Double]</t>
  </si>
  <si>
    <t>Bug Catcher Davis</t>
  </si>
  <si>
    <t>Scizorite</t>
  </si>
  <si>
    <t>Psychic Jacki &amp; Bird Keeper Alberto [Double]</t>
  </si>
  <si>
    <t>Black Belt Hawk</t>
  </si>
  <si>
    <t>Guitarist Fernando &amp; Cool Trainer Jazmyn [Double]</t>
  </si>
  <si>
    <t>Electric Memory</t>
  </si>
  <si>
    <t>Psychic Cameron &amp; Hex Maniac Kindra [Double]</t>
  </si>
  <si>
    <t>Meteor Falls [Optional]</t>
  </si>
  <si>
    <t>Old Couple John And Jay [Double]</t>
  </si>
  <si>
    <t>Dragon Tamer Nicolas</t>
  </si>
  <si>
    <t>Latiasite</t>
  </si>
  <si>
    <t>Route 115 [Optional]</t>
  </si>
  <si>
    <t>Triathlete Kyra</t>
  </si>
  <si>
    <t>Battle Girl Helene</t>
  </si>
  <si>
    <t>Ninja Boy Jack</t>
  </si>
  <si>
    <t>Color Change</t>
  </si>
  <si>
    <t>Psychic Alix</t>
  </si>
  <si>
    <t>Bulletproof</t>
  </si>
  <si>
    <t>Black Belt Koichi</t>
  </si>
  <si>
    <t>Expert Timothy</t>
  </si>
  <si>
    <t xml:space="preserve">98 </t>
  </si>
  <si>
    <t>Lucarionite</t>
  </si>
  <si>
    <t>Elite Four Sidney</t>
  </si>
  <si>
    <t xml:space="preserve">99 </t>
  </si>
  <si>
    <t>Dread Plate</t>
  </si>
  <si>
    <t>Prism Armor</t>
  </si>
  <si>
    <t>Photon Geyser</t>
  </si>
  <si>
    <t>Wicked Blow</t>
  </si>
  <si>
    <t>Oblivion Wing</t>
  </si>
  <si>
    <t>Elite Four Sidney [Double]</t>
  </si>
  <si>
    <t>Elite Four Phoebe</t>
  </si>
  <si>
    <t>Gengarite</t>
  </si>
  <si>
    <t>Shadow Shield</t>
  </si>
  <si>
    <t>Moongeist Beam</t>
  </si>
  <si>
    <t>Elite Four Phoebe [Double]</t>
  </si>
  <si>
    <t>Kasib Berry</t>
  </si>
  <si>
    <t>Griseous Orb</t>
  </si>
  <si>
    <t>Elite Four Glacia</t>
  </si>
  <si>
    <t>Abomasite</t>
  </si>
  <si>
    <t>Turboblaze</t>
  </si>
  <si>
    <t>As One (Glastrier)</t>
  </si>
  <si>
    <t>Fusion Flare</t>
  </si>
  <si>
    <t>Elite Four Glacia [Double]</t>
  </si>
  <si>
    <t>Soul-Heart</t>
  </si>
  <si>
    <t>Teravolt</t>
  </si>
  <si>
    <t>Ice Hammer</t>
  </si>
  <si>
    <t>Fusion Bolt</t>
  </si>
  <si>
    <t>Elite Four Drake</t>
  </si>
  <si>
    <t>Haban Berry</t>
  </si>
  <si>
    <t>Salamencite</t>
  </si>
  <si>
    <t>Power Construct</t>
  </si>
  <si>
    <t>Blue Flare</t>
  </si>
  <si>
    <t>Elite Four Drake [Double]</t>
  </si>
  <si>
    <t>Thousand Waves</t>
  </si>
  <si>
    <t>Champion Wallace</t>
  </si>
  <si>
    <t>Blue Orb</t>
  </si>
  <si>
    <t>Primordial Sea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</si>
</sst>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rgb="FF00FFFF"/>
      <name val="Nunito"/>
    </font>
    <font/>
    <font>
      <sz val="10.0"/>
      <color theme="1"/>
      <name val="Nunito"/>
    </font>
    <font>
      <b/>
      <sz val="10.0"/>
      <color theme="1"/>
      <name val="Nunito"/>
    </font>
    <font>
      <b/>
      <sz val="10.0"/>
      <color rgb="FFFF0000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1" fillId="2" fontId="4" numFmtId="49" xfId="0" applyBorder="1" applyFill="1" applyFont="1" applyNumberFormat="1"/>
    <xf borderId="2" fillId="2" fontId="5" numFmtId="49" xfId="0" applyAlignment="1" applyBorder="1" applyFont="1" applyNumberFormat="1">
      <alignment horizontal="center"/>
    </xf>
    <xf borderId="3" fillId="0" fontId="6" numFmtId="0" xfId="0" applyBorder="1" applyFont="1"/>
    <xf borderId="0" fillId="2" fontId="5" numFmtId="49" xfId="0" applyAlignment="1" applyFont="1" applyNumberFormat="1">
      <alignment horizontal="center"/>
    </xf>
    <xf borderId="4" fillId="3" fontId="5" numFmtId="0" xfId="0" applyAlignment="1" applyBorder="1" applyFill="1" applyFont="1">
      <alignment horizontal="center" readingOrder="0" vertical="center"/>
    </xf>
    <xf borderId="5" fillId="3" fontId="5" numFmtId="0" xfId="0" applyAlignment="1" applyBorder="1" applyFont="1">
      <alignment horizontal="center" readingOrder="0" vertical="center"/>
    </xf>
    <xf borderId="6" fillId="0" fontId="6" numFmtId="0" xfId="0" applyBorder="1" applyFont="1"/>
    <xf borderId="4" fillId="4" fontId="5" numFmtId="0" xfId="0" applyAlignment="1" applyBorder="1" applyFill="1" applyFont="1">
      <alignment horizontal="center" readingOrder="0" vertical="center"/>
    </xf>
    <xf borderId="7" fillId="3" fontId="5" numFmtId="0" xfId="0" applyAlignment="1" applyBorder="1" applyFont="1">
      <alignment horizontal="center" readingOrder="0" vertical="center"/>
    </xf>
    <xf borderId="8" fillId="5" fontId="7" numFmtId="0" xfId="0" applyAlignment="1" applyBorder="1" applyFill="1" applyFont="1">
      <alignment horizontal="center" readingOrder="0" vertical="center"/>
    </xf>
    <xf borderId="9" fillId="3" fontId="5" numFmtId="0" xfId="0" applyAlignment="1" applyBorder="1" applyFont="1">
      <alignment horizontal="center" readingOrder="0" vertical="center"/>
    </xf>
    <xf borderId="10" fillId="0" fontId="6" numFmtId="0" xfId="0" applyBorder="1" applyFont="1"/>
    <xf borderId="1" fillId="0" fontId="6" numFmtId="0" xfId="0" applyBorder="1" applyFont="1"/>
    <xf borderId="8" fillId="6" fontId="8" numFmtId="0" xfId="0" applyAlignment="1" applyBorder="1" applyFill="1" applyFont="1">
      <alignment horizontal="center" readingOrder="0" vertical="center"/>
    </xf>
    <xf borderId="11" fillId="0" fontId="6" numFmtId="0" xfId="0" applyBorder="1" applyFont="1"/>
    <xf quotePrefix="1" borderId="8" fillId="5" fontId="7" numFmtId="0" xfId="0" applyAlignment="1" applyBorder="1" applyFont="1">
      <alignment horizontal="center" readingOrder="0" vertical="center"/>
    </xf>
    <xf borderId="8" fillId="6" fontId="7" numFmtId="0" xfId="0" applyAlignment="1" applyBorder="1" applyFont="1">
      <alignment horizontal="center" readingOrder="0" vertical="center"/>
    </xf>
    <xf borderId="12" fillId="0" fontId="6" numFmtId="0" xfId="0" applyBorder="1" applyFont="1"/>
    <xf borderId="2" fillId="0" fontId="6" numFmtId="0" xfId="0" applyBorder="1" applyFont="1"/>
    <xf borderId="4" fillId="2" fontId="4" numFmtId="49" xfId="0" applyBorder="1" applyFont="1" applyNumberFormat="1"/>
    <xf borderId="5" fillId="2" fontId="5" numFmtId="49" xfId="0" applyAlignment="1" applyBorder="1" applyFont="1" applyNumberFormat="1">
      <alignment horizontal="center" readingOrder="0"/>
    </xf>
    <xf borderId="0" fillId="2" fontId="5" numFmtId="4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3" fillId="2" fontId="4" numFmtId="49" xfId="0" applyBorder="1" applyFont="1" applyNumberFormat="1"/>
    <xf borderId="3" fillId="2" fontId="5" numFmtId="49" xfId="0" applyAlignment="1" applyBorder="1" applyFont="1" applyNumberFormat="1">
      <alignment horizontal="center" readingOrder="0"/>
    </xf>
    <xf borderId="8" fillId="5" fontId="7" numFmtId="0" xfId="0" applyAlignment="1" applyBorder="1" applyFont="1">
      <alignment horizontal="center" readingOrder="0" vertical="top"/>
    </xf>
    <xf borderId="13" fillId="2" fontId="4" numFmtId="49" xfId="0" applyAlignment="1" applyBorder="1" applyFont="1" applyNumberFormat="1">
      <alignment horizontal="right"/>
    </xf>
    <xf borderId="0" fillId="4" fontId="5" numFmtId="49" xfId="0" applyAlignment="1" applyFont="1" applyNumberFormat="1">
      <alignment horizontal="center" readingOrder="0"/>
    </xf>
    <xf borderId="4" fillId="4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2" pivot="0" name="Dex-style">
      <tableStyleElement dxfId="1" type="firstRowStripe"/>
      <tableStyleElement dxfId="2" type="secondRowStripe"/>
    </tableStyle>
    <tableStyle count="2" pivot="0" name="Dex-style 2">
      <tableStyleElement dxfId="1" type="firstRowStripe"/>
      <tableStyleElement dxfId="2" type="secondRowStripe"/>
    </tableStyle>
    <tableStyle count="2" pivot="0" name="Dex-style 3">
      <tableStyleElement dxfId="1" type="firstRowStripe"/>
      <tableStyleElement dxfId="2" type="secondRowStripe"/>
    </tableStyle>
    <tableStyle count="2" pivot="0" name="Dex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39.png"/><Relationship Id="rId84" Type="http://schemas.openxmlformats.org/officeDocument/2006/relationships/image" Target="../media/image94.png"/><Relationship Id="rId83" Type="http://schemas.openxmlformats.org/officeDocument/2006/relationships/image" Target="../media/image82.png"/><Relationship Id="rId42" Type="http://schemas.openxmlformats.org/officeDocument/2006/relationships/image" Target="../media/image33.png"/><Relationship Id="rId86" Type="http://schemas.openxmlformats.org/officeDocument/2006/relationships/image" Target="../media/image84.png"/><Relationship Id="rId41" Type="http://schemas.openxmlformats.org/officeDocument/2006/relationships/image" Target="../media/image36.png"/><Relationship Id="rId85" Type="http://schemas.openxmlformats.org/officeDocument/2006/relationships/image" Target="../media/image81.png"/><Relationship Id="rId44" Type="http://schemas.openxmlformats.org/officeDocument/2006/relationships/image" Target="../media/image47.png"/><Relationship Id="rId88" Type="http://schemas.openxmlformats.org/officeDocument/2006/relationships/image" Target="../media/image85.png"/><Relationship Id="rId43" Type="http://schemas.openxmlformats.org/officeDocument/2006/relationships/image" Target="../media/image35.png"/><Relationship Id="rId87" Type="http://schemas.openxmlformats.org/officeDocument/2006/relationships/image" Target="../media/image89.png"/><Relationship Id="rId46" Type="http://schemas.openxmlformats.org/officeDocument/2006/relationships/image" Target="../media/image41.png"/><Relationship Id="rId45" Type="http://schemas.openxmlformats.org/officeDocument/2006/relationships/image" Target="../media/image29.png"/><Relationship Id="rId89" Type="http://schemas.openxmlformats.org/officeDocument/2006/relationships/image" Target="../media/image90.png"/><Relationship Id="rId80" Type="http://schemas.openxmlformats.org/officeDocument/2006/relationships/image" Target="../media/image75.png"/><Relationship Id="rId82" Type="http://schemas.openxmlformats.org/officeDocument/2006/relationships/image" Target="../media/image79.png"/><Relationship Id="rId81" Type="http://schemas.openxmlformats.org/officeDocument/2006/relationships/image" Target="../media/image80.png"/><Relationship Id="rId1" Type="http://schemas.openxmlformats.org/officeDocument/2006/relationships/image" Target="../media/image15.png"/><Relationship Id="rId2" Type="http://schemas.openxmlformats.org/officeDocument/2006/relationships/image" Target="../media/image20.png"/><Relationship Id="rId3" Type="http://schemas.openxmlformats.org/officeDocument/2006/relationships/image" Target="../media/image5.png"/><Relationship Id="rId4" Type="http://schemas.openxmlformats.org/officeDocument/2006/relationships/image" Target="../media/image11.png"/><Relationship Id="rId9" Type="http://schemas.openxmlformats.org/officeDocument/2006/relationships/image" Target="../media/image7.png"/><Relationship Id="rId48" Type="http://schemas.openxmlformats.org/officeDocument/2006/relationships/image" Target="../media/image46.png"/><Relationship Id="rId47" Type="http://schemas.openxmlformats.org/officeDocument/2006/relationships/image" Target="../media/image50.png"/><Relationship Id="rId49" Type="http://schemas.openxmlformats.org/officeDocument/2006/relationships/image" Target="../media/image51.png"/><Relationship Id="rId5" Type="http://schemas.openxmlformats.org/officeDocument/2006/relationships/image" Target="../media/image2.png"/><Relationship Id="rId6" Type="http://schemas.openxmlformats.org/officeDocument/2006/relationships/image" Target="../media/image32.png"/><Relationship Id="rId7" Type="http://schemas.openxmlformats.org/officeDocument/2006/relationships/image" Target="../media/image1.png"/><Relationship Id="rId8" Type="http://schemas.openxmlformats.org/officeDocument/2006/relationships/image" Target="../media/image9.png"/><Relationship Id="rId73" Type="http://schemas.openxmlformats.org/officeDocument/2006/relationships/image" Target="../media/image74.png"/><Relationship Id="rId72" Type="http://schemas.openxmlformats.org/officeDocument/2006/relationships/image" Target="../media/image72.png"/><Relationship Id="rId31" Type="http://schemas.openxmlformats.org/officeDocument/2006/relationships/image" Target="../media/image70.png"/><Relationship Id="rId75" Type="http://schemas.openxmlformats.org/officeDocument/2006/relationships/image" Target="../media/image87.png"/><Relationship Id="rId30" Type="http://schemas.openxmlformats.org/officeDocument/2006/relationships/image" Target="../media/image26.png"/><Relationship Id="rId74" Type="http://schemas.openxmlformats.org/officeDocument/2006/relationships/image" Target="../media/image71.png"/><Relationship Id="rId33" Type="http://schemas.openxmlformats.org/officeDocument/2006/relationships/image" Target="../media/image60.png"/><Relationship Id="rId77" Type="http://schemas.openxmlformats.org/officeDocument/2006/relationships/image" Target="../media/image73.png"/><Relationship Id="rId32" Type="http://schemas.openxmlformats.org/officeDocument/2006/relationships/image" Target="../media/image21.png"/><Relationship Id="rId76" Type="http://schemas.openxmlformats.org/officeDocument/2006/relationships/image" Target="../media/image77.png"/><Relationship Id="rId35" Type="http://schemas.openxmlformats.org/officeDocument/2006/relationships/image" Target="../media/image61.png"/><Relationship Id="rId79" Type="http://schemas.openxmlformats.org/officeDocument/2006/relationships/image" Target="../media/image91.png"/><Relationship Id="rId34" Type="http://schemas.openxmlformats.org/officeDocument/2006/relationships/image" Target="../media/image37.png"/><Relationship Id="rId78" Type="http://schemas.openxmlformats.org/officeDocument/2006/relationships/image" Target="../media/image78.png"/><Relationship Id="rId71" Type="http://schemas.openxmlformats.org/officeDocument/2006/relationships/image" Target="../media/image68.png"/><Relationship Id="rId70" Type="http://schemas.openxmlformats.org/officeDocument/2006/relationships/image" Target="../media/image83.png"/><Relationship Id="rId37" Type="http://schemas.openxmlformats.org/officeDocument/2006/relationships/image" Target="../media/image31.png"/><Relationship Id="rId36" Type="http://schemas.openxmlformats.org/officeDocument/2006/relationships/image" Target="../media/image34.png"/><Relationship Id="rId39" Type="http://schemas.openxmlformats.org/officeDocument/2006/relationships/image" Target="../media/image25.png"/><Relationship Id="rId38" Type="http://schemas.openxmlformats.org/officeDocument/2006/relationships/image" Target="../media/image76.png"/><Relationship Id="rId62" Type="http://schemas.openxmlformats.org/officeDocument/2006/relationships/image" Target="../media/image64.png"/><Relationship Id="rId61" Type="http://schemas.openxmlformats.org/officeDocument/2006/relationships/image" Target="../media/image49.png"/><Relationship Id="rId20" Type="http://schemas.openxmlformats.org/officeDocument/2006/relationships/image" Target="../media/image12.png"/><Relationship Id="rId64" Type="http://schemas.openxmlformats.org/officeDocument/2006/relationships/image" Target="../media/image62.png"/><Relationship Id="rId63" Type="http://schemas.openxmlformats.org/officeDocument/2006/relationships/image" Target="../media/image67.png"/><Relationship Id="rId22" Type="http://schemas.openxmlformats.org/officeDocument/2006/relationships/image" Target="../media/image6.png"/><Relationship Id="rId66" Type="http://schemas.openxmlformats.org/officeDocument/2006/relationships/image" Target="../media/image65.png"/><Relationship Id="rId21" Type="http://schemas.openxmlformats.org/officeDocument/2006/relationships/image" Target="../media/image30.png"/><Relationship Id="rId65" Type="http://schemas.openxmlformats.org/officeDocument/2006/relationships/image" Target="../media/image54.png"/><Relationship Id="rId24" Type="http://schemas.openxmlformats.org/officeDocument/2006/relationships/image" Target="../media/image24.png"/><Relationship Id="rId68" Type="http://schemas.openxmlformats.org/officeDocument/2006/relationships/image" Target="../media/image66.png"/><Relationship Id="rId23" Type="http://schemas.openxmlformats.org/officeDocument/2006/relationships/image" Target="../media/image22.png"/><Relationship Id="rId67" Type="http://schemas.openxmlformats.org/officeDocument/2006/relationships/image" Target="../media/image59.png"/><Relationship Id="rId60" Type="http://schemas.openxmlformats.org/officeDocument/2006/relationships/image" Target="../media/image58.png"/><Relationship Id="rId26" Type="http://schemas.openxmlformats.org/officeDocument/2006/relationships/image" Target="../media/image38.png"/><Relationship Id="rId25" Type="http://schemas.openxmlformats.org/officeDocument/2006/relationships/image" Target="../media/image4.png"/><Relationship Id="rId69" Type="http://schemas.openxmlformats.org/officeDocument/2006/relationships/image" Target="../media/image69.png"/><Relationship Id="rId28" Type="http://schemas.openxmlformats.org/officeDocument/2006/relationships/image" Target="../media/image19.png"/><Relationship Id="rId27" Type="http://schemas.openxmlformats.org/officeDocument/2006/relationships/image" Target="../media/image28.png"/><Relationship Id="rId29" Type="http://schemas.openxmlformats.org/officeDocument/2006/relationships/image" Target="../media/image27.png"/><Relationship Id="rId51" Type="http://schemas.openxmlformats.org/officeDocument/2006/relationships/image" Target="../media/image55.png"/><Relationship Id="rId50" Type="http://schemas.openxmlformats.org/officeDocument/2006/relationships/image" Target="../media/image52.png"/><Relationship Id="rId94" Type="http://schemas.openxmlformats.org/officeDocument/2006/relationships/image" Target="../media/image92.png"/><Relationship Id="rId53" Type="http://schemas.openxmlformats.org/officeDocument/2006/relationships/image" Target="../media/image53.png"/><Relationship Id="rId52" Type="http://schemas.openxmlformats.org/officeDocument/2006/relationships/image" Target="../media/image42.png"/><Relationship Id="rId11" Type="http://schemas.openxmlformats.org/officeDocument/2006/relationships/image" Target="../media/image16.png"/><Relationship Id="rId55" Type="http://schemas.openxmlformats.org/officeDocument/2006/relationships/image" Target="../media/image45.png"/><Relationship Id="rId10" Type="http://schemas.openxmlformats.org/officeDocument/2006/relationships/image" Target="../media/image8.png"/><Relationship Id="rId54" Type="http://schemas.openxmlformats.org/officeDocument/2006/relationships/image" Target="../media/image43.png"/><Relationship Id="rId13" Type="http://schemas.openxmlformats.org/officeDocument/2006/relationships/image" Target="../media/image17.png"/><Relationship Id="rId57" Type="http://schemas.openxmlformats.org/officeDocument/2006/relationships/image" Target="../media/image63.png"/><Relationship Id="rId12" Type="http://schemas.openxmlformats.org/officeDocument/2006/relationships/image" Target="../media/image10.png"/><Relationship Id="rId56" Type="http://schemas.openxmlformats.org/officeDocument/2006/relationships/image" Target="../media/image56.png"/><Relationship Id="rId91" Type="http://schemas.openxmlformats.org/officeDocument/2006/relationships/image" Target="../media/image95.png"/><Relationship Id="rId90" Type="http://schemas.openxmlformats.org/officeDocument/2006/relationships/image" Target="../media/image93.png"/><Relationship Id="rId93" Type="http://schemas.openxmlformats.org/officeDocument/2006/relationships/image" Target="../media/image88.png"/><Relationship Id="rId92" Type="http://schemas.openxmlformats.org/officeDocument/2006/relationships/image" Target="../media/image86.png"/><Relationship Id="rId15" Type="http://schemas.openxmlformats.org/officeDocument/2006/relationships/image" Target="../media/image13.png"/><Relationship Id="rId59" Type="http://schemas.openxmlformats.org/officeDocument/2006/relationships/image" Target="../media/image48.png"/><Relationship Id="rId14" Type="http://schemas.openxmlformats.org/officeDocument/2006/relationships/image" Target="../media/image44.png"/><Relationship Id="rId58" Type="http://schemas.openxmlformats.org/officeDocument/2006/relationships/image" Target="../media/image57.png"/><Relationship Id="rId17" Type="http://schemas.openxmlformats.org/officeDocument/2006/relationships/image" Target="../media/image18.png"/><Relationship Id="rId16" Type="http://schemas.openxmlformats.org/officeDocument/2006/relationships/image" Target="../media/image23.png"/><Relationship Id="rId19" Type="http://schemas.openxmlformats.org/officeDocument/2006/relationships/image" Target="../media/image14.png"/><Relationship Id="rId1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28:C228" displayName="Table_1" name="Table_1" id="1">
  <tableColumns count="3">
    <tableColumn name="Column1" id="1"/>
    <tableColumn name="Column2" id="2"/>
    <tableColumn name="Column3" id="3"/>
  </tableColumns>
  <tableStyleInfo name="Dex-style" showColumnStripes="0" showFirstColumn="1" showLastColumn="1" showRowStripes="1"/>
</table>
</file>

<file path=xl/tables/table2.xml><?xml version="1.0" encoding="utf-8"?>
<table xmlns="http://schemas.openxmlformats.org/spreadsheetml/2006/main" headerRowCount="0" ref="A588:C588" displayName="Table_2" name="Table_2" id="2">
  <tableColumns count="3">
    <tableColumn name="Column1" id="1"/>
    <tableColumn name="Column2" id="2"/>
    <tableColumn name="Column3" id="3"/>
  </tableColumns>
  <tableStyleInfo name="Dex-style 2" showColumnStripes="0" showFirstColumn="1" showLastColumn="1" showRowStripes="1"/>
</table>
</file>

<file path=xl/tables/table3.xml><?xml version="1.0" encoding="utf-8"?>
<table xmlns="http://schemas.openxmlformats.org/spreadsheetml/2006/main" headerRowCount="0" ref="A725:C725" displayName="Table_3" name="Table_3" id="3">
  <tableColumns count="3">
    <tableColumn name="Column1" id="1"/>
    <tableColumn name="Column2" id="2"/>
    <tableColumn name="Column3" id="3"/>
  </tableColumns>
  <tableStyleInfo name="Dex-style 3" showColumnStripes="0" showFirstColumn="1" showLastColumn="1" showRowStripes="1"/>
</table>
</file>

<file path=xl/tables/table4.xml><?xml version="1.0" encoding="utf-8"?>
<table xmlns="http://schemas.openxmlformats.org/spreadsheetml/2006/main" headerRowCount="0" ref="A726:C726" displayName="Table_4" name="Table_4" id="4">
  <tableColumns count="3">
    <tableColumn name="Column1" id="1"/>
    <tableColumn name="Column2" id="2"/>
    <tableColumn name="Column3" id="3"/>
  </tableColumns>
  <tableStyleInfo name="Dex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3" width="22.63"/>
  </cols>
  <sheetData>
    <row r="1">
      <c r="A1" s="1" t="s">
        <v>0</v>
      </c>
      <c r="B1" s="2" t="s">
        <v>1</v>
      </c>
      <c r="C1" s="3" t="s">
        <v>2</v>
      </c>
    </row>
    <row r="2" ht="45.0" customHeight="1">
      <c r="A2" s="4" t="s">
        <v>3</v>
      </c>
      <c r="B2" s="4" t="str">
        <f t="shared" ref="B2:B10" si="1">LOWER(A2)</f>
        <v>bulbasaur</v>
      </c>
      <c r="C2" s="5" t="str">
        <f t="shared" ref="C2:C1130" si="2">(IMAGE("https://play.pokemonshowdown.com/sprites/gen5/"&amp;B2&amp;".png", 3))</f>
        <v/>
      </c>
    </row>
    <row r="3" ht="45.0" customHeight="1">
      <c r="A3" s="6" t="s">
        <v>4</v>
      </c>
      <c r="B3" s="4" t="str">
        <f t="shared" si="1"/>
        <v>ivysaur</v>
      </c>
      <c r="C3" s="5" t="str">
        <f t="shared" si="2"/>
        <v/>
      </c>
    </row>
    <row r="4" ht="45.0" customHeight="1">
      <c r="A4" s="6" t="s">
        <v>5</v>
      </c>
      <c r="B4" s="4" t="str">
        <f t="shared" si="1"/>
        <v>venusaur</v>
      </c>
      <c r="C4" s="5" t="str">
        <f t="shared" si="2"/>
        <v/>
      </c>
    </row>
    <row r="5" ht="45.0" customHeight="1">
      <c r="A5" s="6" t="s">
        <v>6</v>
      </c>
      <c r="B5" s="4" t="str">
        <f t="shared" si="1"/>
        <v>venusaur-gmax</v>
      </c>
      <c r="C5" s="5" t="str">
        <f t="shared" si="2"/>
        <v/>
      </c>
    </row>
    <row r="6" ht="45.0" customHeight="1">
      <c r="A6" s="4" t="s">
        <v>7</v>
      </c>
      <c r="B6" s="4" t="str">
        <f t="shared" si="1"/>
        <v>venusaur-mega</v>
      </c>
      <c r="C6" s="5" t="str">
        <f t="shared" si="2"/>
        <v/>
      </c>
    </row>
    <row r="7" ht="45.0" customHeight="1">
      <c r="A7" s="6" t="s">
        <v>8</v>
      </c>
      <c r="B7" s="4" t="str">
        <f t="shared" si="1"/>
        <v>charmander</v>
      </c>
      <c r="C7" s="5" t="str">
        <f t="shared" si="2"/>
        <v/>
      </c>
    </row>
    <row r="8" ht="45.0" customHeight="1">
      <c r="A8" s="6" t="s">
        <v>9</v>
      </c>
      <c r="B8" s="4" t="str">
        <f t="shared" si="1"/>
        <v>charmeleon</v>
      </c>
      <c r="C8" s="5" t="str">
        <f t="shared" si="2"/>
        <v/>
      </c>
    </row>
    <row r="9" ht="45.0" customHeight="1">
      <c r="A9" s="6" t="s">
        <v>10</v>
      </c>
      <c r="B9" s="4" t="str">
        <f t="shared" si="1"/>
        <v>charizard</v>
      </c>
      <c r="C9" s="5" t="str">
        <f t="shared" si="2"/>
        <v/>
      </c>
    </row>
    <row r="10" ht="45.0" customHeight="1">
      <c r="A10" s="6" t="s">
        <v>11</v>
      </c>
      <c r="B10" s="4" t="str">
        <f t="shared" si="1"/>
        <v>charizard-gmax</v>
      </c>
      <c r="C10" s="5" t="str">
        <f t="shared" si="2"/>
        <v/>
      </c>
    </row>
    <row r="11" ht="45.0" customHeight="1">
      <c r="A11" s="4" t="s">
        <v>12</v>
      </c>
      <c r="B11" s="4" t="s">
        <v>13</v>
      </c>
      <c r="C11" s="5" t="str">
        <f t="shared" si="2"/>
        <v/>
      </c>
    </row>
    <row r="12" ht="45.0" customHeight="1">
      <c r="A12" s="4" t="s">
        <v>14</v>
      </c>
      <c r="B12" s="4" t="s">
        <v>15</v>
      </c>
      <c r="C12" s="5" t="str">
        <f t="shared" si="2"/>
        <v/>
      </c>
    </row>
    <row r="13" ht="45.0" customHeight="1">
      <c r="A13" s="6" t="s">
        <v>16</v>
      </c>
      <c r="B13" s="4" t="str">
        <f t="shared" ref="B13:B45" si="3">LOWER(A13)</f>
        <v>squirtle</v>
      </c>
      <c r="C13" s="5" t="str">
        <f t="shared" si="2"/>
        <v/>
      </c>
    </row>
    <row r="14" ht="45.0" customHeight="1">
      <c r="A14" s="6" t="s">
        <v>17</v>
      </c>
      <c r="B14" s="4" t="str">
        <f t="shared" si="3"/>
        <v>wartortle</v>
      </c>
      <c r="C14" s="5" t="str">
        <f t="shared" si="2"/>
        <v/>
      </c>
    </row>
    <row r="15" ht="45.0" customHeight="1">
      <c r="A15" s="6" t="s">
        <v>18</v>
      </c>
      <c r="B15" s="4" t="str">
        <f t="shared" si="3"/>
        <v>blastoise</v>
      </c>
      <c r="C15" s="5" t="str">
        <f t="shared" si="2"/>
        <v/>
      </c>
    </row>
    <row r="16" ht="45.0" customHeight="1">
      <c r="A16" s="6" t="s">
        <v>19</v>
      </c>
      <c r="B16" s="4" t="str">
        <f t="shared" si="3"/>
        <v>blastoise-gmax</v>
      </c>
      <c r="C16" s="5" t="str">
        <f t="shared" si="2"/>
        <v/>
      </c>
    </row>
    <row r="17" ht="45.0" customHeight="1">
      <c r="A17" s="4" t="s">
        <v>20</v>
      </c>
      <c r="B17" s="4" t="str">
        <f t="shared" si="3"/>
        <v>blastoise-mega</v>
      </c>
      <c r="C17" s="5" t="str">
        <f t="shared" si="2"/>
        <v/>
      </c>
    </row>
    <row r="18" ht="45.0" customHeight="1">
      <c r="A18" s="6" t="s">
        <v>21</v>
      </c>
      <c r="B18" s="4" t="str">
        <f t="shared" si="3"/>
        <v>caterpie</v>
      </c>
      <c r="C18" s="5" t="str">
        <f t="shared" si="2"/>
        <v/>
      </c>
    </row>
    <row r="19" ht="45.0" customHeight="1">
      <c r="A19" s="6" t="s">
        <v>22</v>
      </c>
      <c r="B19" s="4" t="str">
        <f t="shared" si="3"/>
        <v>metapod</v>
      </c>
      <c r="C19" s="5" t="str">
        <f t="shared" si="2"/>
        <v/>
      </c>
    </row>
    <row r="20" ht="45.0" customHeight="1">
      <c r="A20" s="6" t="s">
        <v>23</v>
      </c>
      <c r="B20" s="4" t="str">
        <f t="shared" si="3"/>
        <v>butterfree</v>
      </c>
      <c r="C20" s="5" t="str">
        <f t="shared" si="2"/>
        <v/>
      </c>
    </row>
    <row r="21" ht="45.0" customHeight="1">
      <c r="A21" s="6" t="s">
        <v>24</v>
      </c>
      <c r="B21" s="4" t="str">
        <f t="shared" si="3"/>
        <v>butterfree-gmax</v>
      </c>
      <c r="C21" s="5" t="str">
        <f t="shared" si="2"/>
        <v/>
      </c>
    </row>
    <row r="22" ht="45.0" customHeight="1">
      <c r="A22" s="6" t="s">
        <v>25</v>
      </c>
      <c r="B22" s="4" t="str">
        <f t="shared" si="3"/>
        <v>weedle</v>
      </c>
      <c r="C22" s="5" t="str">
        <f t="shared" si="2"/>
        <v/>
      </c>
    </row>
    <row r="23" ht="45.0" customHeight="1">
      <c r="A23" s="6" t="s">
        <v>26</v>
      </c>
      <c r="B23" s="4" t="str">
        <f t="shared" si="3"/>
        <v>kakuna</v>
      </c>
      <c r="C23" s="5" t="str">
        <f t="shared" si="2"/>
        <v/>
      </c>
    </row>
    <row r="24" ht="45.0" customHeight="1">
      <c r="A24" s="6" t="s">
        <v>27</v>
      </c>
      <c r="B24" s="4" t="str">
        <f t="shared" si="3"/>
        <v>beedrill</v>
      </c>
      <c r="C24" s="5" t="str">
        <f t="shared" si="2"/>
        <v/>
      </c>
    </row>
    <row r="25" ht="45.0" customHeight="1">
      <c r="A25" s="4" t="s">
        <v>28</v>
      </c>
      <c r="B25" s="4" t="str">
        <f t="shared" si="3"/>
        <v>beedrill-mega</v>
      </c>
      <c r="C25" s="5" t="str">
        <f t="shared" si="2"/>
        <v/>
      </c>
    </row>
    <row r="26" ht="45.0" customHeight="1">
      <c r="A26" s="6" t="s">
        <v>29</v>
      </c>
      <c r="B26" s="4" t="str">
        <f t="shared" si="3"/>
        <v>pidgey</v>
      </c>
      <c r="C26" s="5" t="str">
        <f t="shared" si="2"/>
        <v/>
      </c>
    </row>
    <row r="27" ht="45.0" customHeight="1">
      <c r="A27" s="6" t="s">
        <v>30</v>
      </c>
      <c r="B27" s="4" t="str">
        <f t="shared" si="3"/>
        <v>pidgeotto</v>
      </c>
      <c r="C27" s="5" t="str">
        <f t="shared" si="2"/>
        <v/>
      </c>
    </row>
    <row r="28" ht="45.0" customHeight="1">
      <c r="A28" s="6" t="s">
        <v>31</v>
      </c>
      <c r="B28" s="4" t="str">
        <f t="shared" si="3"/>
        <v>pidgeot</v>
      </c>
      <c r="C28" s="5" t="str">
        <f t="shared" si="2"/>
        <v/>
      </c>
    </row>
    <row r="29" ht="45.0" customHeight="1">
      <c r="A29" s="4" t="s">
        <v>32</v>
      </c>
      <c r="B29" s="4" t="str">
        <f t="shared" si="3"/>
        <v>pidgeot-mega</v>
      </c>
      <c r="C29" s="5" t="str">
        <f t="shared" si="2"/>
        <v/>
      </c>
    </row>
    <row r="30" ht="45.0" customHeight="1">
      <c r="A30" s="6" t="s">
        <v>33</v>
      </c>
      <c r="B30" s="4" t="str">
        <f t="shared" si="3"/>
        <v>rattata</v>
      </c>
      <c r="C30" s="5" t="str">
        <f t="shared" si="2"/>
        <v/>
      </c>
    </row>
    <row r="31" ht="45.0" customHeight="1">
      <c r="A31" s="4" t="s">
        <v>34</v>
      </c>
      <c r="B31" s="4" t="str">
        <f t="shared" si="3"/>
        <v>rattata-alola</v>
      </c>
      <c r="C31" s="5" t="str">
        <f t="shared" si="2"/>
        <v/>
      </c>
    </row>
    <row r="32" ht="45.0" customHeight="1">
      <c r="A32" s="6" t="s">
        <v>35</v>
      </c>
      <c r="B32" s="4" t="str">
        <f t="shared" si="3"/>
        <v>raticate</v>
      </c>
      <c r="C32" s="5" t="str">
        <f t="shared" si="2"/>
        <v/>
      </c>
    </row>
    <row r="33" ht="45.0" customHeight="1">
      <c r="A33" s="4" t="s">
        <v>36</v>
      </c>
      <c r="B33" s="4" t="str">
        <f t="shared" si="3"/>
        <v>raticate-alola</v>
      </c>
      <c r="C33" s="5" t="str">
        <f t="shared" si="2"/>
        <v/>
      </c>
    </row>
    <row r="34" ht="45.0" customHeight="1">
      <c r="A34" s="6" t="s">
        <v>37</v>
      </c>
      <c r="B34" s="4" t="str">
        <f t="shared" si="3"/>
        <v>spearow</v>
      </c>
      <c r="C34" s="5" t="str">
        <f t="shared" si="2"/>
        <v/>
      </c>
    </row>
    <row r="35" ht="45.0" customHeight="1">
      <c r="A35" s="6" t="s">
        <v>38</v>
      </c>
      <c r="B35" s="4" t="str">
        <f t="shared" si="3"/>
        <v>fearow</v>
      </c>
      <c r="C35" s="5" t="str">
        <f t="shared" si="2"/>
        <v/>
      </c>
    </row>
    <row r="36" ht="45.0" customHeight="1">
      <c r="A36" s="6" t="s">
        <v>39</v>
      </c>
      <c r="B36" s="4" t="str">
        <f t="shared" si="3"/>
        <v>ekans</v>
      </c>
      <c r="C36" s="5" t="str">
        <f t="shared" si="2"/>
        <v/>
      </c>
    </row>
    <row r="37" ht="45.0" customHeight="1">
      <c r="A37" s="6" t="s">
        <v>40</v>
      </c>
      <c r="B37" s="4" t="str">
        <f t="shared" si="3"/>
        <v>arbok</v>
      </c>
      <c r="C37" s="5" t="str">
        <f t="shared" si="2"/>
        <v/>
      </c>
    </row>
    <row r="38" ht="45.0" customHeight="1">
      <c r="A38" s="6" t="s">
        <v>41</v>
      </c>
      <c r="B38" s="4" t="str">
        <f t="shared" si="3"/>
        <v>pikachu</v>
      </c>
      <c r="C38" s="5" t="str">
        <f t="shared" si="2"/>
        <v/>
      </c>
    </row>
    <row r="39" ht="45.0" customHeight="1">
      <c r="A39" s="6" t="s">
        <v>42</v>
      </c>
      <c r="B39" s="4" t="str">
        <f t="shared" si="3"/>
        <v>pikachu-gmax</v>
      </c>
      <c r="C39" s="5" t="str">
        <f t="shared" si="2"/>
        <v/>
      </c>
    </row>
    <row r="40" ht="45.0" customHeight="1">
      <c r="A40" s="6" t="s">
        <v>43</v>
      </c>
      <c r="B40" s="4" t="str">
        <f t="shared" si="3"/>
        <v>raichu</v>
      </c>
      <c r="C40" s="5" t="str">
        <f t="shared" si="2"/>
        <v/>
      </c>
    </row>
    <row r="41" ht="45.0" customHeight="1">
      <c r="A41" s="4" t="s">
        <v>44</v>
      </c>
      <c r="B41" s="4" t="str">
        <f t="shared" si="3"/>
        <v>raichu-alola</v>
      </c>
      <c r="C41" s="5" t="str">
        <f t="shared" si="2"/>
        <v/>
      </c>
    </row>
    <row r="42" ht="45.0" customHeight="1">
      <c r="A42" s="6" t="s">
        <v>45</v>
      </c>
      <c r="B42" s="4" t="str">
        <f t="shared" si="3"/>
        <v>sandshrew</v>
      </c>
      <c r="C42" s="5" t="str">
        <f t="shared" si="2"/>
        <v/>
      </c>
    </row>
    <row r="43" ht="45.0" customHeight="1">
      <c r="A43" s="4" t="s">
        <v>46</v>
      </c>
      <c r="B43" s="4" t="str">
        <f t="shared" si="3"/>
        <v>sandshrew-alola</v>
      </c>
      <c r="C43" s="5" t="str">
        <f t="shared" si="2"/>
        <v/>
      </c>
    </row>
    <row r="44" ht="45.0" customHeight="1">
      <c r="A44" s="6" t="s">
        <v>47</v>
      </c>
      <c r="B44" s="4" t="str">
        <f t="shared" si="3"/>
        <v>sandslash</v>
      </c>
      <c r="C44" s="5" t="str">
        <f t="shared" si="2"/>
        <v/>
      </c>
    </row>
    <row r="45" ht="45.0" customHeight="1">
      <c r="A45" s="4" t="s">
        <v>48</v>
      </c>
      <c r="B45" s="4" t="str">
        <f t="shared" si="3"/>
        <v>sandslash-alola</v>
      </c>
      <c r="C45" s="5" t="str">
        <f t="shared" si="2"/>
        <v/>
      </c>
    </row>
    <row r="46" ht="45.0" customHeight="1">
      <c r="A46" s="6" t="s">
        <v>49</v>
      </c>
      <c r="B46" s="4" t="s">
        <v>50</v>
      </c>
      <c r="C46" s="5" t="str">
        <f t="shared" si="2"/>
        <v/>
      </c>
    </row>
    <row r="47" ht="45.0" customHeight="1">
      <c r="A47" s="6" t="s">
        <v>51</v>
      </c>
      <c r="B47" s="4" t="str">
        <f t="shared" ref="B47:B48" si="4">LOWER(A47)</f>
        <v>nidorina</v>
      </c>
      <c r="C47" s="5" t="str">
        <f t="shared" si="2"/>
        <v/>
      </c>
    </row>
    <row r="48" ht="45.0" customHeight="1">
      <c r="A48" s="6" t="s">
        <v>52</v>
      </c>
      <c r="B48" s="4" t="str">
        <f t="shared" si="4"/>
        <v>nidoqueen</v>
      </c>
      <c r="C48" s="5" t="str">
        <f t="shared" si="2"/>
        <v/>
      </c>
    </row>
    <row r="49" ht="45.0" customHeight="1">
      <c r="A49" s="4" t="s">
        <v>53</v>
      </c>
      <c r="B49" s="4" t="s">
        <v>54</v>
      </c>
      <c r="C49" s="5" t="str">
        <f t="shared" si="2"/>
        <v/>
      </c>
    </row>
    <row r="50" ht="45.0" customHeight="1">
      <c r="A50" s="6" t="s">
        <v>55</v>
      </c>
      <c r="B50" s="4" t="str">
        <f t="shared" ref="B50:B119" si="5">LOWER(A50)</f>
        <v>nidorino</v>
      </c>
      <c r="C50" s="5" t="str">
        <f t="shared" si="2"/>
        <v/>
      </c>
    </row>
    <row r="51" ht="45.0" customHeight="1">
      <c r="A51" s="6" t="s">
        <v>56</v>
      </c>
      <c r="B51" s="4" t="str">
        <f t="shared" si="5"/>
        <v>nidoking</v>
      </c>
      <c r="C51" s="5" t="str">
        <f t="shared" si="2"/>
        <v/>
      </c>
    </row>
    <row r="52" ht="45.0" customHeight="1">
      <c r="A52" s="6" t="s">
        <v>57</v>
      </c>
      <c r="B52" s="4" t="str">
        <f t="shared" si="5"/>
        <v>clefairy</v>
      </c>
      <c r="C52" s="5" t="str">
        <f t="shared" si="2"/>
        <v/>
      </c>
    </row>
    <row r="53" ht="45.0" customHeight="1">
      <c r="A53" s="6" t="s">
        <v>58</v>
      </c>
      <c r="B53" s="4" t="str">
        <f t="shared" si="5"/>
        <v>clefable</v>
      </c>
      <c r="C53" s="5" t="str">
        <f t="shared" si="2"/>
        <v/>
      </c>
    </row>
    <row r="54" ht="45.0" customHeight="1">
      <c r="A54" s="6" t="s">
        <v>59</v>
      </c>
      <c r="B54" s="4" t="str">
        <f t="shared" si="5"/>
        <v>vulpix</v>
      </c>
      <c r="C54" s="5" t="str">
        <f t="shared" si="2"/>
        <v/>
      </c>
    </row>
    <row r="55" ht="45.0" customHeight="1">
      <c r="A55" s="4" t="s">
        <v>60</v>
      </c>
      <c r="B55" s="4" t="str">
        <f t="shared" si="5"/>
        <v>vulpix-alola</v>
      </c>
      <c r="C55" s="5" t="str">
        <f t="shared" si="2"/>
        <v/>
      </c>
    </row>
    <row r="56" ht="45.0" customHeight="1">
      <c r="A56" s="6" t="s">
        <v>61</v>
      </c>
      <c r="B56" s="4" t="str">
        <f t="shared" si="5"/>
        <v>ninetales</v>
      </c>
      <c r="C56" s="5" t="str">
        <f t="shared" si="2"/>
        <v/>
      </c>
    </row>
    <row r="57" ht="45.0" customHeight="1">
      <c r="A57" s="4" t="s">
        <v>62</v>
      </c>
      <c r="B57" s="4" t="str">
        <f t="shared" si="5"/>
        <v>ninetales-alola</v>
      </c>
      <c r="C57" s="5" t="str">
        <f t="shared" si="2"/>
        <v/>
      </c>
    </row>
    <row r="58" ht="45.0" customHeight="1">
      <c r="A58" s="6" t="s">
        <v>63</v>
      </c>
      <c r="B58" s="4" t="str">
        <f t="shared" si="5"/>
        <v>jigglypuff</v>
      </c>
      <c r="C58" s="5" t="str">
        <f t="shared" si="2"/>
        <v/>
      </c>
    </row>
    <row r="59" ht="45.0" customHeight="1">
      <c r="A59" s="6" t="s">
        <v>64</v>
      </c>
      <c r="B59" s="4" t="str">
        <f t="shared" si="5"/>
        <v>wigglytuff</v>
      </c>
      <c r="C59" s="5" t="str">
        <f t="shared" si="2"/>
        <v/>
      </c>
    </row>
    <row r="60" ht="45.0" customHeight="1">
      <c r="A60" s="6" t="s">
        <v>65</v>
      </c>
      <c r="B60" s="4" t="str">
        <f t="shared" si="5"/>
        <v>zubat</v>
      </c>
      <c r="C60" s="5" t="str">
        <f t="shared" si="2"/>
        <v/>
      </c>
    </row>
    <row r="61" ht="45.0" customHeight="1">
      <c r="A61" s="6" t="s">
        <v>66</v>
      </c>
      <c r="B61" s="4" t="str">
        <f t="shared" si="5"/>
        <v>golbat</v>
      </c>
      <c r="C61" s="5" t="str">
        <f t="shared" si="2"/>
        <v/>
      </c>
    </row>
    <row r="62" ht="45.0" customHeight="1">
      <c r="A62" s="6" t="s">
        <v>67</v>
      </c>
      <c r="B62" s="4" t="str">
        <f t="shared" si="5"/>
        <v>oddish</v>
      </c>
      <c r="C62" s="5" t="str">
        <f t="shared" si="2"/>
        <v/>
      </c>
    </row>
    <row r="63" ht="45.0" customHeight="1">
      <c r="A63" s="6" t="s">
        <v>68</v>
      </c>
      <c r="B63" s="4" t="str">
        <f t="shared" si="5"/>
        <v>gloom</v>
      </c>
      <c r="C63" s="5" t="str">
        <f t="shared" si="2"/>
        <v/>
      </c>
    </row>
    <row r="64" ht="45.0" customHeight="1">
      <c r="A64" s="6" t="s">
        <v>69</v>
      </c>
      <c r="B64" s="4" t="str">
        <f t="shared" si="5"/>
        <v>vileplume</v>
      </c>
      <c r="C64" s="5" t="str">
        <f t="shared" si="2"/>
        <v/>
      </c>
    </row>
    <row r="65" ht="45.0" customHeight="1">
      <c r="A65" s="6" t="s">
        <v>70</v>
      </c>
      <c r="B65" s="4" t="str">
        <f t="shared" si="5"/>
        <v>paras</v>
      </c>
      <c r="C65" s="5" t="str">
        <f t="shared" si="2"/>
        <v/>
      </c>
    </row>
    <row r="66" ht="45.0" customHeight="1">
      <c r="A66" s="6" t="s">
        <v>71</v>
      </c>
      <c r="B66" s="4" t="str">
        <f t="shared" si="5"/>
        <v>parasect</v>
      </c>
      <c r="C66" s="5" t="str">
        <f t="shared" si="2"/>
        <v/>
      </c>
    </row>
    <row r="67" ht="45.0" customHeight="1">
      <c r="A67" s="6" t="s">
        <v>72</v>
      </c>
      <c r="B67" s="4" t="str">
        <f t="shared" si="5"/>
        <v>venonat</v>
      </c>
      <c r="C67" s="5" t="str">
        <f t="shared" si="2"/>
        <v/>
      </c>
    </row>
    <row r="68" ht="45.0" customHeight="1">
      <c r="A68" s="6" t="s">
        <v>73</v>
      </c>
      <c r="B68" s="4" t="str">
        <f t="shared" si="5"/>
        <v>venomoth</v>
      </c>
      <c r="C68" s="5" t="str">
        <f t="shared" si="2"/>
        <v/>
      </c>
    </row>
    <row r="69" ht="45.0" customHeight="1">
      <c r="A69" s="6" t="s">
        <v>74</v>
      </c>
      <c r="B69" s="4" t="str">
        <f t="shared" si="5"/>
        <v>diglett</v>
      </c>
      <c r="C69" s="5" t="str">
        <f t="shared" si="2"/>
        <v/>
      </c>
    </row>
    <row r="70" ht="45.0" customHeight="1">
      <c r="A70" s="4" t="s">
        <v>75</v>
      </c>
      <c r="B70" s="4" t="str">
        <f t="shared" si="5"/>
        <v>diglett-alola</v>
      </c>
      <c r="C70" s="5" t="str">
        <f t="shared" si="2"/>
        <v/>
      </c>
    </row>
    <row r="71" ht="45.0" customHeight="1">
      <c r="A71" s="6" t="s">
        <v>76</v>
      </c>
      <c r="B71" s="4" t="str">
        <f t="shared" si="5"/>
        <v>dugtrio</v>
      </c>
      <c r="C71" s="5" t="str">
        <f t="shared" si="2"/>
        <v/>
      </c>
    </row>
    <row r="72" ht="45.0" customHeight="1">
      <c r="A72" s="4" t="s">
        <v>77</v>
      </c>
      <c r="B72" s="4" t="str">
        <f t="shared" si="5"/>
        <v>dugtrio-alola</v>
      </c>
      <c r="C72" s="5" t="str">
        <f t="shared" si="2"/>
        <v/>
      </c>
    </row>
    <row r="73" ht="45.0" customHeight="1">
      <c r="A73" s="6" t="s">
        <v>78</v>
      </c>
      <c r="B73" s="4" t="str">
        <f t="shared" si="5"/>
        <v>meowth</v>
      </c>
      <c r="C73" s="5" t="str">
        <f t="shared" si="2"/>
        <v/>
      </c>
    </row>
    <row r="74" ht="45.0" customHeight="1">
      <c r="A74" s="4" t="s">
        <v>79</v>
      </c>
      <c r="B74" s="4" t="str">
        <f t="shared" si="5"/>
        <v>meowth-alola</v>
      </c>
      <c r="C74" s="5" t="str">
        <f t="shared" si="2"/>
        <v/>
      </c>
    </row>
    <row r="75" ht="45.0" customHeight="1">
      <c r="A75" s="4" t="s">
        <v>80</v>
      </c>
      <c r="B75" s="4" t="str">
        <f t="shared" si="5"/>
        <v>meowth-galar</v>
      </c>
      <c r="C75" s="5" t="str">
        <f t="shared" si="2"/>
        <v/>
      </c>
    </row>
    <row r="76" ht="45.0" customHeight="1">
      <c r="A76" s="6" t="s">
        <v>81</v>
      </c>
      <c r="B76" s="4" t="str">
        <f t="shared" si="5"/>
        <v>meowth-gmax</v>
      </c>
      <c r="C76" s="5" t="str">
        <f t="shared" si="2"/>
        <v/>
      </c>
    </row>
    <row r="77" ht="45.0" customHeight="1">
      <c r="A77" s="6" t="s">
        <v>82</v>
      </c>
      <c r="B77" s="4" t="str">
        <f t="shared" si="5"/>
        <v>persian</v>
      </c>
      <c r="C77" s="5" t="str">
        <f t="shared" si="2"/>
        <v/>
      </c>
    </row>
    <row r="78" ht="45.0" customHeight="1">
      <c r="A78" s="4" t="s">
        <v>83</v>
      </c>
      <c r="B78" s="4" t="str">
        <f t="shared" si="5"/>
        <v>persian-alola</v>
      </c>
      <c r="C78" s="5" t="str">
        <f t="shared" si="2"/>
        <v/>
      </c>
    </row>
    <row r="79" ht="45.0" customHeight="1">
      <c r="A79" s="6" t="s">
        <v>84</v>
      </c>
      <c r="B79" s="4" t="str">
        <f t="shared" si="5"/>
        <v>psyduck</v>
      </c>
      <c r="C79" s="5" t="str">
        <f t="shared" si="2"/>
        <v/>
      </c>
    </row>
    <row r="80" ht="45.0" customHeight="1">
      <c r="A80" s="6" t="s">
        <v>85</v>
      </c>
      <c r="B80" s="4" t="str">
        <f t="shared" si="5"/>
        <v>golduck</v>
      </c>
      <c r="C80" s="5" t="str">
        <f t="shared" si="2"/>
        <v/>
      </c>
    </row>
    <row r="81" ht="45.0" customHeight="1">
      <c r="A81" s="6" t="s">
        <v>86</v>
      </c>
      <c r="B81" s="4" t="str">
        <f t="shared" si="5"/>
        <v>mankey</v>
      </c>
      <c r="C81" s="5" t="str">
        <f t="shared" si="2"/>
        <v/>
      </c>
    </row>
    <row r="82" ht="45.0" customHeight="1">
      <c r="A82" s="6" t="s">
        <v>87</v>
      </c>
      <c r="B82" s="4" t="str">
        <f t="shared" si="5"/>
        <v>primeape</v>
      </c>
      <c r="C82" s="5" t="str">
        <f t="shared" si="2"/>
        <v/>
      </c>
    </row>
    <row r="83" ht="45.0" customHeight="1">
      <c r="A83" s="6" t="s">
        <v>88</v>
      </c>
      <c r="B83" s="4" t="str">
        <f t="shared" si="5"/>
        <v>growlithe</v>
      </c>
      <c r="C83" s="5" t="str">
        <f t="shared" si="2"/>
        <v/>
      </c>
    </row>
    <row r="84" ht="45.0" customHeight="1">
      <c r="A84" s="7" t="s">
        <v>89</v>
      </c>
      <c r="B84" s="4" t="str">
        <f t="shared" si="5"/>
        <v>growlithe-hisui</v>
      </c>
      <c r="C84" s="5" t="str">
        <f t="shared" si="2"/>
        <v/>
      </c>
    </row>
    <row r="85" ht="45.0" customHeight="1">
      <c r="A85" s="6" t="s">
        <v>90</v>
      </c>
      <c r="B85" s="4" t="str">
        <f t="shared" si="5"/>
        <v>arcanine</v>
      </c>
      <c r="C85" s="5" t="str">
        <f t="shared" si="2"/>
        <v/>
      </c>
    </row>
    <row r="86" ht="45.0" customHeight="1">
      <c r="A86" s="7" t="s">
        <v>91</v>
      </c>
      <c r="B86" s="4" t="str">
        <f t="shared" si="5"/>
        <v>arcanine-hisui</v>
      </c>
      <c r="C86" s="5" t="str">
        <f t="shared" si="2"/>
        <v/>
      </c>
    </row>
    <row r="87" ht="45.0" customHeight="1">
      <c r="A87" s="6" t="s">
        <v>92</v>
      </c>
      <c r="B87" s="4" t="str">
        <f t="shared" si="5"/>
        <v>poliwag</v>
      </c>
      <c r="C87" s="5" t="str">
        <f t="shared" si="2"/>
        <v/>
      </c>
    </row>
    <row r="88" ht="45.0" customHeight="1">
      <c r="A88" s="6" t="s">
        <v>93</v>
      </c>
      <c r="B88" s="4" t="str">
        <f t="shared" si="5"/>
        <v>poliwhirl</v>
      </c>
      <c r="C88" s="5" t="str">
        <f t="shared" si="2"/>
        <v/>
      </c>
    </row>
    <row r="89" ht="45.0" customHeight="1">
      <c r="A89" s="6" t="s">
        <v>94</v>
      </c>
      <c r="B89" s="4" t="str">
        <f t="shared" si="5"/>
        <v>poliwrath</v>
      </c>
      <c r="C89" s="5" t="str">
        <f t="shared" si="2"/>
        <v/>
      </c>
    </row>
    <row r="90" ht="45.0" customHeight="1">
      <c r="A90" s="6" t="s">
        <v>95</v>
      </c>
      <c r="B90" s="4" t="str">
        <f t="shared" si="5"/>
        <v>abra</v>
      </c>
      <c r="C90" s="5" t="str">
        <f t="shared" si="2"/>
        <v/>
      </c>
    </row>
    <row r="91" ht="45.0" customHeight="1">
      <c r="A91" s="6" t="s">
        <v>96</v>
      </c>
      <c r="B91" s="4" t="str">
        <f t="shared" si="5"/>
        <v>kadabra</v>
      </c>
      <c r="C91" s="5" t="str">
        <f t="shared" si="2"/>
        <v/>
      </c>
    </row>
    <row r="92" ht="45.0" customHeight="1">
      <c r="A92" s="6" t="s">
        <v>97</v>
      </c>
      <c r="B92" s="4" t="str">
        <f t="shared" si="5"/>
        <v>alakazam</v>
      </c>
      <c r="C92" s="5" t="str">
        <f t="shared" si="2"/>
        <v/>
      </c>
    </row>
    <row r="93" ht="45.0" customHeight="1">
      <c r="A93" s="4" t="s">
        <v>98</v>
      </c>
      <c r="B93" s="4" t="str">
        <f t="shared" si="5"/>
        <v>alakazam-mega</v>
      </c>
      <c r="C93" s="5" t="str">
        <f t="shared" si="2"/>
        <v/>
      </c>
    </row>
    <row r="94" ht="45.0" customHeight="1">
      <c r="A94" s="6" t="s">
        <v>99</v>
      </c>
      <c r="B94" s="4" t="str">
        <f t="shared" si="5"/>
        <v>machop</v>
      </c>
      <c r="C94" s="5" t="str">
        <f t="shared" si="2"/>
        <v/>
      </c>
    </row>
    <row r="95" ht="45.0" customHeight="1">
      <c r="A95" s="6" t="s">
        <v>100</v>
      </c>
      <c r="B95" s="4" t="str">
        <f t="shared" si="5"/>
        <v>machoke</v>
      </c>
      <c r="C95" s="5" t="str">
        <f t="shared" si="2"/>
        <v/>
      </c>
    </row>
    <row r="96" ht="45.0" customHeight="1">
      <c r="A96" s="6" t="s">
        <v>101</v>
      </c>
      <c r="B96" s="4" t="str">
        <f t="shared" si="5"/>
        <v>machamp</v>
      </c>
      <c r="C96" s="5" t="str">
        <f t="shared" si="2"/>
        <v/>
      </c>
    </row>
    <row r="97" ht="45.0" customHeight="1">
      <c r="A97" s="6" t="s">
        <v>102</v>
      </c>
      <c r="B97" s="4" t="str">
        <f t="shared" si="5"/>
        <v>machamp-gmax</v>
      </c>
      <c r="C97" s="5" t="str">
        <f t="shared" si="2"/>
        <v/>
      </c>
    </row>
    <row r="98" ht="45.0" customHeight="1">
      <c r="A98" s="6" t="s">
        <v>103</v>
      </c>
      <c r="B98" s="4" t="str">
        <f t="shared" si="5"/>
        <v>bellsprout</v>
      </c>
      <c r="C98" s="5" t="str">
        <f t="shared" si="2"/>
        <v/>
      </c>
    </row>
    <row r="99" ht="45.0" customHeight="1">
      <c r="A99" s="6" t="s">
        <v>104</v>
      </c>
      <c r="B99" s="4" t="str">
        <f t="shared" si="5"/>
        <v>weepinbell</v>
      </c>
      <c r="C99" s="5" t="str">
        <f t="shared" si="2"/>
        <v/>
      </c>
    </row>
    <row r="100" ht="45.0" customHeight="1">
      <c r="A100" s="6" t="s">
        <v>105</v>
      </c>
      <c r="B100" s="4" t="str">
        <f t="shared" si="5"/>
        <v>victreebel</v>
      </c>
      <c r="C100" s="5" t="str">
        <f t="shared" si="2"/>
        <v/>
      </c>
    </row>
    <row r="101" ht="45.0" customHeight="1">
      <c r="A101" s="6" t="s">
        <v>106</v>
      </c>
      <c r="B101" s="4" t="str">
        <f t="shared" si="5"/>
        <v>tentacool</v>
      </c>
      <c r="C101" s="5" t="str">
        <f t="shared" si="2"/>
        <v/>
      </c>
    </row>
    <row r="102" ht="45.0" customHeight="1">
      <c r="A102" s="6" t="s">
        <v>107</v>
      </c>
      <c r="B102" s="4" t="str">
        <f t="shared" si="5"/>
        <v>tentacruel</v>
      </c>
      <c r="C102" s="5" t="str">
        <f t="shared" si="2"/>
        <v/>
      </c>
    </row>
    <row r="103" ht="45.0" customHeight="1">
      <c r="A103" s="6" t="s">
        <v>108</v>
      </c>
      <c r="B103" s="4" t="str">
        <f t="shared" si="5"/>
        <v>geodude</v>
      </c>
      <c r="C103" s="5" t="str">
        <f t="shared" si="2"/>
        <v/>
      </c>
    </row>
    <row r="104" ht="45.0" customHeight="1">
      <c r="A104" s="4" t="s">
        <v>109</v>
      </c>
      <c r="B104" s="4" t="str">
        <f t="shared" si="5"/>
        <v>geodude-alola</v>
      </c>
      <c r="C104" s="5" t="str">
        <f t="shared" si="2"/>
        <v/>
      </c>
    </row>
    <row r="105" ht="45.0" customHeight="1">
      <c r="A105" s="6" t="s">
        <v>110</v>
      </c>
      <c r="B105" s="4" t="str">
        <f t="shared" si="5"/>
        <v>graveler</v>
      </c>
      <c r="C105" s="5" t="str">
        <f t="shared" si="2"/>
        <v/>
      </c>
    </row>
    <row r="106" ht="45.0" customHeight="1">
      <c r="A106" s="4" t="s">
        <v>111</v>
      </c>
      <c r="B106" s="4" t="str">
        <f t="shared" si="5"/>
        <v>graveler-alola</v>
      </c>
      <c r="C106" s="5" t="str">
        <f t="shared" si="2"/>
        <v/>
      </c>
    </row>
    <row r="107" ht="45.0" customHeight="1">
      <c r="A107" s="6" t="s">
        <v>112</v>
      </c>
      <c r="B107" s="4" t="str">
        <f t="shared" si="5"/>
        <v>golem</v>
      </c>
      <c r="C107" s="5" t="str">
        <f t="shared" si="2"/>
        <v/>
      </c>
    </row>
    <row r="108" ht="45.0" customHeight="1">
      <c r="A108" s="4" t="s">
        <v>113</v>
      </c>
      <c r="B108" s="4" t="str">
        <f t="shared" si="5"/>
        <v>golem-alola</v>
      </c>
      <c r="C108" s="5" t="str">
        <f t="shared" si="2"/>
        <v/>
      </c>
    </row>
    <row r="109" ht="45.0" customHeight="1">
      <c r="A109" s="6" t="s">
        <v>114</v>
      </c>
      <c r="B109" s="4" t="str">
        <f t="shared" si="5"/>
        <v>ponyta</v>
      </c>
      <c r="C109" s="5" t="str">
        <f t="shared" si="2"/>
        <v/>
      </c>
    </row>
    <row r="110" ht="45.0" customHeight="1">
      <c r="A110" s="4" t="s">
        <v>115</v>
      </c>
      <c r="B110" s="4" t="str">
        <f t="shared" si="5"/>
        <v>ponyta-galar</v>
      </c>
      <c r="C110" s="5" t="str">
        <f t="shared" si="2"/>
        <v/>
      </c>
    </row>
    <row r="111" ht="45.0" customHeight="1">
      <c r="A111" s="6" t="s">
        <v>116</v>
      </c>
      <c r="B111" s="4" t="str">
        <f t="shared" si="5"/>
        <v>rapidash</v>
      </c>
      <c r="C111" s="5" t="str">
        <f t="shared" si="2"/>
        <v/>
      </c>
    </row>
    <row r="112" ht="45.0" customHeight="1">
      <c r="A112" s="4" t="s">
        <v>117</v>
      </c>
      <c r="B112" s="4" t="str">
        <f t="shared" si="5"/>
        <v>rapidash-galar</v>
      </c>
      <c r="C112" s="5" t="str">
        <f t="shared" si="2"/>
        <v/>
      </c>
    </row>
    <row r="113" ht="45.0" customHeight="1">
      <c r="A113" s="6" t="s">
        <v>118</v>
      </c>
      <c r="B113" s="4" t="str">
        <f t="shared" si="5"/>
        <v>slowpoke</v>
      </c>
      <c r="C113" s="5" t="str">
        <f t="shared" si="2"/>
        <v/>
      </c>
    </row>
    <row r="114" ht="45.0" customHeight="1">
      <c r="A114" s="4" t="s">
        <v>119</v>
      </c>
      <c r="B114" s="4" t="str">
        <f t="shared" si="5"/>
        <v>slowpoke-galar</v>
      </c>
      <c r="C114" s="5" t="str">
        <f t="shared" si="2"/>
        <v/>
      </c>
    </row>
    <row r="115" ht="45.0" customHeight="1">
      <c r="A115" s="6" t="s">
        <v>120</v>
      </c>
      <c r="B115" s="4" t="str">
        <f t="shared" si="5"/>
        <v>slowbro</v>
      </c>
      <c r="C115" s="5" t="str">
        <f t="shared" si="2"/>
        <v/>
      </c>
    </row>
    <row r="116" ht="45.0" customHeight="1">
      <c r="A116" s="4" t="s">
        <v>121</v>
      </c>
      <c r="B116" s="4" t="str">
        <f t="shared" si="5"/>
        <v>slowbro-galar</v>
      </c>
      <c r="C116" s="5" t="str">
        <f t="shared" si="2"/>
        <v/>
      </c>
    </row>
    <row r="117" ht="45.0" customHeight="1">
      <c r="A117" s="4" t="s">
        <v>122</v>
      </c>
      <c r="B117" s="4" t="str">
        <f t="shared" si="5"/>
        <v>slowbro-mega</v>
      </c>
      <c r="C117" s="5" t="str">
        <f t="shared" si="2"/>
        <v/>
      </c>
    </row>
    <row r="118" ht="45.0" customHeight="1">
      <c r="A118" s="6" t="s">
        <v>123</v>
      </c>
      <c r="B118" s="4" t="str">
        <f t="shared" si="5"/>
        <v>magnemite</v>
      </c>
      <c r="C118" s="5" t="str">
        <f t="shared" si="2"/>
        <v/>
      </c>
    </row>
    <row r="119" ht="45.0" customHeight="1">
      <c r="A119" s="6" t="s">
        <v>124</v>
      </c>
      <c r="B119" s="4" t="str">
        <f t="shared" si="5"/>
        <v>magneton</v>
      </c>
      <c r="C119" s="5" t="str">
        <f t="shared" si="2"/>
        <v/>
      </c>
    </row>
    <row r="120" ht="45.0" customHeight="1">
      <c r="A120" s="4" t="s">
        <v>125</v>
      </c>
      <c r="B120" s="4" t="s">
        <v>126</v>
      </c>
      <c r="C120" s="5" t="str">
        <f t="shared" si="2"/>
        <v/>
      </c>
    </row>
    <row r="121" ht="45.0" customHeight="1">
      <c r="A121" s="8" t="s">
        <v>127</v>
      </c>
      <c r="B121" s="4" t="s">
        <v>128</v>
      </c>
      <c r="C121" s="5" t="str">
        <f t="shared" si="2"/>
        <v/>
      </c>
    </row>
    <row r="122" ht="45.0" customHeight="1">
      <c r="A122" s="6" t="s">
        <v>129</v>
      </c>
      <c r="B122" s="4" t="str">
        <f t="shared" ref="B122:B170" si="6">LOWER(A122)</f>
        <v>doduo</v>
      </c>
      <c r="C122" s="5" t="str">
        <f t="shared" si="2"/>
        <v/>
      </c>
    </row>
    <row r="123" ht="45.0" customHeight="1">
      <c r="A123" s="6" t="s">
        <v>130</v>
      </c>
      <c r="B123" s="4" t="str">
        <f t="shared" si="6"/>
        <v>dodrio</v>
      </c>
      <c r="C123" s="5" t="str">
        <f t="shared" si="2"/>
        <v/>
      </c>
    </row>
    <row r="124" ht="45.0" customHeight="1">
      <c r="A124" s="6" t="s">
        <v>131</v>
      </c>
      <c r="B124" s="4" t="str">
        <f t="shared" si="6"/>
        <v>seel</v>
      </c>
      <c r="C124" s="5" t="str">
        <f t="shared" si="2"/>
        <v/>
      </c>
    </row>
    <row r="125" ht="45.0" customHeight="1">
      <c r="A125" s="6" t="s">
        <v>132</v>
      </c>
      <c r="B125" s="4" t="str">
        <f t="shared" si="6"/>
        <v>dewgong</v>
      </c>
      <c r="C125" s="5" t="str">
        <f t="shared" si="2"/>
        <v/>
      </c>
    </row>
    <row r="126" ht="45.0" customHeight="1">
      <c r="A126" s="6" t="s">
        <v>133</v>
      </c>
      <c r="B126" s="4" t="str">
        <f t="shared" si="6"/>
        <v>grimer</v>
      </c>
      <c r="C126" s="5" t="str">
        <f t="shared" si="2"/>
        <v/>
      </c>
    </row>
    <row r="127" ht="45.0" customHeight="1">
      <c r="A127" s="4" t="s">
        <v>134</v>
      </c>
      <c r="B127" s="4" t="str">
        <f t="shared" si="6"/>
        <v>grimer-alola</v>
      </c>
      <c r="C127" s="5" t="str">
        <f t="shared" si="2"/>
        <v/>
      </c>
    </row>
    <row r="128" ht="45.0" customHeight="1">
      <c r="A128" s="6" t="s">
        <v>135</v>
      </c>
      <c r="B128" s="4" t="str">
        <f t="shared" si="6"/>
        <v>muk</v>
      </c>
      <c r="C128" s="5" t="str">
        <f t="shared" si="2"/>
        <v/>
      </c>
    </row>
    <row r="129" ht="45.0" customHeight="1">
      <c r="A129" s="4" t="s">
        <v>136</v>
      </c>
      <c r="B129" s="4" t="str">
        <f t="shared" si="6"/>
        <v>muk-alola</v>
      </c>
      <c r="C129" s="5" t="str">
        <f t="shared" si="2"/>
        <v/>
      </c>
    </row>
    <row r="130" ht="45.0" customHeight="1">
      <c r="A130" s="6" t="s">
        <v>137</v>
      </c>
      <c r="B130" s="4" t="str">
        <f t="shared" si="6"/>
        <v>shellder</v>
      </c>
      <c r="C130" s="5" t="str">
        <f t="shared" si="2"/>
        <v/>
      </c>
    </row>
    <row r="131" ht="45.0" customHeight="1">
      <c r="A131" s="6" t="s">
        <v>138</v>
      </c>
      <c r="B131" s="4" t="str">
        <f t="shared" si="6"/>
        <v>cloyster</v>
      </c>
      <c r="C131" s="5" t="str">
        <f t="shared" si="2"/>
        <v/>
      </c>
    </row>
    <row r="132" ht="45.0" customHeight="1">
      <c r="A132" s="6" t="s">
        <v>139</v>
      </c>
      <c r="B132" s="4" t="str">
        <f t="shared" si="6"/>
        <v>gastly</v>
      </c>
      <c r="C132" s="5" t="str">
        <f t="shared" si="2"/>
        <v/>
      </c>
    </row>
    <row r="133" ht="45.0" customHeight="1">
      <c r="A133" s="6" t="s">
        <v>140</v>
      </c>
      <c r="B133" s="4" t="str">
        <f t="shared" si="6"/>
        <v>haunter</v>
      </c>
      <c r="C133" s="5" t="str">
        <f t="shared" si="2"/>
        <v/>
      </c>
    </row>
    <row r="134" ht="45.0" customHeight="1">
      <c r="A134" s="6" t="s">
        <v>141</v>
      </c>
      <c r="B134" s="4" t="str">
        <f t="shared" si="6"/>
        <v>gengar</v>
      </c>
      <c r="C134" s="5" t="str">
        <f t="shared" si="2"/>
        <v/>
      </c>
    </row>
    <row r="135" ht="45.0" customHeight="1">
      <c r="A135" s="6" t="s">
        <v>142</v>
      </c>
      <c r="B135" s="4" t="str">
        <f t="shared" si="6"/>
        <v>gengar-gmax</v>
      </c>
      <c r="C135" s="5" t="str">
        <f t="shared" si="2"/>
        <v/>
      </c>
    </row>
    <row r="136" ht="45.0" customHeight="1">
      <c r="A136" s="4" t="s">
        <v>143</v>
      </c>
      <c r="B136" s="4" t="str">
        <f t="shared" si="6"/>
        <v>gengar-mega</v>
      </c>
      <c r="C136" s="5" t="str">
        <f t="shared" si="2"/>
        <v/>
      </c>
    </row>
    <row r="137" ht="45.0" customHeight="1">
      <c r="A137" s="6" t="s">
        <v>144</v>
      </c>
      <c r="B137" s="4" t="str">
        <f t="shared" si="6"/>
        <v>onix</v>
      </c>
      <c r="C137" s="5" t="str">
        <f t="shared" si="2"/>
        <v/>
      </c>
    </row>
    <row r="138" ht="45.0" customHeight="1">
      <c r="A138" s="6" t="s">
        <v>145</v>
      </c>
      <c r="B138" s="4" t="str">
        <f t="shared" si="6"/>
        <v>drowzee</v>
      </c>
      <c r="C138" s="5" t="str">
        <f t="shared" si="2"/>
        <v/>
      </c>
    </row>
    <row r="139" ht="45.0" customHeight="1">
      <c r="A139" s="6" t="s">
        <v>146</v>
      </c>
      <c r="B139" s="4" t="str">
        <f t="shared" si="6"/>
        <v>hypno</v>
      </c>
      <c r="C139" s="5" t="str">
        <f t="shared" si="2"/>
        <v/>
      </c>
    </row>
    <row r="140" ht="45.0" customHeight="1">
      <c r="A140" s="6" t="s">
        <v>147</v>
      </c>
      <c r="B140" s="4" t="str">
        <f t="shared" si="6"/>
        <v>krabby</v>
      </c>
      <c r="C140" s="5" t="str">
        <f t="shared" si="2"/>
        <v/>
      </c>
    </row>
    <row r="141" ht="45.0" customHeight="1">
      <c r="A141" s="6" t="s">
        <v>148</v>
      </c>
      <c r="B141" s="4" t="str">
        <f t="shared" si="6"/>
        <v>kingler</v>
      </c>
      <c r="C141" s="5" t="str">
        <f t="shared" si="2"/>
        <v/>
      </c>
    </row>
    <row r="142" ht="45.0" customHeight="1">
      <c r="A142" s="6" t="s">
        <v>149</v>
      </c>
      <c r="B142" s="4" t="str">
        <f t="shared" si="6"/>
        <v>kingler-gmax</v>
      </c>
      <c r="C142" s="5" t="str">
        <f t="shared" si="2"/>
        <v/>
      </c>
    </row>
    <row r="143" ht="45.0" customHeight="1">
      <c r="A143" s="6" t="s">
        <v>150</v>
      </c>
      <c r="B143" s="4" t="str">
        <f t="shared" si="6"/>
        <v>voltorb</v>
      </c>
      <c r="C143" s="5" t="str">
        <f t="shared" si="2"/>
        <v/>
      </c>
    </row>
    <row r="144" ht="45.0" customHeight="1">
      <c r="A144" s="7" t="s">
        <v>151</v>
      </c>
      <c r="B144" s="4" t="str">
        <f t="shared" si="6"/>
        <v>voltorb-hisui</v>
      </c>
      <c r="C144" s="5" t="str">
        <f t="shared" si="2"/>
        <v/>
      </c>
    </row>
    <row r="145" ht="45.0" customHeight="1">
      <c r="A145" s="6" t="s">
        <v>152</v>
      </c>
      <c r="B145" s="4" t="str">
        <f t="shared" si="6"/>
        <v>electrode</v>
      </c>
      <c r="C145" s="5" t="str">
        <f t="shared" si="2"/>
        <v/>
      </c>
    </row>
    <row r="146" ht="45.0" customHeight="1">
      <c r="A146" s="7" t="s">
        <v>153</v>
      </c>
      <c r="B146" s="4" t="str">
        <f t="shared" si="6"/>
        <v>electrode-hisui</v>
      </c>
      <c r="C146" s="5" t="str">
        <f t="shared" si="2"/>
        <v/>
      </c>
    </row>
    <row r="147" ht="45.0" customHeight="1">
      <c r="A147" s="6" t="s">
        <v>154</v>
      </c>
      <c r="B147" s="4" t="str">
        <f t="shared" si="6"/>
        <v>exeggcute</v>
      </c>
      <c r="C147" s="5" t="str">
        <f t="shared" si="2"/>
        <v/>
      </c>
    </row>
    <row r="148" ht="45.0" customHeight="1">
      <c r="A148" s="6" t="s">
        <v>155</v>
      </c>
      <c r="B148" s="4" t="str">
        <f t="shared" si="6"/>
        <v>exeggutor</v>
      </c>
      <c r="C148" s="5" t="str">
        <f t="shared" si="2"/>
        <v/>
      </c>
    </row>
    <row r="149" ht="45.0" customHeight="1">
      <c r="A149" s="4" t="s">
        <v>156</v>
      </c>
      <c r="B149" s="4" t="str">
        <f t="shared" si="6"/>
        <v>exeggutor-alola</v>
      </c>
      <c r="C149" s="5" t="str">
        <f t="shared" si="2"/>
        <v/>
      </c>
    </row>
    <row r="150" ht="45.0" customHeight="1">
      <c r="A150" s="6" t="s">
        <v>157</v>
      </c>
      <c r="B150" s="4" t="str">
        <f t="shared" si="6"/>
        <v>cubone</v>
      </c>
      <c r="C150" s="5" t="str">
        <f t="shared" si="2"/>
        <v/>
      </c>
    </row>
    <row r="151" ht="45.0" customHeight="1">
      <c r="A151" s="6" t="s">
        <v>158</v>
      </c>
      <c r="B151" s="4" t="str">
        <f t="shared" si="6"/>
        <v>marowak</v>
      </c>
      <c r="C151" s="5" t="str">
        <f t="shared" si="2"/>
        <v/>
      </c>
    </row>
    <row r="152" ht="45.0" customHeight="1">
      <c r="A152" s="4" t="s">
        <v>159</v>
      </c>
      <c r="B152" s="4" t="str">
        <f t="shared" si="6"/>
        <v>marowak-alola</v>
      </c>
      <c r="C152" s="5" t="str">
        <f t="shared" si="2"/>
        <v/>
      </c>
    </row>
    <row r="153" ht="45.0" customHeight="1">
      <c r="A153" s="6" t="s">
        <v>160</v>
      </c>
      <c r="B153" s="4" t="str">
        <f t="shared" si="6"/>
        <v>hitmonlee</v>
      </c>
      <c r="C153" s="5" t="str">
        <f t="shared" si="2"/>
        <v/>
      </c>
    </row>
    <row r="154" ht="45.0" customHeight="1">
      <c r="A154" s="6" t="s">
        <v>161</v>
      </c>
      <c r="B154" s="4" t="str">
        <f t="shared" si="6"/>
        <v>hitmonchan</v>
      </c>
      <c r="C154" s="5" t="str">
        <f t="shared" si="2"/>
        <v/>
      </c>
    </row>
    <row r="155" ht="45.0" customHeight="1">
      <c r="A155" s="6" t="s">
        <v>162</v>
      </c>
      <c r="B155" s="4" t="str">
        <f t="shared" si="6"/>
        <v>lickitung</v>
      </c>
      <c r="C155" s="5" t="str">
        <f t="shared" si="2"/>
        <v/>
      </c>
    </row>
    <row r="156" ht="45.0" customHeight="1">
      <c r="A156" s="6" t="s">
        <v>163</v>
      </c>
      <c r="B156" s="4" t="str">
        <f t="shared" si="6"/>
        <v>koffing</v>
      </c>
      <c r="C156" s="5" t="str">
        <f t="shared" si="2"/>
        <v/>
      </c>
    </row>
    <row r="157" ht="45.0" customHeight="1">
      <c r="A157" s="6" t="s">
        <v>164</v>
      </c>
      <c r="B157" s="4" t="str">
        <f t="shared" si="6"/>
        <v>weezing</v>
      </c>
      <c r="C157" s="5" t="str">
        <f t="shared" si="2"/>
        <v/>
      </c>
    </row>
    <row r="158" ht="45.0" customHeight="1">
      <c r="A158" s="4" t="s">
        <v>165</v>
      </c>
      <c r="B158" s="4" t="str">
        <f t="shared" si="6"/>
        <v>weezing-galar</v>
      </c>
      <c r="C158" s="5" t="str">
        <f t="shared" si="2"/>
        <v/>
      </c>
    </row>
    <row r="159" ht="45.0" customHeight="1">
      <c r="A159" s="6" t="s">
        <v>166</v>
      </c>
      <c r="B159" s="4" t="str">
        <f t="shared" si="6"/>
        <v>rhyhorn</v>
      </c>
      <c r="C159" s="5" t="str">
        <f t="shared" si="2"/>
        <v/>
      </c>
    </row>
    <row r="160" ht="45.0" customHeight="1">
      <c r="A160" s="6" t="s">
        <v>167</v>
      </c>
      <c r="B160" s="4" t="str">
        <f t="shared" si="6"/>
        <v>rhydon</v>
      </c>
      <c r="C160" s="5" t="str">
        <f t="shared" si="2"/>
        <v/>
      </c>
    </row>
    <row r="161" ht="45.0" customHeight="1">
      <c r="A161" s="6" t="s">
        <v>168</v>
      </c>
      <c r="B161" s="4" t="str">
        <f t="shared" si="6"/>
        <v>chansey</v>
      </c>
      <c r="C161" s="5" t="str">
        <f t="shared" si="2"/>
        <v/>
      </c>
    </row>
    <row r="162" ht="45.0" customHeight="1">
      <c r="A162" s="6" t="s">
        <v>169</v>
      </c>
      <c r="B162" s="4" t="str">
        <f t="shared" si="6"/>
        <v>tangela</v>
      </c>
      <c r="C162" s="5" t="str">
        <f t="shared" si="2"/>
        <v/>
      </c>
    </row>
    <row r="163" ht="45.0" customHeight="1">
      <c r="A163" s="6" t="s">
        <v>170</v>
      </c>
      <c r="B163" s="4" t="str">
        <f t="shared" si="6"/>
        <v>kangaskhan</v>
      </c>
      <c r="C163" s="5" t="str">
        <f t="shared" si="2"/>
        <v/>
      </c>
    </row>
    <row r="164" ht="45.0" customHeight="1">
      <c r="A164" s="4" t="s">
        <v>171</v>
      </c>
      <c r="B164" s="4" t="str">
        <f t="shared" si="6"/>
        <v>kangaskhan-mega</v>
      </c>
      <c r="C164" s="5" t="str">
        <f t="shared" si="2"/>
        <v/>
      </c>
    </row>
    <row r="165" ht="45.0" customHeight="1">
      <c r="A165" s="6" t="s">
        <v>172</v>
      </c>
      <c r="B165" s="4" t="str">
        <f t="shared" si="6"/>
        <v>horsea</v>
      </c>
      <c r="C165" s="5" t="str">
        <f t="shared" si="2"/>
        <v/>
      </c>
    </row>
    <row r="166" ht="45.0" customHeight="1">
      <c r="A166" s="6" t="s">
        <v>173</v>
      </c>
      <c r="B166" s="4" t="str">
        <f t="shared" si="6"/>
        <v>seadra</v>
      </c>
      <c r="C166" s="5" t="str">
        <f t="shared" si="2"/>
        <v/>
      </c>
    </row>
    <row r="167" ht="45.0" customHeight="1">
      <c r="A167" s="6" t="s">
        <v>174</v>
      </c>
      <c r="B167" s="4" t="str">
        <f t="shared" si="6"/>
        <v>goldeen</v>
      </c>
      <c r="C167" s="5" t="str">
        <f t="shared" si="2"/>
        <v/>
      </c>
    </row>
    <row r="168" ht="45.0" customHeight="1">
      <c r="A168" s="6" t="s">
        <v>175</v>
      </c>
      <c r="B168" s="4" t="str">
        <f t="shared" si="6"/>
        <v>seaking</v>
      </c>
      <c r="C168" s="5" t="str">
        <f t="shared" si="2"/>
        <v/>
      </c>
    </row>
    <row r="169" ht="45.0" customHeight="1">
      <c r="A169" s="6" t="s">
        <v>176</v>
      </c>
      <c r="B169" s="4" t="str">
        <f t="shared" si="6"/>
        <v>staryu</v>
      </c>
      <c r="C169" s="5" t="str">
        <f t="shared" si="2"/>
        <v/>
      </c>
    </row>
    <row r="170" ht="45.0" customHeight="1">
      <c r="A170" s="6" t="s">
        <v>177</v>
      </c>
      <c r="B170" s="4" t="str">
        <f t="shared" si="6"/>
        <v>starmie</v>
      </c>
      <c r="C170" s="5" t="str">
        <f t="shared" si="2"/>
        <v/>
      </c>
    </row>
    <row r="171" ht="45.0" customHeight="1">
      <c r="A171" s="6" t="s">
        <v>178</v>
      </c>
      <c r="B171" s="4" t="s">
        <v>179</v>
      </c>
      <c r="C171" s="5" t="str">
        <f t="shared" si="2"/>
        <v/>
      </c>
    </row>
    <row r="172" ht="45.0" customHeight="1">
      <c r="A172" s="4" t="s">
        <v>180</v>
      </c>
      <c r="B172" s="4" t="s">
        <v>181</v>
      </c>
      <c r="C172" s="5" t="str">
        <f t="shared" si="2"/>
        <v/>
      </c>
    </row>
    <row r="173" ht="45.0" customHeight="1">
      <c r="A173" s="6" t="s">
        <v>182</v>
      </c>
      <c r="B173" s="4" t="str">
        <f t="shared" ref="B173:B212" si="7">LOWER(A173)</f>
        <v>scyther</v>
      </c>
      <c r="C173" s="5" t="str">
        <f t="shared" si="2"/>
        <v/>
      </c>
    </row>
    <row r="174" ht="45.0" customHeight="1">
      <c r="A174" s="6" t="s">
        <v>183</v>
      </c>
      <c r="B174" s="4" t="str">
        <f t="shared" si="7"/>
        <v>jynx</v>
      </c>
      <c r="C174" s="5" t="str">
        <f t="shared" si="2"/>
        <v/>
      </c>
    </row>
    <row r="175" ht="45.0" customHeight="1">
      <c r="A175" s="6" t="s">
        <v>184</v>
      </c>
      <c r="B175" s="4" t="str">
        <f t="shared" si="7"/>
        <v>electabuzz</v>
      </c>
      <c r="C175" s="5" t="str">
        <f t="shared" si="2"/>
        <v/>
      </c>
    </row>
    <row r="176" ht="45.0" customHeight="1">
      <c r="A176" s="6" t="s">
        <v>185</v>
      </c>
      <c r="B176" s="4" t="str">
        <f t="shared" si="7"/>
        <v>magmar</v>
      </c>
      <c r="C176" s="5" t="str">
        <f t="shared" si="2"/>
        <v/>
      </c>
    </row>
    <row r="177" ht="45.0" customHeight="1">
      <c r="A177" s="6" t="s">
        <v>186</v>
      </c>
      <c r="B177" s="4" t="str">
        <f t="shared" si="7"/>
        <v>pinsir</v>
      </c>
      <c r="C177" s="5" t="str">
        <f t="shared" si="2"/>
        <v/>
      </c>
    </row>
    <row r="178" ht="45.0" customHeight="1">
      <c r="A178" s="4" t="s">
        <v>187</v>
      </c>
      <c r="B178" s="4" t="str">
        <f t="shared" si="7"/>
        <v>pinsir-mega</v>
      </c>
      <c r="C178" s="5" t="str">
        <f t="shared" si="2"/>
        <v/>
      </c>
    </row>
    <row r="179" ht="45.0" customHeight="1">
      <c r="A179" s="6" t="s">
        <v>188</v>
      </c>
      <c r="B179" s="4" t="str">
        <f t="shared" si="7"/>
        <v>tauros</v>
      </c>
      <c r="C179" s="5" t="str">
        <f t="shared" si="2"/>
        <v/>
      </c>
    </row>
    <row r="180" ht="45.0" customHeight="1">
      <c r="A180" s="4" t="s">
        <v>189</v>
      </c>
      <c r="B180" s="4" t="str">
        <f t="shared" si="7"/>
        <v>tauros-paldea-combat</v>
      </c>
      <c r="C180" s="5" t="str">
        <f t="shared" si="2"/>
        <v/>
      </c>
    </row>
    <row r="181" ht="45.0" customHeight="1">
      <c r="A181" s="4" t="s">
        <v>190</v>
      </c>
      <c r="B181" s="4" t="str">
        <f t="shared" si="7"/>
        <v>tauros-paldea-blaze</v>
      </c>
      <c r="C181" s="5" t="str">
        <f t="shared" si="2"/>
        <v/>
      </c>
    </row>
    <row r="182" ht="45.0" customHeight="1">
      <c r="A182" s="4" t="s">
        <v>191</v>
      </c>
      <c r="B182" s="4" t="str">
        <f t="shared" si="7"/>
        <v>tauros-paldea-aqua</v>
      </c>
      <c r="C182" s="5" t="str">
        <f t="shared" si="2"/>
        <v/>
      </c>
    </row>
    <row r="183" ht="45.0" customHeight="1">
      <c r="A183" s="6" t="s">
        <v>192</v>
      </c>
      <c r="B183" s="4" t="str">
        <f t="shared" si="7"/>
        <v>magikarp</v>
      </c>
      <c r="C183" s="5" t="str">
        <f t="shared" si="2"/>
        <v/>
      </c>
    </row>
    <row r="184" ht="45.0" customHeight="1">
      <c r="A184" s="6" t="s">
        <v>193</v>
      </c>
      <c r="B184" s="4" t="str">
        <f t="shared" si="7"/>
        <v>gyarados</v>
      </c>
      <c r="C184" s="5" t="str">
        <f t="shared" si="2"/>
        <v/>
      </c>
    </row>
    <row r="185" ht="45.0" customHeight="1">
      <c r="A185" s="4" t="s">
        <v>194</v>
      </c>
      <c r="B185" s="4" t="str">
        <f t="shared" si="7"/>
        <v>gyarados-mega</v>
      </c>
      <c r="C185" s="5" t="str">
        <f t="shared" si="2"/>
        <v/>
      </c>
    </row>
    <row r="186" ht="45.0" customHeight="1">
      <c r="A186" s="6" t="s">
        <v>195</v>
      </c>
      <c r="B186" s="4" t="str">
        <f t="shared" si="7"/>
        <v>lapras</v>
      </c>
      <c r="C186" s="5" t="str">
        <f t="shared" si="2"/>
        <v/>
      </c>
    </row>
    <row r="187" ht="45.0" customHeight="1">
      <c r="A187" s="6" t="s">
        <v>196</v>
      </c>
      <c r="B187" s="4" t="str">
        <f t="shared" si="7"/>
        <v>lapras-gmax</v>
      </c>
      <c r="C187" s="5" t="str">
        <f t="shared" si="2"/>
        <v/>
      </c>
    </row>
    <row r="188" ht="45.0" customHeight="1">
      <c r="A188" s="6" t="s">
        <v>197</v>
      </c>
      <c r="B188" s="4" t="str">
        <f t="shared" si="7"/>
        <v>ditto</v>
      </c>
      <c r="C188" s="5" t="str">
        <f t="shared" si="2"/>
        <v/>
      </c>
    </row>
    <row r="189" ht="45.0" customHeight="1">
      <c r="A189" s="6" t="s">
        <v>198</v>
      </c>
      <c r="B189" s="4" t="str">
        <f t="shared" si="7"/>
        <v>eevee</v>
      </c>
      <c r="C189" s="5" t="str">
        <f t="shared" si="2"/>
        <v/>
      </c>
    </row>
    <row r="190" ht="45.0" customHeight="1">
      <c r="A190" s="6" t="s">
        <v>199</v>
      </c>
      <c r="B190" s="4" t="str">
        <f t="shared" si="7"/>
        <v>eevee-gmax</v>
      </c>
      <c r="C190" s="5" t="str">
        <f t="shared" si="2"/>
        <v/>
      </c>
    </row>
    <row r="191" ht="45.0" customHeight="1">
      <c r="A191" s="6" t="s">
        <v>200</v>
      </c>
      <c r="B191" s="4" t="str">
        <f t="shared" si="7"/>
        <v>vaporeon</v>
      </c>
      <c r="C191" s="5" t="str">
        <f t="shared" si="2"/>
        <v/>
      </c>
    </row>
    <row r="192" ht="45.0" customHeight="1">
      <c r="A192" s="6" t="s">
        <v>201</v>
      </c>
      <c r="B192" s="4" t="str">
        <f t="shared" si="7"/>
        <v>jolteon</v>
      </c>
      <c r="C192" s="5" t="str">
        <f t="shared" si="2"/>
        <v/>
      </c>
    </row>
    <row r="193" ht="45.0" customHeight="1">
      <c r="A193" s="6" t="s">
        <v>202</v>
      </c>
      <c r="B193" s="4" t="str">
        <f t="shared" si="7"/>
        <v>flareon</v>
      </c>
      <c r="C193" s="5" t="str">
        <f t="shared" si="2"/>
        <v/>
      </c>
    </row>
    <row r="194" ht="45.0" customHeight="1">
      <c r="A194" s="6" t="s">
        <v>203</v>
      </c>
      <c r="B194" s="4" t="str">
        <f t="shared" si="7"/>
        <v>porygon</v>
      </c>
      <c r="C194" s="5" t="str">
        <f t="shared" si="2"/>
        <v/>
      </c>
    </row>
    <row r="195" ht="45.0" customHeight="1">
      <c r="A195" s="6" t="s">
        <v>204</v>
      </c>
      <c r="B195" s="4" t="str">
        <f t="shared" si="7"/>
        <v>omanyte</v>
      </c>
      <c r="C195" s="5" t="str">
        <f t="shared" si="2"/>
        <v/>
      </c>
    </row>
    <row r="196" ht="45.0" customHeight="1">
      <c r="A196" s="6" t="s">
        <v>205</v>
      </c>
      <c r="B196" s="4" t="str">
        <f t="shared" si="7"/>
        <v>omastar</v>
      </c>
      <c r="C196" s="5" t="str">
        <f t="shared" si="2"/>
        <v/>
      </c>
    </row>
    <row r="197" ht="45.0" customHeight="1">
      <c r="A197" s="6" t="s">
        <v>206</v>
      </c>
      <c r="B197" s="4" t="str">
        <f t="shared" si="7"/>
        <v>kabuto</v>
      </c>
      <c r="C197" s="5" t="str">
        <f t="shared" si="2"/>
        <v/>
      </c>
    </row>
    <row r="198" ht="45.0" customHeight="1">
      <c r="A198" s="6" t="s">
        <v>207</v>
      </c>
      <c r="B198" s="4" t="str">
        <f t="shared" si="7"/>
        <v>kabutops</v>
      </c>
      <c r="C198" s="5" t="str">
        <f t="shared" si="2"/>
        <v/>
      </c>
    </row>
    <row r="199" ht="45.0" customHeight="1">
      <c r="A199" s="6" t="s">
        <v>208</v>
      </c>
      <c r="B199" s="4" t="str">
        <f t="shared" si="7"/>
        <v>aerodactyl</v>
      </c>
      <c r="C199" s="5" t="str">
        <f t="shared" si="2"/>
        <v/>
      </c>
    </row>
    <row r="200" ht="45.0" customHeight="1">
      <c r="A200" s="4" t="s">
        <v>209</v>
      </c>
      <c r="B200" s="4" t="str">
        <f t="shared" si="7"/>
        <v>aerodactyl-mega</v>
      </c>
      <c r="C200" s="5" t="str">
        <f t="shared" si="2"/>
        <v/>
      </c>
    </row>
    <row r="201" ht="45.0" customHeight="1">
      <c r="A201" s="6" t="s">
        <v>210</v>
      </c>
      <c r="B201" s="4" t="str">
        <f t="shared" si="7"/>
        <v>snorlax</v>
      </c>
      <c r="C201" s="5" t="str">
        <f t="shared" si="2"/>
        <v/>
      </c>
    </row>
    <row r="202" ht="45.0" customHeight="1">
      <c r="A202" s="6" t="s">
        <v>211</v>
      </c>
      <c r="B202" s="4" t="str">
        <f t="shared" si="7"/>
        <v>snorlax-gmax</v>
      </c>
      <c r="C202" s="5" t="str">
        <f t="shared" si="2"/>
        <v/>
      </c>
    </row>
    <row r="203" ht="45.0" customHeight="1">
      <c r="A203" s="6" t="s">
        <v>212</v>
      </c>
      <c r="B203" s="4" t="str">
        <f t="shared" si="7"/>
        <v>articuno</v>
      </c>
      <c r="C203" s="5" t="str">
        <f t="shared" si="2"/>
        <v/>
      </c>
    </row>
    <row r="204" ht="45.0" customHeight="1">
      <c r="A204" s="9" t="s">
        <v>213</v>
      </c>
      <c r="B204" s="4" t="str">
        <f t="shared" si="7"/>
        <v>articuno-galar</v>
      </c>
      <c r="C204" s="5" t="str">
        <f t="shared" si="2"/>
        <v/>
      </c>
    </row>
    <row r="205" ht="45.0" customHeight="1">
      <c r="A205" s="6" t="s">
        <v>214</v>
      </c>
      <c r="B205" s="4" t="str">
        <f t="shared" si="7"/>
        <v>zapdos</v>
      </c>
      <c r="C205" s="5" t="str">
        <f t="shared" si="2"/>
        <v/>
      </c>
    </row>
    <row r="206" ht="45.0" customHeight="1">
      <c r="A206" s="9" t="s">
        <v>215</v>
      </c>
      <c r="B206" s="4" t="str">
        <f t="shared" si="7"/>
        <v>zapdos-galar</v>
      </c>
      <c r="C206" s="5" t="str">
        <f t="shared" si="2"/>
        <v/>
      </c>
    </row>
    <row r="207" ht="45.0" customHeight="1">
      <c r="A207" s="6" t="s">
        <v>216</v>
      </c>
      <c r="B207" s="4" t="str">
        <f t="shared" si="7"/>
        <v>moltres</v>
      </c>
      <c r="C207" s="5" t="str">
        <f t="shared" si="2"/>
        <v/>
      </c>
    </row>
    <row r="208" ht="45.0" customHeight="1">
      <c r="A208" s="9" t="s">
        <v>217</v>
      </c>
      <c r="B208" s="4" t="str">
        <f t="shared" si="7"/>
        <v>moltres-galar</v>
      </c>
      <c r="C208" s="5" t="str">
        <f t="shared" si="2"/>
        <v/>
      </c>
    </row>
    <row r="209" ht="45.0" customHeight="1">
      <c r="A209" s="6" t="s">
        <v>218</v>
      </c>
      <c r="B209" s="4" t="str">
        <f t="shared" si="7"/>
        <v>dratini</v>
      </c>
      <c r="C209" s="5" t="str">
        <f t="shared" si="2"/>
        <v/>
      </c>
    </row>
    <row r="210" ht="45.0" customHeight="1">
      <c r="A210" s="6" t="s">
        <v>219</v>
      </c>
      <c r="B210" s="4" t="str">
        <f t="shared" si="7"/>
        <v>dragonair</v>
      </c>
      <c r="C210" s="5" t="str">
        <f t="shared" si="2"/>
        <v/>
      </c>
    </row>
    <row r="211" ht="45.0" customHeight="1">
      <c r="A211" s="6" t="s">
        <v>220</v>
      </c>
      <c r="B211" s="4" t="str">
        <f t="shared" si="7"/>
        <v>dragonite</v>
      </c>
      <c r="C211" s="5" t="str">
        <f t="shared" si="2"/>
        <v/>
      </c>
    </row>
    <row r="212" ht="45.0" customHeight="1">
      <c r="A212" s="6" t="s">
        <v>221</v>
      </c>
      <c r="B212" s="4" t="str">
        <f t="shared" si="7"/>
        <v>mewtwo</v>
      </c>
      <c r="C212" s="5" t="str">
        <f t="shared" si="2"/>
        <v/>
      </c>
    </row>
    <row r="213" ht="45.0" customHeight="1">
      <c r="A213" s="4" t="s">
        <v>222</v>
      </c>
      <c r="B213" s="4" t="s">
        <v>223</v>
      </c>
      <c r="C213" s="5" t="str">
        <f t="shared" si="2"/>
        <v/>
      </c>
    </row>
    <row r="214" ht="45.0" customHeight="1">
      <c r="A214" s="4" t="s">
        <v>224</v>
      </c>
      <c r="B214" s="4" t="s">
        <v>225</v>
      </c>
      <c r="C214" s="5" t="str">
        <f t="shared" si="2"/>
        <v/>
      </c>
    </row>
    <row r="215" ht="45.0" customHeight="1">
      <c r="A215" s="6" t="s">
        <v>226</v>
      </c>
      <c r="B215" s="4" t="str">
        <f t="shared" ref="B215:B325" si="8">LOWER(A215)</f>
        <v>mew</v>
      </c>
      <c r="C215" s="5" t="str">
        <f t="shared" si="2"/>
        <v/>
      </c>
    </row>
    <row r="216" ht="45.0" customHeight="1">
      <c r="A216" s="6" t="s">
        <v>227</v>
      </c>
      <c r="B216" s="4" t="str">
        <f t="shared" si="8"/>
        <v>chikorita</v>
      </c>
      <c r="C216" s="5" t="str">
        <f t="shared" si="2"/>
        <v/>
      </c>
    </row>
    <row r="217" ht="45.0" customHeight="1">
      <c r="A217" s="6" t="s">
        <v>228</v>
      </c>
      <c r="B217" s="4" t="str">
        <f t="shared" si="8"/>
        <v>bayleef</v>
      </c>
      <c r="C217" s="5" t="str">
        <f t="shared" si="2"/>
        <v/>
      </c>
    </row>
    <row r="218" ht="45.0" customHeight="1">
      <c r="A218" s="6" t="s">
        <v>229</v>
      </c>
      <c r="B218" s="4" t="str">
        <f t="shared" si="8"/>
        <v>meganium</v>
      </c>
      <c r="C218" s="5" t="str">
        <f t="shared" si="2"/>
        <v/>
      </c>
    </row>
    <row r="219" ht="45.0" customHeight="1">
      <c r="A219" s="6" t="s">
        <v>230</v>
      </c>
      <c r="B219" s="4" t="str">
        <f t="shared" si="8"/>
        <v>cyndaquil</v>
      </c>
      <c r="C219" s="5" t="str">
        <f t="shared" si="2"/>
        <v/>
      </c>
    </row>
    <row r="220" ht="45.0" customHeight="1">
      <c r="A220" s="6" t="s">
        <v>231</v>
      </c>
      <c r="B220" s="4" t="str">
        <f t="shared" si="8"/>
        <v>quilava</v>
      </c>
      <c r="C220" s="5" t="str">
        <f t="shared" si="2"/>
        <v/>
      </c>
    </row>
    <row r="221" ht="45.0" customHeight="1">
      <c r="A221" s="6" t="s">
        <v>232</v>
      </c>
      <c r="B221" s="4" t="str">
        <f t="shared" si="8"/>
        <v>typhlosion</v>
      </c>
      <c r="C221" s="5" t="str">
        <f t="shared" si="2"/>
        <v/>
      </c>
    </row>
    <row r="222" ht="45.0" customHeight="1">
      <c r="A222" s="7" t="s">
        <v>233</v>
      </c>
      <c r="B222" s="4" t="str">
        <f t="shared" si="8"/>
        <v>typhlosion-hisui</v>
      </c>
      <c r="C222" s="5" t="str">
        <f t="shared" si="2"/>
        <v/>
      </c>
    </row>
    <row r="223" ht="45.0" customHeight="1">
      <c r="A223" s="6" t="s">
        <v>234</v>
      </c>
      <c r="B223" s="4" t="str">
        <f t="shared" si="8"/>
        <v>totodile</v>
      </c>
      <c r="C223" s="5" t="str">
        <f t="shared" si="2"/>
        <v/>
      </c>
    </row>
    <row r="224" ht="45.0" customHeight="1">
      <c r="A224" s="6" t="s">
        <v>235</v>
      </c>
      <c r="B224" s="4" t="str">
        <f t="shared" si="8"/>
        <v>croconaw</v>
      </c>
      <c r="C224" s="5" t="str">
        <f t="shared" si="2"/>
        <v/>
      </c>
    </row>
    <row r="225" ht="45.0" customHeight="1">
      <c r="A225" s="6" t="s">
        <v>236</v>
      </c>
      <c r="B225" s="4" t="str">
        <f t="shared" si="8"/>
        <v>feraligatr</v>
      </c>
      <c r="C225" s="5" t="str">
        <f t="shared" si="2"/>
        <v/>
      </c>
    </row>
    <row r="226" ht="45.0" customHeight="1">
      <c r="A226" s="6" t="s">
        <v>237</v>
      </c>
      <c r="B226" s="4" t="str">
        <f t="shared" si="8"/>
        <v>sentret</v>
      </c>
      <c r="C226" s="5" t="str">
        <f t="shared" si="2"/>
        <v/>
      </c>
    </row>
    <row r="227" ht="45.0" customHeight="1">
      <c r="A227" s="6" t="s">
        <v>238</v>
      </c>
      <c r="B227" s="4" t="str">
        <f t="shared" si="8"/>
        <v>furret</v>
      </c>
      <c r="C227" s="5" t="str">
        <f t="shared" si="2"/>
        <v/>
      </c>
    </row>
    <row r="228" ht="45.0" customHeight="1">
      <c r="A228" s="6" t="s">
        <v>239</v>
      </c>
      <c r="B228" s="4" t="str">
        <f t="shared" si="8"/>
        <v>hoothoot</v>
      </c>
      <c r="C228" s="5" t="str">
        <f t="shared" si="2"/>
        <v/>
      </c>
    </row>
    <row r="229" ht="45.0" customHeight="1">
      <c r="A229" s="6" t="s">
        <v>240</v>
      </c>
      <c r="B229" s="4" t="str">
        <f t="shared" si="8"/>
        <v>noctowl</v>
      </c>
      <c r="C229" s="5" t="str">
        <f t="shared" si="2"/>
        <v/>
      </c>
    </row>
    <row r="230" ht="45.0" customHeight="1">
      <c r="A230" s="6" t="s">
        <v>241</v>
      </c>
      <c r="B230" s="4" t="str">
        <f t="shared" si="8"/>
        <v>ledyba</v>
      </c>
      <c r="C230" s="5" t="str">
        <f t="shared" si="2"/>
        <v/>
      </c>
    </row>
    <row r="231" ht="45.0" customHeight="1">
      <c r="A231" s="6" t="s">
        <v>242</v>
      </c>
      <c r="B231" s="4" t="str">
        <f t="shared" si="8"/>
        <v>ledian</v>
      </c>
      <c r="C231" s="5" t="str">
        <f t="shared" si="2"/>
        <v/>
      </c>
    </row>
    <row r="232" ht="45.0" customHeight="1">
      <c r="A232" s="6" t="s">
        <v>243</v>
      </c>
      <c r="B232" s="4" t="str">
        <f t="shared" si="8"/>
        <v>spinarak</v>
      </c>
      <c r="C232" s="5" t="str">
        <f t="shared" si="2"/>
        <v/>
      </c>
    </row>
    <row r="233" ht="45.0" customHeight="1">
      <c r="A233" s="6" t="s">
        <v>244</v>
      </c>
      <c r="B233" s="4" t="str">
        <f t="shared" si="8"/>
        <v>ariados</v>
      </c>
      <c r="C233" s="5" t="str">
        <f t="shared" si="2"/>
        <v/>
      </c>
    </row>
    <row r="234" ht="45.0" customHeight="1">
      <c r="A234" s="6" t="s">
        <v>245</v>
      </c>
      <c r="B234" s="4" t="str">
        <f t="shared" si="8"/>
        <v>crobat</v>
      </c>
      <c r="C234" s="5" t="str">
        <f t="shared" si="2"/>
        <v/>
      </c>
    </row>
    <row r="235" ht="45.0" customHeight="1">
      <c r="A235" s="6" t="s">
        <v>246</v>
      </c>
      <c r="B235" s="4" t="str">
        <f t="shared" si="8"/>
        <v>chinchou</v>
      </c>
      <c r="C235" s="5" t="str">
        <f t="shared" si="2"/>
        <v/>
      </c>
    </row>
    <row r="236" ht="45.0" customHeight="1">
      <c r="A236" s="6" t="s">
        <v>247</v>
      </c>
      <c r="B236" s="4" t="str">
        <f t="shared" si="8"/>
        <v>lanturn</v>
      </c>
      <c r="C236" s="5" t="str">
        <f t="shared" si="2"/>
        <v/>
      </c>
    </row>
    <row r="237" ht="45.0" customHeight="1">
      <c r="A237" s="6" t="s">
        <v>248</v>
      </c>
      <c r="B237" s="4" t="str">
        <f t="shared" si="8"/>
        <v>pichu</v>
      </c>
      <c r="C237" s="5" t="str">
        <f t="shared" si="2"/>
        <v/>
      </c>
    </row>
    <row r="238" ht="45.0" customHeight="1">
      <c r="A238" s="6" t="s">
        <v>249</v>
      </c>
      <c r="B238" s="4" t="str">
        <f t="shared" si="8"/>
        <v>cleffa</v>
      </c>
      <c r="C238" s="5" t="str">
        <f t="shared" si="2"/>
        <v/>
      </c>
    </row>
    <row r="239" ht="45.0" customHeight="1">
      <c r="A239" s="6" t="s">
        <v>250</v>
      </c>
      <c r="B239" s="4" t="str">
        <f t="shared" si="8"/>
        <v>igglybuff</v>
      </c>
      <c r="C239" s="5" t="str">
        <f t="shared" si="2"/>
        <v/>
      </c>
    </row>
    <row r="240" ht="45.0" customHeight="1">
      <c r="A240" s="6" t="s">
        <v>251</v>
      </c>
      <c r="B240" s="4" t="str">
        <f t="shared" si="8"/>
        <v>togepi</v>
      </c>
      <c r="C240" s="5" t="str">
        <f t="shared" si="2"/>
        <v/>
      </c>
    </row>
    <row r="241" ht="45.0" customHeight="1">
      <c r="A241" s="6" t="s">
        <v>252</v>
      </c>
      <c r="B241" s="4" t="str">
        <f t="shared" si="8"/>
        <v>togetic</v>
      </c>
      <c r="C241" s="5" t="str">
        <f t="shared" si="2"/>
        <v/>
      </c>
    </row>
    <row r="242" ht="45.0" customHeight="1">
      <c r="A242" s="6" t="s">
        <v>253</v>
      </c>
      <c r="B242" s="4" t="str">
        <f t="shared" si="8"/>
        <v>natu</v>
      </c>
      <c r="C242" s="5" t="str">
        <f t="shared" si="2"/>
        <v/>
      </c>
    </row>
    <row r="243" ht="45.0" customHeight="1">
      <c r="A243" s="6" t="s">
        <v>254</v>
      </c>
      <c r="B243" s="4" t="str">
        <f t="shared" si="8"/>
        <v>xatu</v>
      </c>
      <c r="C243" s="5" t="str">
        <f t="shared" si="2"/>
        <v/>
      </c>
    </row>
    <row r="244" ht="45.0" customHeight="1">
      <c r="A244" s="6" t="s">
        <v>255</v>
      </c>
      <c r="B244" s="4" t="str">
        <f t="shared" si="8"/>
        <v>mareep</v>
      </c>
      <c r="C244" s="5" t="str">
        <f t="shared" si="2"/>
        <v/>
      </c>
    </row>
    <row r="245" ht="45.0" customHeight="1">
      <c r="A245" s="6" t="s">
        <v>256</v>
      </c>
      <c r="B245" s="4" t="str">
        <f t="shared" si="8"/>
        <v>flaaffy</v>
      </c>
      <c r="C245" s="5" t="str">
        <f t="shared" si="2"/>
        <v/>
      </c>
    </row>
    <row r="246" ht="45.0" customHeight="1">
      <c r="A246" s="6" t="s">
        <v>257</v>
      </c>
      <c r="B246" s="4" t="str">
        <f t="shared" si="8"/>
        <v>ampharos</v>
      </c>
      <c r="C246" s="5" t="str">
        <f t="shared" si="2"/>
        <v/>
      </c>
    </row>
    <row r="247" ht="45.0" customHeight="1">
      <c r="A247" s="4" t="s">
        <v>258</v>
      </c>
      <c r="B247" s="4" t="str">
        <f t="shared" si="8"/>
        <v>ampharos-mega</v>
      </c>
      <c r="C247" s="5" t="str">
        <f t="shared" si="2"/>
        <v/>
      </c>
    </row>
    <row r="248" ht="45.0" customHeight="1">
      <c r="A248" s="6" t="s">
        <v>259</v>
      </c>
      <c r="B248" s="4" t="str">
        <f t="shared" si="8"/>
        <v>bellossom</v>
      </c>
      <c r="C248" s="5" t="str">
        <f t="shared" si="2"/>
        <v/>
      </c>
    </row>
    <row r="249" ht="45.0" customHeight="1">
      <c r="A249" s="6" t="s">
        <v>260</v>
      </c>
      <c r="B249" s="4" t="str">
        <f t="shared" si="8"/>
        <v>marill</v>
      </c>
      <c r="C249" s="5" t="str">
        <f t="shared" si="2"/>
        <v/>
      </c>
    </row>
    <row r="250" ht="45.0" customHeight="1">
      <c r="A250" s="6" t="s">
        <v>261</v>
      </c>
      <c r="B250" s="4" t="str">
        <f t="shared" si="8"/>
        <v>azumarill</v>
      </c>
      <c r="C250" s="5" t="str">
        <f t="shared" si="2"/>
        <v/>
      </c>
    </row>
    <row r="251" ht="45.0" customHeight="1">
      <c r="A251" s="6" t="s">
        <v>262</v>
      </c>
      <c r="B251" s="4" t="str">
        <f t="shared" si="8"/>
        <v>sudowoodo</v>
      </c>
      <c r="C251" s="5" t="str">
        <f t="shared" si="2"/>
        <v/>
      </c>
    </row>
    <row r="252" ht="45.0" customHeight="1">
      <c r="A252" s="6" t="s">
        <v>263</v>
      </c>
      <c r="B252" s="4" t="str">
        <f t="shared" si="8"/>
        <v>politoed</v>
      </c>
      <c r="C252" s="5" t="str">
        <f t="shared" si="2"/>
        <v/>
      </c>
    </row>
    <row r="253" ht="45.0" customHeight="1">
      <c r="A253" s="6" t="s">
        <v>264</v>
      </c>
      <c r="B253" s="4" t="str">
        <f t="shared" si="8"/>
        <v>hoppip</v>
      </c>
      <c r="C253" s="5" t="str">
        <f t="shared" si="2"/>
        <v/>
      </c>
    </row>
    <row r="254" ht="45.0" customHeight="1">
      <c r="A254" s="6" t="s">
        <v>265</v>
      </c>
      <c r="B254" s="4" t="str">
        <f t="shared" si="8"/>
        <v>skiploom</v>
      </c>
      <c r="C254" s="5" t="str">
        <f t="shared" si="2"/>
        <v/>
      </c>
    </row>
    <row r="255" ht="45.0" customHeight="1">
      <c r="A255" s="6" t="s">
        <v>266</v>
      </c>
      <c r="B255" s="4" t="str">
        <f t="shared" si="8"/>
        <v>jumpluff</v>
      </c>
      <c r="C255" s="5" t="str">
        <f t="shared" si="2"/>
        <v/>
      </c>
    </row>
    <row r="256" ht="45.0" customHeight="1">
      <c r="A256" s="6" t="s">
        <v>267</v>
      </c>
      <c r="B256" s="4" t="str">
        <f t="shared" si="8"/>
        <v>aipom</v>
      </c>
      <c r="C256" s="5" t="str">
        <f t="shared" si="2"/>
        <v/>
      </c>
    </row>
    <row r="257" ht="45.0" customHeight="1">
      <c r="A257" s="6" t="s">
        <v>268</v>
      </c>
      <c r="B257" s="4" t="str">
        <f t="shared" si="8"/>
        <v>sunkern</v>
      </c>
      <c r="C257" s="5" t="str">
        <f t="shared" si="2"/>
        <v/>
      </c>
    </row>
    <row r="258" ht="45.0" customHeight="1">
      <c r="A258" s="6" t="s">
        <v>269</v>
      </c>
      <c r="B258" s="4" t="str">
        <f t="shared" si="8"/>
        <v>sunflora</v>
      </c>
      <c r="C258" s="5" t="str">
        <f t="shared" si="2"/>
        <v/>
      </c>
    </row>
    <row r="259" ht="45.0" customHeight="1">
      <c r="A259" s="6" t="s">
        <v>270</v>
      </c>
      <c r="B259" s="4" t="str">
        <f t="shared" si="8"/>
        <v>yanma</v>
      </c>
      <c r="C259" s="5" t="str">
        <f t="shared" si="2"/>
        <v/>
      </c>
    </row>
    <row r="260" ht="45.0" customHeight="1">
      <c r="A260" s="6" t="s">
        <v>271</v>
      </c>
      <c r="B260" s="4" t="str">
        <f t="shared" si="8"/>
        <v>wooper</v>
      </c>
      <c r="C260" s="5" t="str">
        <f t="shared" si="2"/>
        <v/>
      </c>
    </row>
    <row r="261" ht="45.0" customHeight="1">
      <c r="A261" s="4" t="s">
        <v>272</v>
      </c>
      <c r="B261" s="4" t="str">
        <f t="shared" si="8"/>
        <v>wooper-paldea</v>
      </c>
      <c r="C261" s="5" t="str">
        <f t="shared" si="2"/>
        <v/>
      </c>
    </row>
    <row r="262" ht="45.0" customHeight="1">
      <c r="A262" s="6" t="s">
        <v>273</v>
      </c>
      <c r="B262" s="4" t="str">
        <f t="shared" si="8"/>
        <v>quagsire</v>
      </c>
      <c r="C262" s="5" t="str">
        <f t="shared" si="2"/>
        <v/>
      </c>
    </row>
    <row r="263" ht="45.0" customHeight="1">
      <c r="A263" s="6" t="s">
        <v>274</v>
      </c>
      <c r="B263" s="4" t="str">
        <f t="shared" si="8"/>
        <v>espeon</v>
      </c>
      <c r="C263" s="5" t="str">
        <f t="shared" si="2"/>
        <v/>
      </c>
    </row>
    <row r="264" ht="45.0" customHeight="1">
      <c r="A264" s="6" t="s">
        <v>275</v>
      </c>
      <c r="B264" s="4" t="str">
        <f t="shared" si="8"/>
        <v>umbreon</v>
      </c>
      <c r="C264" s="5" t="str">
        <f t="shared" si="2"/>
        <v/>
      </c>
    </row>
    <row r="265" ht="45.0" customHeight="1">
      <c r="A265" s="6" t="s">
        <v>276</v>
      </c>
      <c r="B265" s="4" t="str">
        <f t="shared" si="8"/>
        <v>murkrow</v>
      </c>
      <c r="C265" s="5" t="str">
        <f t="shared" si="2"/>
        <v/>
      </c>
    </row>
    <row r="266" ht="45.0" customHeight="1">
      <c r="A266" s="6" t="s">
        <v>277</v>
      </c>
      <c r="B266" s="4" t="str">
        <f t="shared" si="8"/>
        <v>slowking</v>
      </c>
      <c r="C266" s="5" t="str">
        <f t="shared" si="2"/>
        <v/>
      </c>
    </row>
    <row r="267" ht="45.0" customHeight="1">
      <c r="A267" s="9" t="s">
        <v>278</v>
      </c>
      <c r="B267" s="4" t="str">
        <f t="shared" si="8"/>
        <v>slowking-galar</v>
      </c>
      <c r="C267" s="5" t="str">
        <f t="shared" si="2"/>
        <v/>
      </c>
    </row>
    <row r="268" ht="45.0" customHeight="1">
      <c r="A268" s="6" t="s">
        <v>279</v>
      </c>
      <c r="B268" s="4" t="str">
        <f t="shared" si="8"/>
        <v>misdreavus</v>
      </c>
      <c r="C268" s="5" t="str">
        <f t="shared" si="2"/>
        <v/>
      </c>
    </row>
    <row r="269" ht="45.0" customHeight="1">
      <c r="A269" s="6" t="s">
        <v>280</v>
      </c>
      <c r="B269" s="4" t="str">
        <f t="shared" si="8"/>
        <v>unown</v>
      </c>
      <c r="C269" s="5" t="str">
        <f t="shared" si="2"/>
        <v/>
      </c>
    </row>
    <row r="270" ht="45.0" customHeight="1">
      <c r="A270" s="6" t="s">
        <v>281</v>
      </c>
      <c r="B270" s="4" t="str">
        <f t="shared" si="8"/>
        <v>wobbuffet</v>
      </c>
      <c r="C270" s="5" t="str">
        <f t="shared" si="2"/>
        <v/>
      </c>
    </row>
    <row r="271" ht="45.0" customHeight="1">
      <c r="A271" s="6" t="s">
        <v>282</v>
      </c>
      <c r="B271" s="4" t="str">
        <f t="shared" si="8"/>
        <v>girafarig</v>
      </c>
      <c r="C271" s="5" t="str">
        <f t="shared" si="2"/>
        <v/>
      </c>
    </row>
    <row r="272" ht="45.0" customHeight="1">
      <c r="A272" s="6" t="s">
        <v>283</v>
      </c>
      <c r="B272" s="4" t="str">
        <f t="shared" si="8"/>
        <v>pineco</v>
      </c>
      <c r="C272" s="5" t="str">
        <f t="shared" si="2"/>
        <v/>
      </c>
    </row>
    <row r="273" ht="45.0" customHeight="1">
      <c r="A273" s="6" t="s">
        <v>284</v>
      </c>
      <c r="B273" s="4" t="str">
        <f t="shared" si="8"/>
        <v>forretress</v>
      </c>
      <c r="C273" s="5" t="str">
        <f t="shared" si="2"/>
        <v/>
      </c>
    </row>
    <row r="274" ht="45.0" customHeight="1">
      <c r="A274" s="6" t="s">
        <v>285</v>
      </c>
      <c r="B274" s="4" t="str">
        <f t="shared" si="8"/>
        <v>dunsparce</v>
      </c>
      <c r="C274" s="5" t="str">
        <f t="shared" si="2"/>
        <v/>
      </c>
    </row>
    <row r="275" ht="45.0" customHeight="1">
      <c r="A275" s="6" t="s">
        <v>286</v>
      </c>
      <c r="B275" s="4" t="str">
        <f t="shared" si="8"/>
        <v>gligar</v>
      </c>
      <c r="C275" s="5" t="str">
        <f t="shared" si="2"/>
        <v/>
      </c>
    </row>
    <row r="276" ht="45.0" customHeight="1">
      <c r="A276" s="6" t="s">
        <v>287</v>
      </c>
      <c r="B276" s="4" t="str">
        <f t="shared" si="8"/>
        <v>steelix</v>
      </c>
      <c r="C276" s="5" t="str">
        <f t="shared" si="2"/>
        <v/>
      </c>
    </row>
    <row r="277" ht="45.0" customHeight="1">
      <c r="A277" s="4" t="s">
        <v>288</v>
      </c>
      <c r="B277" s="4" t="str">
        <f t="shared" si="8"/>
        <v>steelix-mega</v>
      </c>
      <c r="C277" s="5" t="str">
        <f t="shared" si="2"/>
        <v/>
      </c>
    </row>
    <row r="278" ht="45.0" customHeight="1">
      <c r="A278" s="6" t="s">
        <v>289</v>
      </c>
      <c r="B278" s="4" t="str">
        <f t="shared" si="8"/>
        <v>snubbull</v>
      </c>
      <c r="C278" s="5" t="str">
        <f t="shared" si="2"/>
        <v/>
      </c>
    </row>
    <row r="279" ht="45.0" customHeight="1">
      <c r="A279" s="6" t="s">
        <v>290</v>
      </c>
      <c r="B279" s="4" t="str">
        <f t="shared" si="8"/>
        <v>granbull</v>
      </c>
      <c r="C279" s="5" t="str">
        <f t="shared" si="2"/>
        <v/>
      </c>
    </row>
    <row r="280" ht="45.0" customHeight="1">
      <c r="A280" s="6" t="s">
        <v>291</v>
      </c>
      <c r="B280" s="4" t="str">
        <f t="shared" si="8"/>
        <v>qwilfish</v>
      </c>
      <c r="C280" s="5" t="str">
        <f t="shared" si="2"/>
        <v/>
      </c>
    </row>
    <row r="281" ht="45.0" customHeight="1">
      <c r="A281" s="9" t="s">
        <v>292</v>
      </c>
      <c r="B281" s="4" t="str">
        <f t="shared" si="8"/>
        <v>qwilfish-hisui</v>
      </c>
      <c r="C281" s="5" t="str">
        <f t="shared" si="2"/>
        <v/>
      </c>
    </row>
    <row r="282" ht="45.0" customHeight="1">
      <c r="A282" s="6" t="s">
        <v>293</v>
      </c>
      <c r="B282" s="4" t="str">
        <f t="shared" si="8"/>
        <v>scizor</v>
      </c>
      <c r="C282" s="5" t="str">
        <f t="shared" si="2"/>
        <v/>
      </c>
    </row>
    <row r="283" ht="45.0" customHeight="1">
      <c r="A283" s="4" t="s">
        <v>294</v>
      </c>
      <c r="B283" s="4" t="str">
        <f t="shared" si="8"/>
        <v>scizor-mega</v>
      </c>
      <c r="C283" s="5" t="str">
        <f t="shared" si="2"/>
        <v/>
      </c>
    </row>
    <row r="284" ht="45.0" customHeight="1">
      <c r="A284" s="6" t="s">
        <v>295</v>
      </c>
      <c r="B284" s="4" t="str">
        <f t="shared" si="8"/>
        <v>shuckle</v>
      </c>
      <c r="C284" s="5" t="str">
        <f t="shared" si="2"/>
        <v/>
      </c>
    </row>
    <row r="285" ht="45.0" customHeight="1">
      <c r="A285" s="6" t="s">
        <v>296</v>
      </c>
      <c r="B285" s="4" t="str">
        <f t="shared" si="8"/>
        <v>heracross</v>
      </c>
      <c r="C285" s="5" t="str">
        <f t="shared" si="2"/>
        <v/>
      </c>
    </row>
    <row r="286" ht="45.0" customHeight="1">
      <c r="A286" s="4" t="s">
        <v>297</v>
      </c>
      <c r="B286" s="4" t="str">
        <f t="shared" si="8"/>
        <v>heracross-mega</v>
      </c>
      <c r="C286" s="5" t="str">
        <f t="shared" si="2"/>
        <v/>
      </c>
    </row>
    <row r="287" ht="45.0" customHeight="1">
      <c r="A287" s="6" t="s">
        <v>298</v>
      </c>
      <c r="B287" s="4" t="str">
        <f t="shared" si="8"/>
        <v>sneasel</v>
      </c>
      <c r="C287" s="5" t="str">
        <f t="shared" si="2"/>
        <v/>
      </c>
    </row>
    <row r="288" ht="45.0" customHeight="1">
      <c r="A288" s="9" t="s">
        <v>299</v>
      </c>
      <c r="B288" s="4" t="str">
        <f t="shared" si="8"/>
        <v>sneasel-hisui</v>
      </c>
      <c r="C288" s="5" t="str">
        <f t="shared" si="2"/>
        <v/>
      </c>
    </row>
    <row r="289" ht="45.0" customHeight="1">
      <c r="A289" s="6" t="s">
        <v>300</v>
      </c>
      <c r="B289" s="4" t="str">
        <f t="shared" si="8"/>
        <v>teddiursa</v>
      </c>
      <c r="C289" s="5" t="str">
        <f t="shared" si="2"/>
        <v/>
      </c>
    </row>
    <row r="290" ht="45.0" customHeight="1">
      <c r="A290" s="6" t="s">
        <v>301</v>
      </c>
      <c r="B290" s="4" t="str">
        <f t="shared" si="8"/>
        <v>ursaring</v>
      </c>
      <c r="C290" s="5" t="str">
        <f t="shared" si="2"/>
        <v/>
      </c>
    </row>
    <row r="291" ht="45.0" customHeight="1">
      <c r="A291" s="6" t="s">
        <v>302</v>
      </c>
      <c r="B291" s="4" t="str">
        <f t="shared" si="8"/>
        <v>slugma</v>
      </c>
      <c r="C291" s="5" t="str">
        <f t="shared" si="2"/>
        <v/>
      </c>
    </row>
    <row r="292" ht="45.0" customHeight="1">
      <c r="A292" s="6" t="s">
        <v>303</v>
      </c>
      <c r="B292" s="4" t="str">
        <f t="shared" si="8"/>
        <v>magcargo</v>
      </c>
      <c r="C292" s="5" t="str">
        <f t="shared" si="2"/>
        <v/>
      </c>
    </row>
    <row r="293" ht="45.0" customHeight="1">
      <c r="A293" s="6" t="s">
        <v>304</v>
      </c>
      <c r="B293" s="4" t="str">
        <f t="shared" si="8"/>
        <v>swinub</v>
      </c>
      <c r="C293" s="5" t="str">
        <f t="shared" si="2"/>
        <v/>
      </c>
    </row>
    <row r="294" ht="45.0" customHeight="1">
      <c r="A294" s="6" t="s">
        <v>305</v>
      </c>
      <c r="B294" s="4" t="str">
        <f t="shared" si="8"/>
        <v>piloswine</v>
      </c>
      <c r="C294" s="5" t="str">
        <f t="shared" si="2"/>
        <v/>
      </c>
    </row>
    <row r="295" ht="45.0" customHeight="1">
      <c r="A295" s="6" t="s">
        <v>306</v>
      </c>
      <c r="B295" s="4" t="str">
        <f t="shared" si="8"/>
        <v>corsola</v>
      </c>
      <c r="C295" s="5" t="str">
        <f t="shared" si="2"/>
        <v/>
      </c>
    </row>
    <row r="296" ht="45.0" customHeight="1">
      <c r="A296" s="4" t="s">
        <v>307</v>
      </c>
      <c r="B296" s="4" t="str">
        <f t="shared" si="8"/>
        <v>corsola-galar</v>
      </c>
      <c r="C296" s="5" t="str">
        <f t="shared" si="2"/>
        <v/>
      </c>
    </row>
    <row r="297" ht="45.0" customHeight="1">
      <c r="A297" s="6" t="s">
        <v>308</v>
      </c>
      <c r="B297" s="4" t="str">
        <f t="shared" si="8"/>
        <v>remoraid</v>
      </c>
      <c r="C297" s="5" t="str">
        <f t="shared" si="2"/>
        <v/>
      </c>
    </row>
    <row r="298" ht="45.0" customHeight="1">
      <c r="A298" s="6" t="s">
        <v>309</v>
      </c>
      <c r="B298" s="4" t="str">
        <f t="shared" si="8"/>
        <v>octillery</v>
      </c>
      <c r="C298" s="5" t="str">
        <f t="shared" si="2"/>
        <v/>
      </c>
    </row>
    <row r="299" ht="45.0" customHeight="1">
      <c r="A299" s="6" t="s">
        <v>310</v>
      </c>
      <c r="B299" s="4" t="str">
        <f t="shared" si="8"/>
        <v>delibird</v>
      </c>
      <c r="C299" s="5" t="str">
        <f t="shared" si="2"/>
        <v/>
      </c>
    </row>
    <row r="300" ht="45.0" customHeight="1">
      <c r="A300" s="6" t="s">
        <v>311</v>
      </c>
      <c r="B300" s="4" t="str">
        <f t="shared" si="8"/>
        <v>mantine</v>
      </c>
      <c r="C300" s="5" t="str">
        <f t="shared" si="2"/>
        <v/>
      </c>
    </row>
    <row r="301" ht="45.0" customHeight="1">
      <c r="A301" s="6" t="s">
        <v>312</v>
      </c>
      <c r="B301" s="4" t="str">
        <f t="shared" si="8"/>
        <v>skarmory</v>
      </c>
      <c r="C301" s="5" t="str">
        <f t="shared" si="2"/>
        <v/>
      </c>
    </row>
    <row r="302" ht="45.0" customHeight="1">
      <c r="A302" s="6" t="s">
        <v>313</v>
      </c>
      <c r="B302" s="4" t="str">
        <f t="shared" si="8"/>
        <v>houndour</v>
      </c>
      <c r="C302" s="5" t="str">
        <f t="shared" si="2"/>
        <v/>
      </c>
    </row>
    <row r="303" ht="45.0" customHeight="1">
      <c r="A303" s="6" t="s">
        <v>314</v>
      </c>
      <c r="B303" s="4" t="str">
        <f t="shared" si="8"/>
        <v>houndoom</v>
      </c>
      <c r="C303" s="5" t="str">
        <f t="shared" si="2"/>
        <v/>
      </c>
    </row>
    <row r="304" ht="45.0" customHeight="1">
      <c r="A304" s="4" t="s">
        <v>315</v>
      </c>
      <c r="B304" s="4" t="str">
        <f t="shared" si="8"/>
        <v>houndoom-mega</v>
      </c>
      <c r="C304" s="5" t="str">
        <f t="shared" si="2"/>
        <v/>
      </c>
    </row>
    <row r="305" ht="45.0" customHeight="1">
      <c r="A305" s="6" t="s">
        <v>316</v>
      </c>
      <c r="B305" s="4" t="str">
        <f t="shared" si="8"/>
        <v>kingdra</v>
      </c>
      <c r="C305" s="5" t="str">
        <f t="shared" si="2"/>
        <v/>
      </c>
    </row>
    <row r="306" ht="45.0" customHeight="1">
      <c r="A306" s="6" t="s">
        <v>317</v>
      </c>
      <c r="B306" s="4" t="str">
        <f t="shared" si="8"/>
        <v>phanpy</v>
      </c>
      <c r="C306" s="5" t="str">
        <f t="shared" si="2"/>
        <v/>
      </c>
    </row>
    <row r="307" ht="45.0" customHeight="1">
      <c r="A307" s="6" t="s">
        <v>318</v>
      </c>
      <c r="B307" s="4" t="str">
        <f t="shared" si="8"/>
        <v>donphan</v>
      </c>
      <c r="C307" s="5" t="str">
        <f t="shared" si="2"/>
        <v/>
      </c>
    </row>
    <row r="308" ht="45.0" customHeight="1">
      <c r="A308" s="6" t="s">
        <v>319</v>
      </c>
      <c r="B308" s="4" t="str">
        <f t="shared" si="8"/>
        <v>porygon2</v>
      </c>
      <c r="C308" s="5" t="str">
        <f t="shared" si="2"/>
        <v/>
      </c>
    </row>
    <row r="309" ht="45.0" customHeight="1">
      <c r="A309" s="6" t="s">
        <v>320</v>
      </c>
      <c r="B309" s="4" t="str">
        <f t="shared" si="8"/>
        <v>stantler</v>
      </c>
      <c r="C309" s="5" t="str">
        <f t="shared" si="2"/>
        <v/>
      </c>
    </row>
    <row r="310" ht="45.0" customHeight="1">
      <c r="A310" s="6" t="s">
        <v>321</v>
      </c>
      <c r="B310" s="4" t="str">
        <f t="shared" si="8"/>
        <v>smeargle</v>
      </c>
      <c r="C310" s="5" t="str">
        <f t="shared" si="2"/>
        <v/>
      </c>
    </row>
    <row r="311" ht="45.0" customHeight="1">
      <c r="A311" s="6" t="s">
        <v>322</v>
      </c>
      <c r="B311" s="4" t="str">
        <f t="shared" si="8"/>
        <v>tyrogue</v>
      </c>
      <c r="C311" s="5" t="str">
        <f t="shared" si="2"/>
        <v/>
      </c>
    </row>
    <row r="312" ht="45.0" customHeight="1">
      <c r="A312" s="6" t="s">
        <v>323</v>
      </c>
      <c r="B312" s="4" t="str">
        <f t="shared" si="8"/>
        <v>hitmontop</v>
      </c>
      <c r="C312" s="5" t="str">
        <f t="shared" si="2"/>
        <v/>
      </c>
    </row>
    <row r="313" ht="45.0" customHeight="1">
      <c r="A313" s="6" t="s">
        <v>324</v>
      </c>
      <c r="B313" s="4" t="str">
        <f t="shared" si="8"/>
        <v>smoochum</v>
      </c>
      <c r="C313" s="5" t="str">
        <f t="shared" si="2"/>
        <v/>
      </c>
    </row>
    <row r="314" ht="45.0" customHeight="1">
      <c r="A314" s="6" t="s">
        <v>325</v>
      </c>
      <c r="B314" s="4" t="str">
        <f t="shared" si="8"/>
        <v>elekid</v>
      </c>
      <c r="C314" s="5" t="str">
        <f t="shared" si="2"/>
        <v/>
      </c>
    </row>
    <row r="315" ht="45.0" customHeight="1">
      <c r="A315" s="6" t="s">
        <v>326</v>
      </c>
      <c r="B315" s="4" t="str">
        <f t="shared" si="8"/>
        <v>magby</v>
      </c>
      <c r="C315" s="5" t="str">
        <f t="shared" si="2"/>
        <v/>
      </c>
    </row>
    <row r="316" ht="45.0" customHeight="1">
      <c r="A316" s="6" t="s">
        <v>327</v>
      </c>
      <c r="B316" s="4" t="str">
        <f t="shared" si="8"/>
        <v>miltank</v>
      </c>
      <c r="C316" s="5" t="str">
        <f t="shared" si="2"/>
        <v/>
      </c>
    </row>
    <row r="317" ht="45.0" customHeight="1">
      <c r="A317" s="6" t="s">
        <v>328</v>
      </c>
      <c r="B317" s="4" t="str">
        <f t="shared" si="8"/>
        <v>blissey</v>
      </c>
      <c r="C317" s="5" t="str">
        <f t="shared" si="2"/>
        <v/>
      </c>
    </row>
    <row r="318" ht="45.0" customHeight="1">
      <c r="A318" s="6" t="s">
        <v>329</v>
      </c>
      <c r="B318" s="4" t="str">
        <f t="shared" si="8"/>
        <v>raikou</v>
      </c>
      <c r="C318" s="5" t="str">
        <f t="shared" si="2"/>
        <v/>
      </c>
    </row>
    <row r="319" ht="45.0" customHeight="1">
      <c r="A319" s="6" t="s">
        <v>330</v>
      </c>
      <c r="B319" s="4" t="str">
        <f t="shared" si="8"/>
        <v>entei</v>
      </c>
      <c r="C319" s="5" t="str">
        <f t="shared" si="2"/>
        <v/>
      </c>
    </row>
    <row r="320" ht="45.0" customHeight="1">
      <c r="A320" s="6" t="s">
        <v>331</v>
      </c>
      <c r="B320" s="4" t="str">
        <f t="shared" si="8"/>
        <v>suicune</v>
      </c>
      <c r="C320" s="5" t="str">
        <f t="shared" si="2"/>
        <v/>
      </c>
    </row>
    <row r="321" ht="45.0" customHeight="1">
      <c r="A321" s="6" t="s">
        <v>332</v>
      </c>
      <c r="B321" s="4" t="str">
        <f t="shared" si="8"/>
        <v>larvitar</v>
      </c>
      <c r="C321" s="5" t="str">
        <f t="shared" si="2"/>
        <v/>
      </c>
    </row>
    <row r="322" ht="45.0" customHeight="1">
      <c r="A322" s="6" t="s">
        <v>333</v>
      </c>
      <c r="B322" s="4" t="str">
        <f t="shared" si="8"/>
        <v>pupitar</v>
      </c>
      <c r="C322" s="5" t="str">
        <f t="shared" si="2"/>
        <v/>
      </c>
    </row>
    <row r="323" ht="45.0" customHeight="1">
      <c r="A323" s="6" t="s">
        <v>334</v>
      </c>
      <c r="B323" s="4" t="str">
        <f t="shared" si="8"/>
        <v>tyranitar</v>
      </c>
      <c r="C323" s="5" t="str">
        <f t="shared" si="2"/>
        <v/>
      </c>
    </row>
    <row r="324" ht="45.0" customHeight="1">
      <c r="A324" s="4" t="s">
        <v>335</v>
      </c>
      <c r="B324" s="4" t="str">
        <f t="shared" si="8"/>
        <v>tyranitar-mega</v>
      </c>
      <c r="C324" s="5" t="str">
        <f t="shared" si="2"/>
        <v/>
      </c>
    </row>
    <row r="325" ht="45.0" customHeight="1">
      <c r="A325" s="6" t="s">
        <v>336</v>
      </c>
      <c r="B325" s="4" t="str">
        <f t="shared" si="8"/>
        <v>lugia</v>
      </c>
      <c r="C325" s="5" t="str">
        <f t="shared" si="2"/>
        <v/>
      </c>
    </row>
    <row r="326" ht="45.0" customHeight="1">
      <c r="A326" s="6" t="s">
        <v>337</v>
      </c>
      <c r="B326" s="4" t="s">
        <v>338</v>
      </c>
      <c r="C326" s="5" t="str">
        <f t="shared" si="2"/>
        <v/>
      </c>
    </row>
    <row r="327" ht="45.0" customHeight="1">
      <c r="A327" s="6" t="s">
        <v>339</v>
      </c>
      <c r="B327" s="4" t="str">
        <f t="shared" ref="B327:B544" si="9">LOWER(A327)</f>
        <v>celebi</v>
      </c>
      <c r="C327" s="5" t="str">
        <f t="shared" si="2"/>
        <v/>
      </c>
    </row>
    <row r="328" ht="45.0" customHeight="1">
      <c r="A328" s="6" t="s">
        <v>340</v>
      </c>
      <c r="B328" s="4" t="str">
        <f t="shared" si="9"/>
        <v>treecko</v>
      </c>
      <c r="C328" s="5" t="str">
        <f t="shared" si="2"/>
        <v/>
      </c>
    </row>
    <row r="329" ht="45.0" customHeight="1">
      <c r="A329" s="6" t="s">
        <v>341</v>
      </c>
      <c r="B329" s="4" t="str">
        <f t="shared" si="9"/>
        <v>grovyle</v>
      </c>
      <c r="C329" s="5" t="str">
        <f t="shared" si="2"/>
        <v/>
      </c>
    </row>
    <row r="330" ht="45.0" customHeight="1">
      <c r="A330" s="6" t="s">
        <v>342</v>
      </c>
      <c r="B330" s="4" t="str">
        <f t="shared" si="9"/>
        <v>sceptile</v>
      </c>
      <c r="C330" s="5" t="str">
        <f t="shared" si="2"/>
        <v/>
      </c>
    </row>
    <row r="331" ht="45.0" customHeight="1">
      <c r="A331" s="4" t="s">
        <v>343</v>
      </c>
      <c r="B331" s="4" t="str">
        <f t="shared" si="9"/>
        <v>sceptile-mega</v>
      </c>
      <c r="C331" s="5" t="str">
        <f t="shared" si="2"/>
        <v/>
      </c>
    </row>
    <row r="332" ht="45.0" customHeight="1">
      <c r="A332" s="6" t="s">
        <v>344</v>
      </c>
      <c r="B332" s="4" t="str">
        <f t="shared" si="9"/>
        <v>torchic</v>
      </c>
      <c r="C332" s="5" t="str">
        <f t="shared" si="2"/>
        <v/>
      </c>
    </row>
    <row r="333" ht="45.0" customHeight="1">
      <c r="A333" s="6" t="s">
        <v>345</v>
      </c>
      <c r="B333" s="4" t="str">
        <f t="shared" si="9"/>
        <v>combusken</v>
      </c>
      <c r="C333" s="5" t="str">
        <f t="shared" si="2"/>
        <v/>
      </c>
    </row>
    <row r="334" ht="45.0" customHeight="1">
      <c r="A334" s="6" t="s">
        <v>346</v>
      </c>
      <c r="B334" s="4" t="str">
        <f t="shared" si="9"/>
        <v>blaziken</v>
      </c>
      <c r="C334" s="5" t="str">
        <f t="shared" si="2"/>
        <v/>
      </c>
    </row>
    <row r="335" ht="45.0" customHeight="1">
      <c r="A335" s="4" t="s">
        <v>347</v>
      </c>
      <c r="B335" s="4" t="str">
        <f t="shared" si="9"/>
        <v>blaziken-mega</v>
      </c>
      <c r="C335" s="5" t="str">
        <f t="shared" si="2"/>
        <v/>
      </c>
    </row>
    <row r="336" ht="45.0" customHeight="1">
      <c r="A336" s="6" t="s">
        <v>348</v>
      </c>
      <c r="B336" s="4" t="str">
        <f t="shared" si="9"/>
        <v>mudkip</v>
      </c>
      <c r="C336" s="5" t="str">
        <f t="shared" si="2"/>
        <v/>
      </c>
    </row>
    <row r="337" ht="45.0" customHeight="1">
      <c r="A337" s="6" t="s">
        <v>349</v>
      </c>
      <c r="B337" s="4" t="str">
        <f t="shared" si="9"/>
        <v>marshtomp</v>
      </c>
      <c r="C337" s="5" t="str">
        <f t="shared" si="2"/>
        <v/>
      </c>
    </row>
    <row r="338" ht="45.0" customHeight="1">
      <c r="A338" s="6" t="s">
        <v>350</v>
      </c>
      <c r="B338" s="4" t="str">
        <f t="shared" si="9"/>
        <v>swampert</v>
      </c>
      <c r="C338" s="5" t="str">
        <f t="shared" si="2"/>
        <v/>
      </c>
    </row>
    <row r="339" ht="45.0" customHeight="1">
      <c r="A339" s="4" t="s">
        <v>351</v>
      </c>
      <c r="B339" s="4" t="str">
        <f t="shared" si="9"/>
        <v>swampert-mega</v>
      </c>
      <c r="C339" s="5" t="str">
        <f t="shared" si="2"/>
        <v/>
      </c>
    </row>
    <row r="340" ht="45.0" customHeight="1">
      <c r="A340" s="6" t="s">
        <v>352</v>
      </c>
      <c r="B340" s="4" t="str">
        <f t="shared" si="9"/>
        <v>poochyena</v>
      </c>
      <c r="C340" s="5" t="str">
        <f t="shared" si="2"/>
        <v/>
      </c>
    </row>
    <row r="341" ht="45.0" customHeight="1">
      <c r="A341" s="6" t="s">
        <v>353</v>
      </c>
      <c r="B341" s="4" t="str">
        <f t="shared" si="9"/>
        <v>mightyena</v>
      </c>
      <c r="C341" s="5" t="str">
        <f t="shared" si="2"/>
        <v/>
      </c>
    </row>
    <row r="342" ht="45.0" customHeight="1">
      <c r="A342" s="6" t="s">
        <v>354</v>
      </c>
      <c r="B342" s="4" t="str">
        <f t="shared" si="9"/>
        <v>zigzagoon</v>
      </c>
      <c r="C342" s="5" t="str">
        <f t="shared" si="2"/>
        <v/>
      </c>
    </row>
    <row r="343" ht="45.0" customHeight="1">
      <c r="A343" s="4" t="s">
        <v>355</v>
      </c>
      <c r="B343" s="4" t="str">
        <f t="shared" si="9"/>
        <v>zigzagoon-galar</v>
      </c>
      <c r="C343" s="5" t="str">
        <f t="shared" si="2"/>
        <v/>
      </c>
    </row>
    <row r="344" ht="45.0" customHeight="1">
      <c r="A344" s="6" t="s">
        <v>356</v>
      </c>
      <c r="B344" s="4" t="str">
        <f t="shared" si="9"/>
        <v>linoone</v>
      </c>
      <c r="C344" s="5" t="str">
        <f t="shared" si="2"/>
        <v/>
      </c>
    </row>
    <row r="345" ht="45.0" customHeight="1">
      <c r="A345" s="4" t="s">
        <v>357</v>
      </c>
      <c r="B345" s="4" t="str">
        <f t="shared" si="9"/>
        <v>linoone-galar</v>
      </c>
      <c r="C345" s="5" t="str">
        <f t="shared" si="2"/>
        <v/>
      </c>
    </row>
    <row r="346" ht="45.0" customHeight="1">
      <c r="A346" s="6" t="s">
        <v>358</v>
      </c>
      <c r="B346" s="4" t="str">
        <f t="shared" si="9"/>
        <v>wurmple</v>
      </c>
      <c r="C346" s="5" t="str">
        <f t="shared" si="2"/>
        <v/>
      </c>
    </row>
    <row r="347" ht="45.0" customHeight="1">
      <c r="A347" s="6" t="s">
        <v>359</v>
      </c>
      <c r="B347" s="4" t="str">
        <f t="shared" si="9"/>
        <v>silcoon</v>
      </c>
      <c r="C347" s="5" t="str">
        <f t="shared" si="2"/>
        <v/>
      </c>
    </row>
    <row r="348" ht="45.0" customHeight="1">
      <c r="A348" s="6" t="s">
        <v>360</v>
      </c>
      <c r="B348" s="4" t="str">
        <f t="shared" si="9"/>
        <v>beautifly</v>
      </c>
      <c r="C348" s="5" t="str">
        <f t="shared" si="2"/>
        <v/>
      </c>
    </row>
    <row r="349" ht="45.0" customHeight="1">
      <c r="A349" s="6" t="s">
        <v>361</v>
      </c>
      <c r="B349" s="4" t="str">
        <f t="shared" si="9"/>
        <v>cascoon</v>
      </c>
      <c r="C349" s="5" t="str">
        <f t="shared" si="2"/>
        <v/>
      </c>
    </row>
    <row r="350" ht="45.0" customHeight="1">
      <c r="A350" s="6" t="s">
        <v>362</v>
      </c>
      <c r="B350" s="4" t="str">
        <f t="shared" si="9"/>
        <v>dustox</v>
      </c>
      <c r="C350" s="5" t="str">
        <f t="shared" si="2"/>
        <v/>
      </c>
    </row>
    <row r="351" ht="45.0" customHeight="1">
      <c r="A351" s="6" t="s">
        <v>363</v>
      </c>
      <c r="B351" s="4" t="str">
        <f t="shared" si="9"/>
        <v>lotad</v>
      </c>
      <c r="C351" s="5" t="str">
        <f t="shared" si="2"/>
        <v/>
      </c>
    </row>
    <row r="352" ht="45.0" customHeight="1">
      <c r="A352" s="6" t="s">
        <v>364</v>
      </c>
      <c r="B352" s="4" t="str">
        <f t="shared" si="9"/>
        <v>lombre</v>
      </c>
      <c r="C352" s="5" t="str">
        <f t="shared" si="2"/>
        <v/>
      </c>
    </row>
    <row r="353" ht="45.0" customHeight="1">
      <c r="A353" s="6" t="s">
        <v>365</v>
      </c>
      <c r="B353" s="4" t="str">
        <f t="shared" si="9"/>
        <v>ludicolo</v>
      </c>
      <c r="C353" s="5" t="str">
        <f t="shared" si="2"/>
        <v/>
      </c>
    </row>
    <row r="354" ht="45.0" customHeight="1">
      <c r="A354" s="6" t="s">
        <v>366</v>
      </c>
      <c r="B354" s="4" t="str">
        <f t="shared" si="9"/>
        <v>seedot</v>
      </c>
      <c r="C354" s="5" t="str">
        <f t="shared" si="2"/>
        <v/>
      </c>
    </row>
    <row r="355" ht="45.0" customHeight="1">
      <c r="A355" s="6" t="s">
        <v>367</v>
      </c>
      <c r="B355" s="4" t="str">
        <f t="shared" si="9"/>
        <v>nuzleaf</v>
      </c>
      <c r="C355" s="5" t="str">
        <f t="shared" si="2"/>
        <v/>
      </c>
    </row>
    <row r="356" ht="45.0" customHeight="1">
      <c r="A356" s="6" t="s">
        <v>368</v>
      </c>
      <c r="B356" s="4" t="str">
        <f t="shared" si="9"/>
        <v>shiftry</v>
      </c>
      <c r="C356" s="5" t="str">
        <f t="shared" si="2"/>
        <v/>
      </c>
    </row>
    <row r="357" ht="45.0" customHeight="1">
      <c r="A357" s="6" t="s">
        <v>369</v>
      </c>
      <c r="B357" s="4" t="str">
        <f t="shared" si="9"/>
        <v>taillow</v>
      </c>
      <c r="C357" s="5" t="str">
        <f t="shared" si="2"/>
        <v/>
      </c>
    </row>
    <row r="358" ht="45.0" customHeight="1">
      <c r="A358" s="6" t="s">
        <v>370</v>
      </c>
      <c r="B358" s="4" t="str">
        <f t="shared" si="9"/>
        <v>swellow</v>
      </c>
      <c r="C358" s="5" t="str">
        <f t="shared" si="2"/>
        <v/>
      </c>
    </row>
    <row r="359" ht="45.0" customHeight="1">
      <c r="A359" s="6" t="s">
        <v>371</v>
      </c>
      <c r="B359" s="4" t="str">
        <f t="shared" si="9"/>
        <v>wingull</v>
      </c>
      <c r="C359" s="5" t="str">
        <f t="shared" si="2"/>
        <v/>
      </c>
    </row>
    <row r="360" ht="45.0" customHeight="1">
      <c r="A360" s="6" t="s">
        <v>372</v>
      </c>
      <c r="B360" s="4" t="str">
        <f t="shared" si="9"/>
        <v>pelipper</v>
      </c>
      <c r="C360" s="5" t="str">
        <f t="shared" si="2"/>
        <v/>
      </c>
    </row>
    <row r="361" ht="45.0" customHeight="1">
      <c r="A361" s="6" t="s">
        <v>373</v>
      </c>
      <c r="B361" s="4" t="str">
        <f t="shared" si="9"/>
        <v>ralts</v>
      </c>
      <c r="C361" s="5" t="str">
        <f t="shared" si="2"/>
        <v/>
      </c>
    </row>
    <row r="362" ht="45.0" customHeight="1">
      <c r="A362" s="6" t="s">
        <v>374</v>
      </c>
      <c r="B362" s="4" t="str">
        <f t="shared" si="9"/>
        <v>kirlia</v>
      </c>
      <c r="C362" s="5" t="str">
        <f t="shared" si="2"/>
        <v/>
      </c>
    </row>
    <row r="363" ht="45.0" customHeight="1">
      <c r="A363" s="6" t="s">
        <v>375</v>
      </c>
      <c r="B363" s="4" t="str">
        <f t="shared" si="9"/>
        <v>gardevoir</v>
      </c>
      <c r="C363" s="5" t="str">
        <f t="shared" si="2"/>
        <v/>
      </c>
    </row>
    <row r="364" ht="45.0" customHeight="1">
      <c r="A364" s="4" t="s">
        <v>376</v>
      </c>
      <c r="B364" s="4" t="str">
        <f t="shared" si="9"/>
        <v>gardevoir-mega</v>
      </c>
      <c r="C364" s="5" t="str">
        <f t="shared" si="2"/>
        <v/>
      </c>
    </row>
    <row r="365" ht="45.0" customHeight="1">
      <c r="A365" s="6" t="s">
        <v>377</v>
      </c>
      <c r="B365" s="4" t="str">
        <f t="shared" si="9"/>
        <v>surskit</v>
      </c>
      <c r="C365" s="5" t="str">
        <f t="shared" si="2"/>
        <v/>
      </c>
    </row>
    <row r="366" ht="45.0" customHeight="1">
      <c r="A366" s="6" t="s">
        <v>378</v>
      </c>
      <c r="B366" s="4" t="str">
        <f t="shared" si="9"/>
        <v>masquerain</v>
      </c>
      <c r="C366" s="5" t="str">
        <f t="shared" si="2"/>
        <v/>
      </c>
    </row>
    <row r="367" ht="45.0" customHeight="1">
      <c r="A367" s="6" t="s">
        <v>379</v>
      </c>
      <c r="B367" s="4" t="str">
        <f t="shared" si="9"/>
        <v>shroomish</v>
      </c>
      <c r="C367" s="5" t="str">
        <f t="shared" si="2"/>
        <v/>
      </c>
    </row>
    <row r="368" ht="45.0" customHeight="1">
      <c r="A368" s="6" t="s">
        <v>380</v>
      </c>
      <c r="B368" s="4" t="str">
        <f t="shared" si="9"/>
        <v>breloom</v>
      </c>
      <c r="C368" s="5" t="str">
        <f t="shared" si="2"/>
        <v/>
      </c>
    </row>
    <row r="369" ht="45.0" customHeight="1">
      <c r="A369" s="6" t="s">
        <v>381</v>
      </c>
      <c r="B369" s="4" t="str">
        <f t="shared" si="9"/>
        <v>slakoth</v>
      </c>
      <c r="C369" s="5" t="str">
        <f t="shared" si="2"/>
        <v/>
      </c>
    </row>
    <row r="370" ht="45.0" customHeight="1">
      <c r="A370" s="6" t="s">
        <v>382</v>
      </c>
      <c r="B370" s="4" t="str">
        <f t="shared" si="9"/>
        <v>vigoroth</v>
      </c>
      <c r="C370" s="5" t="str">
        <f t="shared" si="2"/>
        <v/>
      </c>
    </row>
    <row r="371" ht="45.0" customHeight="1">
      <c r="A371" s="6" t="s">
        <v>383</v>
      </c>
      <c r="B371" s="4" t="str">
        <f t="shared" si="9"/>
        <v>slaking</v>
      </c>
      <c r="C371" s="5" t="str">
        <f t="shared" si="2"/>
        <v/>
      </c>
    </row>
    <row r="372" ht="45.0" customHeight="1">
      <c r="A372" s="6" t="s">
        <v>384</v>
      </c>
      <c r="B372" s="4" t="str">
        <f t="shared" si="9"/>
        <v>nincada</v>
      </c>
      <c r="C372" s="5" t="str">
        <f t="shared" si="2"/>
        <v/>
      </c>
    </row>
    <row r="373" ht="45.0" customHeight="1">
      <c r="A373" s="6" t="s">
        <v>385</v>
      </c>
      <c r="B373" s="4" t="str">
        <f t="shared" si="9"/>
        <v>ninjask</v>
      </c>
      <c r="C373" s="5" t="str">
        <f t="shared" si="2"/>
        <v/>
      </c>
    </row>
    <row r="374" ht="45.0" customHeight="1">
      <c r="A374" s="6" t="s">
        <v>386</v>
      </c>
      <c r="B374" s="4" t="str">
        <f t="shared" si="9"/>
        <v>shedinja</v>
      </c>
      <c r="C374" s="5" t="str">
        <f t="shared" si="2"/>
        <v/>
      </c>
    </row>
    <row r="375" ht="45.0" customHeight="1">
      <c r="A375" s="6" t="s">
        <v>387</v>
      </c>
      <c r="B375" s="4" t="str">
        <f t="shared" si="9"/>
        <v>whismur</v>
      </c>
      <c r="C375" s="5" t="str">
        <f t="shared" si="2"/>
        <v/>
      </c>
    </row>
    <row r="376" ht="45.0" customHeight="1">
      <c r="A376" s="6" t="s">
        <v>388</v>
      </c>
      <c r="B376" s="4" t="str">
        <f t="shared" si="9"/>
        <v>loudred</v>
      </c>
      <c r="C376" s="5" t="str">
        <f t="shared" si="2"/>
        <v/>
      </c>
    </row>
    <row r="377" ht="45.0" customHeight="1">
      <c r="A377" s="6" t="s">
        <v>389</v>
      </c>
      <c r="B377" s="4" t="str">
        <f t="shared" si="9"/>
        <v>exploud</v>
      </c>
      <c r="C377" s="5" t="str">
        <f t="shared" si="2"/>
        <v/>
      </c>
    </row>
    <row r="378" ht="45.0" customHeight="1">
      <c r="A378" s="6" t="s">
        <v>390</v>
      </c>
      <c r="B378" s="4" t="str">
        <f t="shared" si="9"/>
        <v>makuhita</v>
      </c>
      <c r="C378" s="5" t="str">
        <f t="shared" si="2"/>
        <v/>
      </c>
    </row>
    <row r="379" ht="45.0" customHeight="1">
      <c r="A379" s="6" t="s">
        <v>391</v>
      </c>
      <c r="B379" s="4" t="str">
        <f t="shared" si="9"/>
        <v>hariyama</v>
      </c>
      <c r="C379" s="5" t="str">
        <f t="shared" si="2"/>
        <v/>
      </c>
    </row>
    <row r="380" ht="45.0" customHeight="1">
      <c r="A380" s="6" t="s">
        <v>392</v>
      </c>
      <c r="B380" s="4" t="str">
        <f t="shared" si="9"/>
        <v>azurill</v>
      </c>
      <c r="C380" s="5" t="str">
        <f t="shared" si="2"/>
        <v/>
      </c>
    </row>
    <row r="381" ht="45.0" customHeight="1">
      <c r="A381" s="6" t="s">
        <v>393</v>
      </c>
      <c r="B381" s="4" t="str">
        <f t="shared" si="9"/>
        <v>nosepass</v>
      </c>
      <c r="C381" s="5" t="str">
        <f t="shared" si="2"/>
        <v/>
      </c>
    </row>
    <row r="382" ht="45.0" customHeight="1">
      <c r="A382" s="6" t="s">
        <v>394</v>
      </c>
      <c r="B382" s="4" t="str">
        <f t="shared" si="9"/>
        <v>skitty</v>
      </c>
      <c r="C382" s="5" t="str">
        <f t="shared" si="2"/>
        <v/>
      </c>
    </row>
    <row r="383" ht="45.0" customHeight="1">
      <c r="A383" s="6" t="s">
        <v>395</v>
      </c>
      <c r="B383" s="4" t="str">
        <f t="shared" si="9"/>
        <v>delcatty</v>
      </c>
      <c r="C383" s="5" t="str">
        <f t="shared" si="2"/>
        <v/>
      </c>
    </row>
    <row r="384" ht="45.0" customHeight="1">
      <c r="A384" s="6" t="s">
        <v>396</v>
      </c>
      <c r="B384" s="4" t="str">
        <f t="shared" si="9"/>
        <v>sableye</v>
      </c>
      <c r="C384" s="5" t="str">
        <f t="shared" si="2"/>
        <v/>
      </c>
    </row>
    <row r="385" ht="45.0" customHeight="1">
      <c r="A385" s="4" t="s">
        <v>397</v>
      </c>
      <c r="B385" s="4" t="str">
        <f t="shared" si="9"/>
        <v>sableye-mega</v>
      </c>
      <c r="C385" s="5" t="str">
        <f t="shared" si="2"/>
        <v/>
      </c>
    </row>
    <row r="386" ht="45.0" customHeight="1">
      <c r="A386" s="6" t="s">
        <v>398</v>
      </c>
      <c r="B386" s="4" t="str">
        <f t="shared" si="9"/>
        <v>mawile</v>
      </c>
      <c r="C386" s="5" t="str">
        <f t="shared" si="2"/>
        <v/>
      </c>
    </row>
    <row r="387" ht="45.0" customHeight="1">
      <c r="A387" s="4" t="s">
        <v>399</v>
      </c>
      <c r="B387" s="4" t="str">
        <f t="shared" si="9"/>
        <v>mawile-mega</v>
      </c>
      <c r="C387" s="5" t="str">
        <f t="shared" si="2"/>
        <v/>
      </c>
    </row>
    <row r="388" ht="45.0" customHeight="1">
      <c r="A388" s="6" t="s">
        <v>400</v>
      </c>
      <c r="B388" s="4" t="str">
        <f t="shared" si="9"/>
        <v>aron</v>
      </c>
      <c r="C388" s="5" t="str">
        <f t="shared" si="2"/>
        <v/>
      </c>
    </row>
    <row r="389" ht="45.0" customHeight="1">
      <c r="A389" s="6" t="s">
        <v>401</v>
      </c>
      <c r="B389" s="4" t="str">
        <f t="shared" si="9"/>
        <v>lairon</v>
      </c>
      <c r="C389" s="5" t="str">
        <f t="shared" si="2"/>
        <v/>
      </c>
    </row>
    <row r="390" ht="45.0" customHeight="1">
      <c r="A390" s="6" t="s">
        <v>402</v>
      </c>
      <c r="B390" s="4" t="str">
        <f t="shared" si="9"/>
        <v>aggron</v>
      </c>
      <c r="C390" s="5" t="str">
        <f t="shared" si="2"/>
        <v/>
      </c>
    </row>
    <row r="391" ht="45.0" customHeight="1">
      <c r="A391" s="4" t="s">
        <v>403</v>
      </c>
      <c r="B391" s="4" t="str">
        <f t="shared" si="9"/>
        <v>aggron-mega</v>
      </c>
      <c r="C391" s="5" t="str">
        <f t="shared" si="2"/>
        <v/>
      </c>
    </row>
    <row r="392" ht="45.0" customHeight="1">
      <c r="A392" s="6" t="s">
        <v>404</v>
      </c>
      <c r="B392" s="4" t="str">
        <f t="shared" si="9"/>
        <v>meditite</v>
      </c>
      <c r="C392" s="5" t="str">
        <f t="shared" si="2"/>
        <v/>
      </c>
    </row>
    <row r="393" ht="45.0" customHeight="1">
      <c r="A393" s="6" t="s">
        <v>405</v>
      </c>
      <c r="B393" s="4" t="str">
        <f t="shared" si="9"/>
        <v>medicham</v>
      </c>
      <c r="C393" s="5" t="str">
        <f t="shared" si="2"/>
        <v/>
      </c>
    </row>
    <row r="394" ht="45.0" customHeight="1">
      <c r="A394" s="4" t="s">
        <v>406</v>
      </c>
      <c r="B394" s="4" t="str">
        <f t="shared" si="9"/>
        <v>medicham-mega</v>
      </c>
      <c r="C394" s="5" t="str">
        <f t="shared" si="2"/>
        <v/>
      </c>
    </row>
    <row r="395" ht="45.0" customHeight="1">
      <c r="A395" s="6" t="s">
        <v>407</v>
      </c>
      <c r="B395" s="4" t="str">
        <f t="shared" si="9"/>
        <v>electrike</v>
      </c>
      <c r="C395" s="5" t="str">
        <f t="shared" si="2"/>
        <v/>
      </c>
    </row>
    <row r="396" ht="45.0" customHeight="1">
      <c r="A396" s="6" t="s">
        <v>408</v>
      </c>
      <c r="B396" s="4" t="str">
        <f t="shared" si="9"/>
        <v>manectric</v>
      </c>
      <c r="C396" s="5" t="str">
        <f t="shared" si="2"/>
        <v/>
      </c>
    </row>
    <row r="397" ht="45.0" customHeight="1">
      <c r="A397" s="4" t="s">
        <v>409</v>
      </c>
      <c r="B397" s="4" t="str">
        <f t="shared" si="9"/>
        <v>manectric-mega</v>
      </c>
      <c r="C397" s="5" t="str">
        <f t="shared" si="2"/>
        <v/>
      </c>
    </row>
    <row r="398" ht="45.0" customHeight="1">
      <c r="A398" s="6" t="s">
        <v>410</v>
      </c>
      <c r="B398" s="4" t="str">
        <f t="shared" si="9"/>
        <v>plusle</v>
      </c>
      <c r="C398" s="5" t="str">
        <f t="shared" si="2"/>
        <v/>
      </c>
    </row>
    <row r="399" ht="45.0" customHeight="1">
      <c r="A399" s="6" t="s">
        <v>411</v>
      </c>
      <c r="B399" s="4" t="str">
        <f t="shared" si="9"/>
        <v>minun</v>
      </c>
      <c r="C399" s="5" t="str">
        <f t="shared" si="2"/>
        <v/>
      </c>
    </row>
    <row r="400" ht="45.0" customHeight="1">
      <c r="A400" s="6" t="s">
        <v>412</v>
      </c>
      <c r="B400" s="4" t="str">
        <f t="shared" si="9"/>
        <v>volbeat</v>
      </c>
      <c r="C400" s="5" t="str">
        <f t="shared" si="2"/>
        <v/>
      </c>
    </row>
    <row r="401" ht="45.0" customHeight="1">
      <c r="A401" s="6" t="s">
        <v>413</v>
      </c>
      <c r="B401" s="4" t="str">
        <f t="shared" si="9"/>
        <v>illumise</v>
      </c>
      <c r="C401" s="5" t="str">
        <f t="shared" si="2"/>
        <v/>
      </c>
    </row>
    <row r="402" ht="45.0" customHeight="1">
      <c r="A402" s="6" t="s">
        <v>414</v>
      </c>
      <c r="B402" s="4" t="str">
        <f t="shared" si="9"/>
        <v>roselia</v>
      </c>
      <c r="C402" s="5" t="str">
        <f t="shared" si="2"/>
        <v/>
      </c>
    </row>
    <row r="403" ht="45.0" customHeight="1">
      <c r="A403" s="6" t="s">
        <v>415</v>
      </c>
      <c r="B403" s="4" t="str">
        <f t="shared" si="9"/>
        <v>gulpin</v>
      </c>
      <c r="C403" s="5" t="str">
        <f t="shared" si="2"/>
        <v/>
      </c>
    </row>
    <row r="404" ht="45.0" customHeight="1">
      <c r="A404" s="6" t="s">
        <v>416</v>
      </c>
      <c r="B404" s="4" t="str">
        <f t="shared" si="9"/>
        <v>swalot</v>
      </c>
      <c r="C404" s="5" t="str">
        <f t="shared" si="2"/>
        <v/>
      </c>
    </row>
    <row r="405" ht="45.0" customHeight="1">
      <c r="A405" s="6" t="s">
        <v>417</v>
      </c>
      <c r="B405" s="4" t="str">
        <f t="shared" si="9"/>
        <v>carvanha</v>
      </c>
      <c r="C405" s="5" t="str">
        <f t="shared" si="2"/>
        <v/>
      </c>
    </row>
    <row r="406" ht="45.0" customHeight="1">
      <c r="A406" s="6" t="s">
        <v>418</v>
      </c>
      <c r="B406" s="4" t="str">
        <f t="shared" si="9"/>
        <v>sharpedo</v>
      </c>
      <c r="C406" s="5" t="str">
        <f t="shared" si="2"/>
        <v/>
      </c>
    </row>
    <row r="407" ht="45.0" customHeight="1">
      <c r="A407" s="4" t="s">
        <v>419</v>
      </c>
      <c r="B407" s="4" t="str">
        <f t="shared" si="9"/>
        <v>sharpedo-mega</v>
      </c>
      <c r="C407" s="5" t="str">
        <f t="shared" si="2"/>
        <v/>
      </c>
    </row>
    <row r="408" ht="45.0" customHeight="1">
      <c r="A408" s="6" t="s">
        <v>420</v>
      </c>
      <c r="B408" s="4" t="str">
        <f t="shared" si="9"/>
        <v>wailmer</v>
      </c>
      <c r="C408" s="5" t="str">
        <f t="shared" si="2"/>
        <v/>
      </c>
    </row>
    <row r="409" ht="45.0" customHeight="1">
      <c r="A409" s="6" t="s">
        <v>421</v>
      </c>
      <c r="B409" s="4" t="str">
        <f t="shared" si="9"/>
        <v>wailord</v>
      </c>
      <c r="C409" s="5" t="str">
        <f t="shared" si="2"/>
        <v/>
      </c>
    </row>
    <row r="410" ht="45.0" customHeight="1">
      <c r="A410" s="6" t="s">
        <v>422</v>
      </c>
      <c r="B410" s="4" t="str">
        <f t="shared" si="9"/>
        <v>numel</v>
      </c>
      <c r="C410" s="5" t="str">
        <f t="shared" si="2"/>
        <v/>
      </c>
    </row>
    <row r="411" ht="45.0" customHeight="1">
      <c r="A411" s="6" t="s">
        <v>423</v>
      </c>
      <c r="B411" s="4" t="str">
        <f t="shared" si="9"/>
        <v>camerupt</v>
      </c>
      <c r="C411" s="5" t="str">
        <f t="shared" si="2"/>
        <v/>
      </c>
    </row>
    <row r="412" ht="45.0" customHeight="1">
      <c r="A412" s="4" t="s">
        <v>424</v>
      </c>
      <c r="B412" s="4" t="str">
        <f t="shared" si="9"/>
        <v>camerupt-mega</v>
      </c>
      <c r="C412" s="5" t="str">
        <f t="shared" si="2"/>
        <v/>
      </c>
    </row>
    <row r="413" ht="45.0" customHeight="1">
      <c r="A413" s="6" t="s">
        <v>425</v>
      </c>
      <c r="B413" s="4" t="str">
        <f t="shared" si="9"/>
        <v>torkoal</v>
      </c>
      <c r="C413" s="5" t="str">
        <f t="shared" si="2"/>
        <v/>
      </c>
    </row>
    <row r="414" ht="45.0" customHeight="1">
      <c r="A414" s="6" t="s">
        <v>426</v>
      </c>
      <c r="B414" s="4" t="str">
        <f t="shared" si="9"/>
        <v>spoink</v>
      </c>
      <c r="C414" s="5" t="str">
        <f t="shared" si="2"/>
        <v/>
      </c>
    </row>
    <row r="415" ht="45.0" customHeight="1">
      <c r="A415" s="6" t="s">
        <v>427</v>
      </c>
      <c r="B415" s="4" t="str">
        <f t="shared" si="9"/>
        <v>grumpig</v>
      </c>
      <c r="C415" s="5" t="str">
        <f t="shared" si="2"/>
        <v/>
      </c>
    </row>
    <row r="416" ht="45.0" customHeight="1">
      <c r="A416" s="6" t="s">
        <v>428</v>
      </c>
      <c r="B416" s="4" t="str">
        <f t="shared" si="9"/>
        <v>spinda</v>
      </c>
      <c r="C416" s="5" t="str">
        <f t="shared" si="2"/>
        <v/>
      </c>
    </row>
    <row r="417" ht="45.0" customHeight="1">
      <c r="A417" s="6" t="s">
        <v>429</v>
      </c>
      <c r="B417" s="4" t="str">
        <f t="shared" si="9"/>
        <v>trapinch</v>
      </c>
      <c r="C417" s="5" t="str">
        <f t="shared" si="2"/>
        <v/>
      </c>
    </row>
    <row r="418" ht="45.0" customHeight="1">
      <c r="A418" s="6" t="s">
        <v>430</v>
      </c>
      <c r="B418" s="4" t="str">
        <f t="shared" si="9"/>
        <v>vibrava</v>
      </c>
      <c r="C418" s="5" t="str">
        <f t="shared" si="2"/>
        <v/>
      </c>
    </row>
    <row r="419" ht="45.0" customHeight="1">
      <c r="A419" s="6" t="s">
        <v>431</v>
      </c>
      <c r="B419" s="4" t="str">
        <f t="shared" si="9"/>
        <v>flygon</v>
      </c>
      <c r="C419" s="5" t="str">
        <f t="shared" si="2"/>
        <v/>
      </c>
    </row>
    <row r="420" ht="45.0" customHeight="1">
      <c r="A420" s="6" t="s">
        <v>432</v>
      </c>
      <c r="B420" s="4" t="str">
        <f t="shared" si="9"/>
        <v>cacnea</v>
      </c>
      <c r="C420" s="5" t="str">
        <f t="shared" si="2"/>
        <v/>
      </c>
    </row>
    <row r="421" ht="45.0" customHeight="1">
      <c r="A421" s="6" t="s">
        <v>433</v>
      </c>
      <c r="B421" s="4" t="str">
        <f t="shared" si="9"/>
        <v>cacturne</v>
      </c>
      <c r="C421" s="5" t="str">
        <f t="shared" si="2"/>
        <v/>
      </c>
    </row>
    <row r="422" ht="45.0" customHeight="1">
      <c r="A422" s="6" t="s">
        <v>434</v>
      </c>
      <c r="B422" s="4" t="str">
        <f t="shared" si="9"/>
        <v>swablu</v>
      </c>
      <c r="C422" s="5" t="str">
        <f t="shared" si="2"/>
        <v/>
      </c>
    </row>
    <row r="423" ht="45.0" customHeight="1">
      <c r="A423" s="6" t="s">
        <v>435</v>
      </c>
      <c r="B423" s="4" t="str">
        <f t="shared" si="9"/>
        <v>altaria</v>
      </c>
      <c r="C423" s="5" t="str">
        <f t="shared" si="2"/>
        <v/>
      </c>
    </row>
    <row r="424" ht="45.0" customHeight="1">
      <c r="A424" s="4" t="s">
        <v>436</v>
      </c>
      <c r="B424" s="4" t="str">
        <f t="shared" si="9"/>
        <v>altaria-mega</v>
      </c>
      <c r="C424" s="5" t="str">
        <f t="shared" si="2"/>
        <v/>
      </c>
    </row>
    <row r="425" ht="45.0" customHeight="1">
      <c r="A425" s="6" t="s">
        <v>437</v>
      </c>
      <c r="B425" s="4" t="str">
        <f t="shared" si="9"/>
        <v>zangoose</v>
      </c>
      <c r="C425" s="5" t="str">
        <f t="shared" si="2"/>
        <v/>
      </c>
    </row>
    <row r="426" ht="45.0" customHeight="1">
      <c r="A426" s="6" t="s">
        <v>438</v>
      </c>
      <c r="B426" s="4" t="str">
        <f t="shared" si="9"/>
        <v>seviper</v>
      </c>
      <c r="C426" s="5" t="str">
        <f t="shared" si="2"/>
        <v/>
      </c>
    </row>
    <row r="427" ht="45.0" customHeight="1">
      <c r="A427" s="6" t="s">
        <v>439</v>
      </c>
      <c r="B427" s="4" t="str">
        <f t="shared" si="9"/>
        <v>lunatone</v>
      </c>
      <c r="C427" s="5" t="str">
        <f t="shared" si="2"/>
        <v/>
      </c>
    </row>
    <row r="428" ht="45.0" customHeight="1">
      <c r="A428" s="6" t="s">
        <v>440</v>
      </c>
      <c r="B428" s="4" t="str">
        <f t="shared" si="9"/>
        <v>solrock</v>
      </c>
      <c r="C428" s="5" t="str">
        <f t="shared" si="2"/>
        <v/>
      </c>
    </row>
    <row r="429" ht="45.0" customHeight="1">
      <c r="A429" s="6" t="s">
        <v>441</v>
      </c>
      <c r="B429" s="4" t="str">
        <f t="shared" si="9"/>
        <v>barboach</v>
      </c>
      <c r="C429" s="5" t="str">
        <f t="shared" si="2"/>
        <v/>
      </c>
    </row>
    <row r="430" ht="45.0" customHeight="1">
      <c r="A430" s="6" t="s">
        <v>442</v>
      </c>
      <c r="B430" s="4" t="str">
        <f t="shared" si="9"/>
        <v>whiscash</v>
      </c>
      <c r="C430" s="5" t="str">
        <f t="shared" si="2"/>
        <v/>
      </c>
    </row>
    <row r="431" ht="45.0" customHeight="1">
      <c r="A431" s="6" t="s">
        <v>443</v>
      </c>
      <c r="B431" s="4" t="str">
        <f t="shared" si="9"/>
        <v>corphish</v>
      </c>
      <c r="C431" s="5" t="str">
        <f t="shared" si="2"/>
        <v/>
      </c>
    </row>
    <row r="432" ht="45.0" customHeight="1">
      <c r="A432" s="6" t="s">
        <v>444</v>
      </c>
      <c r="B432" s="4" t="str">
        <f t="shared" si="9"/>
        <v>crawdaunt</v>
      </c>
      <c r="C432" s="5" t="str">
        <f t="shared" si="2"/>
        <v/>
      </c>
    </row>
    <row r="433" ht="45.0" customHeight="1">
      <c r="A433" s="6" t="s">
        <v>445</v>
      </c>
      <c r="B433" s="4" t="str">
        <f t="shared" si="9"/>
        <v>baltoy</v>
      </c>
      <c r="C433" s="5" t="str">
        <f t="shared" si="2"/>
        <v/>
      </c>
    </row>
    <row r="434" ht="45.0" customHeight="1">
      <c r="A434" s="6" t="s">
        <v>446</v>
      </c>
      <c r="B434" s="4" t="str">
        <f t="shared" si="9"/>
        <v>claydol</v>
      </c>
      <c r="C434" s="5" t="str">
        <f t="shared" si="2"/>
        <v/>
      </c>
    </row>
    <row r="435" ht="45.0" customHeight="1">
      <c r="A435" s="6" t="s">
        <v>447</v>
      </c>
      <c r="B435" s="4" t="str">
        <f t="shared" si="9"/>
        <v>lileep</v>
      </c>
      <c r="C435" s="5" t="str">
        <f t="shared" si="2"/>
        <v/>
      </c>
    </row>
    <row r="436" ht="45.0" customHeight="1">
      <c r="A436" s="6" t="s">
        <v>448</v>
      </c>
      <c r="B436" s="4" t="str">
        <f t="shared" si="9"/>
        <v>cradily</v>
      </c>
      <c r="C436" s="5" t="str">
        <f t="shared" si="2"/>
        <v/>
      </c>
    </row>
    <row r="437" ht="45.0" customHeight="1">
      <c r="A437" s="6" t="s">
        <v>449</v>
      </c>
      <c r="B437" s="4" t="str">
        <f t="shared" si="9"/>
        <v>anorith</v>
      </c>
      <c r="C437" s="5" t="str">
        <f t="shared" si="2"/>
        <v/>
      </c>
    </row>
    <row r="438" ht="45.0" customHeight="1">
      <c r="A438" s="6" t="s">
        <v>450</v>
      </c>
      <c r="B438" s="4" t="str">
        <f t="shared" si="9"/>
        <v>armaldo</v>
      </c>
      <c r="C438" s="5" t="str">
        <f t="shared" si="2"/>
        <v/>
      </c>
    </row>
    <row r="439" ht="45.0" customHeight="1">
      <c r="A439" s="6" t="s">
        <v>451</v>
      </c>
      <c r="B439" s="4" t="str">
        <f t="shared" si="9"/>
        <v>feebas</v>
      </c>
      <c r="C439" s="5" t="str">
        <f t="shared" si="2"/>
        <v/>
      </c>
    </row>
    <row r="440" ht="45.0" customHeight="1">
      <c r="A440" s="6" t="s">
        <v>452</v>
      </c>
      <c r="B440" s="4" t="str">
        <f t="shared" si="9"/>
        <v>milotic</v>
      </c>
      <c r="C440" s="5" t="str">
        <f t="shared" si="2"/>
        <v/>
      </c>
    </row>
    <row r="441" ht="45.0" customHeight="1">
      <c r="A441" s="6" t="s">
        <v>453</v>
      </c>
      <c r="B441" s="4" t="str">
        <f t="shared" si="9"/>
        <v>castform</v>
      </c>
      <c r="C441" s="5" t="str">
        <f t="shared" si="2"/>
        <v/>
      </c>
    </row>
    <row r="442" ht="45.0" customHeight="1">
      <c r="A442" s="6" t="s">
        <v>454</v>
      </c>
      <c r="B442" s="4" t="str">
        <f t="shared" si="9"/>
        <v>kecleon</v>
      </c>
      <c r="C442" s="5" t="str">
        <f t="shared" si="2"/>
        <v/>
      </c>
    </row>
    <row r="443" ht="45.0" customHeight="1">
      <c r="A443" s="6" t="s">
        <v>455</v>
      </c>
      <c r="B443" s="4" t="str">
        <f t="shared" si="9"/>
        <v>shuppet</v>
      </c>
      <c r="C443" s="5" t="str">
        <f t="shared" si="2"/>
        <v/>
      </c>
    </row>
    <row r="444" ht="45.0" customHeight="1">
      <c r="A444" s="6" t="s">
        <v>456</v>
      </c>
      <c r="B444" s="4" t="str">
        <f t="shared" si="9"/>
        <v>banette</v>
      </c>
      <c r="C444" s="5" t="str">
        <f t="shared" si="2"/>
        <v/>
      </c>
    </row>
    <row r="445" ht="45.0" customHeight="1">
      <c r="A445" s="4" t="s">
        <v>457</v>
      </c>
      <c r="B445" s="4" t="str">
        <f t="shared" si="9"/>
        <v>banette-mega</v>
      </c>
      <c r="C445" s="5" t="str">
        <f t="shared" si="2"/>
        <v/>
      </c>
    </row>
    <row r="446" ht="45.0" customHeight="1">
      <c r="A446" s="6" t="s">
        <v>458</v>
      </c>
      <c r="B446" s="4" t="str">
        <f t="shared" si="9"/>
        <v>duskull</v>
      </c>
      <c r="C446" s="5" t="str">
        <f t="shared" si="2"/>
        <v/>
      </c>
    </row>
    <row r="447" ht="45.0" customHeight="1">
      <c r="A447" s="6" t="s">
        <v>459</v>
      </c>
      <c r="B447" s="4" t="str">
        <f t="shared" si="9"/>
        <v>dusclops</v>
      </c>
      <c r="C447" s="5" t="str">
        <f t="shared" si="2"/>
        <v/>
      </c>
    </row>
    <row r="448" ht="45.0" customHeight="1">
      <c r="A448" s="6" t="s">
        <v>460</v>
      </c>
      <c r="B448" s="4" t="str">
        <f t="shared" si="9"/>
        <v>tropius</v>
      </c>
      <c r="C448" s="5" t="str">
        <f t="shared" si="2"/>
        <v/>
      </c>
    </row>
    <row r="449" ht="45.0" customHeight="1">
      <c r="A449" s="6" t="s">
        <v>461</v>
      </c>
      <c r="B449" s="4" t="str">
        <f t="shared" si="9"/>
        <v>chimecho</v>
      </c>
      <c r="C449" s="5" t="str">
        <f t="shared" si="2"/>
        <v/>
      </c>
    </row>
    <row r="450" ht="45.0" customHeight="1">
      <c r="A450" s="6" t="s">
        <v>462</v>
      </c>
      <c r="B450" s="4" t="str">
        <f t="shared" si="9"/>
        <v>absol</v>
      </c>
      <c r="C450" s="5" t="str">
        <f t="shared" si="2"/>
        <v/>
      </c>
    </row>
    <row r="451" ht="45.0" customHeight="1">
      <c r="A451" s="4" t="s">
        <v>463</v>
      </c>
      <c r="B451" s="4" t="str">
        <f t="shared" si="9"/>
        <v>absol-mega</v>
      </c>
      <c r="C451" s="5" t="str">
        <f t="shared" si="2"/>
        <v/>
      </c>
    </row>
    <row r="452" ht="45.0" customHeight="1">
      <c r="A452" s="6" t="s">
        <v>464</v>
      </c>
      <c r="B452" s="4" t="str">
        <f t="shared" si="9"/>
        <v>wynaut</v>
      </c>
      <c r="C452" s="5" t="str">
        <f t="shared" si="2"/>
        <v/>
      </c>
    </row>
    <row r="453" ht="45.0" customHeight="1">
      <c r="A453" s="6" t="s">
        <v>465</v>
      </c>
      <c r="B453" s="4" t="str">
        <f t="shared" si="9"/>
        <v>snorunt</v>
      </c>
      <c r="C453" s="5" t="str">
        <f t="shared" si="2"/>
        <v/>
      </c>
    </row>
    <row r="454" ht="45.0" customHeight="1">
      <c r="A454" s="6" t="s">
        <v>466</v>
      </c>
      <c r="B454" s="4" t="str">
        <f t="shared" si="9"/>
        <v>glalie</v>
      </c>
      <c r="C454" s="5" t="str">
        <f t="shared" si="2"/>
        <v/>
      </c>
    </row>
    <row r="455" ht="45.0" customHeight="1">
      <c r="A455" s="4" t="s">
        <v>467</v>
      </c>
      <c r="B455" s="4" t="str">
        <f t="shared" si="9"/>
        <v>glalie-mega</v>
      </c>
      <c r="C455" s="5" t="str">
        <f t="shared" si="2"/>
        <v/>
      </c>
    </row>
    <row r="456" ht="45.0" customHeight="1">
      <c r="A456" s="6" t="s">
        <v>468</v>
      </c>
      <c r="B456" s="4" t="str">
        <f t="shared" si="9"/>
        <v>spheal</v>
      </c>
      <c r="C456" s="5" t="str">
        <f t="shared" si="2"/>
        <v/>
      </c>
    </row>
    <row r="457" ht="45.0" customHeight="1">
      <c r="A457" s="6" t="s">
        <v>469</v>
      </c>
      <c r="B457" s="4" t="str">
        <f t="shared" si="9"/>
        <v>sealeo</v>
      </c>
      <c r="C457" s="5" t="str">
        <f t="shared" si="2"/>
        <v/>
      </c>
    </row>
    <row r="458" ht="45.0" customHeight="1">
      <c r="A458" s="6" t="s">
        <v>470</v>
      </c>
      <c r="B458" s="4" t="str">
        <f t="shared" si="9"/>
        <v>walrein</v>
      </c>
      <c r="C458" s="5" t="str">
        <f t="shared" si="2"/>
        <v/>
      </c>
    </row>
    <row r="459" ht="45.0" customHeight="1">
      <c r="A459" s="6" t="s">
        <v>471</v>
      </c>
      <c r="B459" s="4" t="str">
        <f t="shared" si="9"/>
        <v>clamperl</v>
      </c>
      <c r="C459" s="5" t="str">
        <f t="shared" si="2"/>
        <v/>
      </c>
    </row>
    <row r="460" ht="45.0" customHeight="1">
      <c r="A460" s="6" t="s">
        <v>472</v>
      </c>
      <c r="B460" s="4" t="str">
        <f t="shared" si="9"/>
        <v>huntail</v>
      </c>
      <c r="C460" s="5" t="str">
        <f t="shared" si="2"/>
        <v/>
      </c>
    </row>
    <row r="461" ht="45.0" customHeight="1">
      <c r="A461" s="6" t="s">
        <v>473</v>
      </c>
      <c r="B461" s="4" t="str">
        <f t="shared" si="9"/>
        <v>gorebyss</v>
      </c>
      <c r="C461" s="5" t="str">
        <f t="shared" si="2"/>
        <v/>
      </c>
    </row>
    <row r="462" ht="45.0" customHeight="1">
      <c r="A462" s="6" t="s">
        <v>474</v>
      </c>
      <c r="B462" s="4" t="str">
        <f t="shared" si="9"/>
        <v>relicanth</v>
      </c>
      <c r="C462" s="5" t="str">
        <f t="shared" si="2"/>
        <v/>
      </c>
    </row>
    <row r="463" ht="45.0" customHeight="1">
      <c r="A463" s="6" t="s">
        <v>475</v>
      </c>
      <c r="B463" s="4" t="str">
        <f t="shared" si="9"/>
        <v>luvdisc</v>
      </c>
      <c r="C463" s="5" t="str">
        <f t="shared" si="2"/>
        <v/>
      </c>
    </row>
    <row r="464" ht="45.0" customHeight="1">
      <c r="A464" s="6" t="s">
        <v>476</v>
      </c>
      <c r="B464" s="4" t="str">
        <f t="shared" si="9"/>
        <v>bagon</v>
      </c>
      <c r="C464" s="5" t="str">
        <f t="shared" si="2"/>
        <v/>
      </c>
    </row>
    <row r="465" ht="45.0" customHeight="1">
      <c r="A465" s="6" t="s">
        <v>477</v>
      </c>
      <c r="B465" s="4" t="str">
        <f t="shared" si="9"/>
        <v>shelgon</v>
      </c>
      <c r="C465" s="5" t="str">
        <f t="shared" si="2"/>
        <v/>
      </c>
    </row>
    <row r="466" ht="45.0" customHeight="1">
      <c r="A466" s="6" t="s">
        <v>478</v>
      </c>
      <c r="B466" s="4" t="str">
        <f t="shared" si="9"/>
        <v>salamence</v>
      </c>
      <c r="C466" s="5" t="str">
        <f t="shared" si="2"/>
        <v/>
      </c>
    </row>
    <row r="467" ht="45.0" customHeight="1">
      <c r="A467" s="4" t="s">
        <v>479</v>
      </c>
      <c r="B467" s="4" t="str">
        <f t="shared" si="9"/>
        <v>salamence-mega</v>
      </c>
      <c r="C467" s="5" t="str">
        <f t="shared" si="2"/>
        <v/>
      </c>
    </row>
    <row r="468" ht="45.0" customHeight="1">
      <c r="A468" s="6" t="s">
        <v>480</v>
      </c>
      <c r="B468" s="4" t="str">
        <f t="shared" si="9"/>
        <v>beldum</v>
      </c>
      <c r="C468" s="5" t="str">
        <f t="shared" si="2"/>
        <v/>
      </c>
    </row>
    <row r="469" ht="45.0" customHeight="1">
      <c r="A469" s="6" t="s">
        <v>481</v>
      </c>
      <c r="B469" s="4" t="str">
        <f t="shared" si="9"/>
        <v>metang</v>
      </c>
      <c r="C469" s="5" t="str">
        <f t="shared" si="2"/>
        <v/>
      </c>
    </row>
    <row r="470" ht="45.0" customHeight="1">
      <c r="A470" s="6" t="s">
        <v>482</v>
      </c>
      <c r="B470" s="4" t="str">
        <f t="shared" si="9"/>
        <v>metagross</v>
      </c>
      <c r="C470" s="5" t="str">
        <f t="shared" si="2"/>
        <v/>
      </c>
    </row>
    <row r="471" ht="45.0" customHeight="1">
      <c r="A471" s="4" t="s">
        <v>483</v>
      </c>
      <c r="B471" s="4" t="str">
        <f t="shared" si="9"/>
        <v>metagross-mega</v>
      </c>
      <c r="C471" s="5" t="str">
        <f t="shared" si="2"/>
        <v/>
      </c>
    </row>
    <row r="472" ht="45.0" customHeight="1">
      <c r="A472" s="6" t="s">
        <v>484</v>
      </c>
      <c r="B472" s="4" t="str">
        <f t="shared" si="9"/>
        <v>regirock</v>
      </c>
      <c r="C472" s="5" t="str">
        <f t="shared" si="2"/>
        <v/>
      </c>
    </row>
    <row r="473" ht="45.0" customHeight="1">
      <c r="A473" s="6" t="s">
        <v>485</v>
      </c>
      <c r="B473" s="4" t="str">
        <f t="shared" si="9"/>
        <v>regice</v>
      </c>
      <c r="C473" s="5" t="str">
        <f t="shared" si="2"/>
        <v/>
      </c>
    </row>
    <row r="474" ht="45.0" customHeight="1">
      <c r="A474" s="6" t="s">
        <v>486</v>
      </c>
      <c r="B474" s="4" t="str">
        <f t="shared" si="9"/>
        <v>registeel</v>
      </c>
      <c r="C474" s="5" t="str">
        <f t="shared" si="2"/>
        <v/>
      </c>
    </row>
    <row r="475" ht="45.0" customHeight="1">
      <c r="A475" s="6" t="s">
        <v>487</v>
      </c>
      <c r="B475" s="4" t="str">
        <f t="shared" si="9"/>
        <v>latias</v>
      </c>
      <c r="C475" s="5" t="str">
        <f t="shared" si="2"/>
        <v/>
      </c>
    </row>
    <row r="476" ht="45.0" customHeight="1">
      <c r="A476" s="4" t="s">
        <v>488</v>
      </c>
      <c r="B476" s="4" t="str">
        <f t="shared" si="9"/>
        <v>latias-mega</v>
      </c>
      <c r="C476" s="5" t="str">
        <f t="shared" si="2"/>
        <v/>
      </c>
    </row>
    <row r="477" ht="45.0" customHeight="1">
      <c r="A477" s="6" t="s">
        <v>489</v>
      </c>
      <c r="B477" s="4" t="str">
        <f t="shared" si="9"/>
        <v>latios</v>
      </c>
      <c r="C477" s="5" t="str">
        <f t="shared" si="2"/>
        <v/>
      </c>
    </row>
    <row r="478" ht="45.0" customHeight="1">
      <c r="A478" s="4" t="s">
        <v>490</v>
      </c>
      <c r="B478" s="4" t="str">
        <f t="shared" si="9"/>
        <v>latios-mega</v>
      </c>
      <c r="C478" s="5" t="str">
        <f t="shared" si="2"/>
        <v/>
      </c>
    </row>
    <row r="479" ht="45.0" customHeight="1">
      <c r="A479" s="6" t="s">
        <v>491</v>
      </c>
      <c r="B479" s="4" t="str">
        <f t="shared" si="9"/>
        <v>kyogre</v>
      </c>
      <c r="C479" s="5" t="str">
        <f t="shared" si="2"/>
        <v/>
      </c>
    </row>
    <row r="480" ht="45.0" customHeight="1">
      <c r="A480" s="4" t="s">
        <v>492</v>
      </c>
      <c r="B480" s="4" t="str">
        <f t="shared" si="9"/>
        <v>kyogre-primal</v>
      </c>
      <c r="C480" s="5" t="str">
        <f t="shared" si="2"/>
        <v/>
      </c>
    </row>
    <row r="481" ht="45.0" customHeight="1">
      <c r="A481" s="6" t="s">
        <v>493</v>
      </c>
      <c r="B481" s="4" t="str">
        <f t="shared" si="9"/>
        <v>groudon</v>
      </c>
      <c r="C481" s="5" t="str">
        <f t="shared" si="2"/>
        <v/>
      </c>
    </row>
    <row r="482" ht="45.0" customHeight="1">
      <c r="A482" s="4" t="s">
        <v>494</v>
      </c>
      <c r="B482" s="4" t="str">
        <f t="shared" si="9"/>
        <v>groudon-primal</v>
      </c>
      <c r="C482" s="5" t="str">
        <f t="shared" si="2"/>
        <v/>
      </c>
    </row>
    <row r="483" ht="45.0" customHeight="1">
      <c r="A483" s="6" t="s">
        <v>495</v>
      </c>
      <c r="B483" s="4" t="str">
        <f t="shared" si="9"/>
        <v>rayquaza</v>
      </c>
      <c r="C483" s="5" t="str">
        <f t="shared" si="2"/>
        <v/>
      </c>
    </row>
    <row r="484" ht="45.0" customHeight="1">
      <c r="A484" s="4" t="s">
        <v>496</v>
      </c>
      <c r="B484" s="4" t="str">
        <f t="shared" si="9"/>
        <v>rayquaza-mega</v>
      </c>
      <c r="C484" s="5" t="str">
        <f t="shared" si="2"/>
        <v/>
      </c>
    </row>
    <row r="485" ht="45.0" customHeight="1">
      <c r="A485" s="6" t="s">
        <v>497</v>
      </c>
      <c r="B485" s="4" t="str">
        <f t="shared" si="9"/>
        <v>jirachi</v>
      </c>
      <c r="C485" s="5" t="str">
        <f t="shared" si="2"/>
        <v/>
      </c>
    </row>
    <row r="486" ht="45.0" customHeight="1">
      <c r="A486" s="6" t="s">
        <v>498</v>
      </c>
      <c r="B486" s="4" t="str">
        <f t="shared" si="9"/>
        <v>deoxys</v>
      </c>
      <c r="C486" s="5" t="str">
        <f t="shared" si="2"/>
        <v/>
      </c>
    </row>
    <row r="487" ht="45.0" customHeight="1">
      <c r="A487" s="4" t="s">
        <v>499</v>
      </c>
      <c r="B487" s="4" t="str">
        <f t="shared" si="9"/>
        <v>deoxys-attack</v>
      </c>
      <c r="C487" s="5" t="str">
        <f t="shared" si="2"/>
        <v/>
      </c>
    </row>
    <row r="488" ht="45.0" customHeight="1">
      <c r="A488" s="4" t="s">
        <v>500</v>
      </c>
      <c r="B488" s="4" t="str">
        <f t="shared" si="9"/>
        <v>deoxys-defense</v>
      </c>
      <c r="C488" s="5" t="str">
        <f t="shared" si="2"/>
        <v/>
      </c>
    </row>
    <row r="489" ht="45.0" customHeight="1">
      <c r="A489" s="4" t="s">
        <v>501</v>
      </c>
      <c r="B489" s="4" t="str">
        <f t="shared" si="9"/>
        <v>deoxys-speed</v>
      </c>
      <c r="C489" s="5" t="str">
        <f t="shared" si="2"/>
        <v/>
      </c>
    </row>
    <row r="490" ht="45.0" customHeight="1">
      <c r="A490" s="6" t="s">
        <v>502</v>
      </c>
      <c r="B490" s="4" t="str">
        <f t="shared" si="9"/>
        <v>turtwig</v>
      </c>
      <c r="C490" s="5" t="str">
        <f t="shared" si="2"/>
        <v/>
      </c>
    </row>
    <row r="491" ht="45.0" customHeight="1">
      <c r="A491" s="6" t="s">
        <v>503</v>
      </c>
      <c r="B491" s="4" t="str">
        <f t="shared" si="9"/>
        <v>grotle</v>
      </c>
      <c r="C491" s="5" t="str">
        <f t="shared" si="2"/>
        <v/>
      </c>
    </row>
    <row r="492" ht="45.0" customHeight="1">
      <c r="A492" s="6" t="s">
        <v>504</v>
      </c>
      <c r="B492" s="4" t="str">
        <f t="shared" si="9"/>
        <v>torterra</v>
      </c>
      <c r="C492" s="5" t="str">
        <f t="shared" si="2"/>
        <v/>
      </c>
    </row>
    <row r="493" ht="45.0" customHeight="1">
      <c r="A493" s="6" t="s">
        <v>505</v>
      </c>
      <c r="B493" s="4" t="str">
        <f t="shared" si="9"/>
        <v>chimchar</v>
      </c>
      <c r="C493" s="5" t="str">
        <f t="shared" si="2"/>
        <v/>
      </c>
    </row>
    <row r="494" ht="45.0" customHeight="1">
      <c r="A494" s="6" t="s">
        <v>506</v>
      </c>
      <c r="B494" s="4" t="str">
        <f t="shared" si="9"/>
        <v>monferno</v>
      </c>
      <c r="C494" s="5" t="str">
        <f t="shared" si="2"/>
        <v/>
      </c>
    </row>
    <row r="495" ht="45.0" customHeight="1">
      <c r="A495" s="6" t="s">
        <v>507</v>
      </c>
      <c r="B495" s="4" t="str">
        <f t="shared" si="9"/>
        <v>infernape</v>
      </c>
      <c r="C495" s="5" t="str">
        <f t="shared" si="2"/>
        <v/>
      </c>
    </row>
    <row r="496" ht="45.0" customHeight="1">
      <c r="A496" s="6" t="s">
        <v>508</v>
      </c>
      <c r="B496" s="4" t="str">
        <f t="shared" si="9"/>
        <v>piplup</v>
      </c>
      <c r="C496" s="5" t="str">
        <f t="shared" si="2"/>
        <v/>
      </c>
    </row>
    <row r="497" ht="45.0" customHeight="1">
      <c r="A497" s="6" t="s">
        <v>509</v>
      </c>
      <c r="B497" s="4" t="str">
        <f t="shared" si="9"/>
        <v>prinplup</v>
      </c>
      <c r="C497" s="5" t="str">
        <f t="shared" si="2"/>
        <v/>
      </c>
    </row>
    <row r="498" ht="45.0" customHeight="1">
      <c r="A498" s="6" t="s">
        <v>510</v>
      </c>
      <c r="B498" s="4" t="str">
        <f t="shared" si="9"/>
        <v>empoleon</v>
      </c>
      <c r="C498" s="5" t="str">
        <f t="shared" si="2"/>
        <v/>
      </c>
    </row>
    <row r="499" ht="45.0" customHeight="1">
      <c r="A499" s="6" t="s">
        <v>511</v>
      </c>
      <c r="B499" s="4" t="str">
        <f t="shared" si="9"/>
        <v>starly</v>
      </c>
      <c r="C499" s="5" t="str">
        <f t="shared" si="2"/>
        <v/>
      </c>
    </row>
    <row r="500" ht="45.0" customHeight="1">
      <c r="A500" s="6" t="s">
        <v>512</v>
      </c>
      <c r="B500" s="4" t="str">
        <f t="shared" si="9"/>
        <v>staravia</v>
      </c>
      <c r="C500" s="5" t="str">
        <f t="shared" si="2"/>
        <v/>
      </c>
    </row>
    <row r="501" ht="45.0" customHeight="1">
      <c r="A501" s="6" t="s">
        <v>513</v>
      </c>
      <c r="B501" s="4" t="str">
        <f t="shared" si="9"/>
        <v>staraptor</v>
      </c>
      <c r="C501" s="5" t="str">
        <f t="shared" si="2"/>
        <v/>
      </c>
    </row>
    <row r="502" ht="45.0" customHeight="1">
      <c r="A502" s="6" t="s">
        <v>514</v>
      </c>
      <c r="B502" s="4" t="str">
        <f t="shared" si="9"/>
        <v>bidoof</v>
      </c>
      <c r="C502" s="5" t="str">
        <f t="shared" si="2"/>
        <v/>
      </c>
    </row>
    <row r="503" ht="45.0" customHeight="1">
      <c r="A503" s="6" t="s">
        <v>515</v>
      </c>
      <c r="B503" s="4" t="str">
        <f t="shared" si="9"/>
        <v>bibarel</v>
      </c>
      <c r="C503" s="5" t="str">
        <f t="shared" si="2"/>
        <v/>
      </c>
    </row>
    <row r="504" ht="45.0" customHeight="1">
      <c r="A504" s="6" t="s">
        <v>516</v>
      </c>
      <c r="B504" s="4" t="str">
        <f t="shared" si="9"/>
        <v>kricketot</v>
      </c>
      <c r="C504" s="5" t="str">
        <f t="shared" si="2"/>
        <v/>
      </c>
    </row>
    <row r="505" ht="45.0" customHeight="1">
      <c r="A505" s="6" t="s">
        <v>517</v>
      </c>
      <c r="B505" s="4" t="str">
        <f t="shared" si="9"/>
        <v>kricketune</v>
      </c>
      <c r="C505" s="5" t="str">
        <f t="shared" si="2"/>
        <v/>
      </c>
    </row>
    <row r="506" ht="45.0" customHeight="1">
      <c r="A506" s="6" t="s">
        <v>518</v>
      </c>
      <c r="B506" s="4" t="str">
        <f t="shared" si="9"/>
        <v>shinx</v>
      </c>
      <c r="C506" s="5" t="str">
        <f t="shared" si="2"/>
        <v/>
      </c>
    </row>
    <row r="507" ht="45.0" customHeight="1">
      <c r="A507" s="6" t="s">
        <v>519</v>
      </c>
      <c r="B507" s="4" t="str">
        <f t="shared" si="9"/>
        <v>luxio</v>
      </c>
      <c r="C507" s="5" t="str">
        <f t="shared" si="2"/>
        <v/>
      </c>
    </row>
    <row r="508" ht="45.0" customHeight="1">
      <c r="A508" s="6" t="s">
        <v>520</v>
      </c>
      <c r="B508" s="4" t="str">
        <f t="shared" si="9"/>
        <v>luxray</v>
      </c>
      <c r="C508" s="5" t="str">
        <f t="shared" si="2"/>
        <v/>
      </c>
    </row>
    <row r="509" ht="45.0" customHeight="1">
      <c r="A509" s="6" t="s">
        <v>521</v>
      </c>
      <c r="B509" s="4" t="str">
        <f t="shared" si="9"/>
        <v>budew</v>
      </c>
      <c r="C509" s="5" t="str">
        <f t="shared" si="2"/>
        <v/>
      </c>
    </row>
    <row r="510" ht="45.0" customHeight="1">
      <c r="A510" s="6" t="s">
        <v>522</v>
      </c>
      <c r="B510" s="4" t="str">
        <f t="shared" si="9"/>
        <v>roserade</v>
      </c>
      <c r="C510" s="5" t="str">
        <f t="shared" si="2"/>
        <v/>
      </c>
    </row>
    <row r="511" ht="45.0" customHeight="1">
      <c r="A511" s="6" t="s">
        <v>523</v>
      </c>
      <c r="B511" s="4" t="str">
        <f t="shared" si="9"/>
        <v>cranidos</v>
      </c>
      <c r="C511" s="5" t="str">
        <f t="shared" si="2"/>
        <v/>
      </c>
    </row>
    <row r="512" ht="45.0" customHeight="1">
      <c r="A512" s="6" t="s">
        <v>524</v>
      </c>
      <c r="B512" s="4" t="str">
        <f t="shared" si="9"/>
        <v>rampardos</v>
      </c>
      <c r="C512" s="5" t="str">
        <f t="shared" si="2"/>
        <v/>
      </c>
    </row>
    <row r="513" ht="45.0" customHeight="1">
      <c r="A513" s="6" t="s">
        <v>525</v>
      </c>
      <c r="B513" s="4" t="str">
        <f t="shared" si="9"/>
        <v>shieldon</v>
      </c>
      <c r="C513" s="5" t="str">
        <f t="shared" si="2"/>
        <v/>
      </c>
    </row>
    <row r="514" ht="45.0" customHeight="1">
      <c r="A514" s="6" t="s">
        <v>526</v>
      </c>
      <c r="B514" s="4" t="str">
        <f t="shared" si="9"/>
        <v>bastiodon</v>
      </c>
      <c r="C514" s="5" t="str">
        <f t="shared" si="2"/>
        <v/>
      </c>
    </row>
    <row r="515" ht="45.0" customHeight="1">
      <c r="A515" s="6" t="s">
        <v>527</v>
      </c>
      <c r="B515" s="4" t="str">
        <f t="shared" si="9"/>
        <v>burmy</v>
      </c>
      <c r="C515" s="5" t="str">
        <f t="shared" si="2"/>
        <v/>
      </c>
    </row>
    <row r="516" ht="45.0" customHeight="1">
      <c r="A516" s="4" t="s">
        <v>528</v>
      </c>
      <c r="B516" s="4" t="str">
        <f t="shared" si="9"/>
        <v>wormadam-sandy</v>
      </c>
      <c r="C516" s="5" t="str">
        <f t="shared" si="2"/>
        <v/>
      </c>
    </row>
    <row r="517" ht="45.0" customHeight="1">
      <c r="A517" s="4" t="s">
        <v>529</v>
      </c>
      <c r="B517" s="4" t="str">
        <f t="shared" si="9"/>
        <v>wormadam-trash</v>
      </c>
      <c r="C517" s="5" t="str">
        <f t="shared" si="2"/>
        <v/>
      </c>
    </row>
    <row r="518" ht="45.0" customHeight="1">
      <c r="A518" s="4" t="s">
        <v>530</v>
      </c>
      <c r="B518" s="4" t="str">
        <f t="shared" si="9"/>
        <v>wormadam</v>
      </c>
      <c r="C518" s="5" t="str">
        <f t="shared" si="2"/>
        <v/>
      </c>
    </row>
    <row r="519" ht="45.0" customHeight="1">
      <c r="A519" s="6" t="s">
        <v>531</v>
      </c>
      <c r="B519" s="4" t="str">
        <f t="shared" si="9"/>
        <v>mothim</v>
      </c>
      <c r="C519" s="5" t="str">
        <f t="shared" si="2"/>
        <v/>
      </c>
    </row>
    <row r="520" ht="45.0" customHeight="1">
      <c r="A520" s="6" t="s">
        <v>532</v>
      </c>
      <c r="B520" s="4" t="str">
        <f t="shared" si="9"/>
        <v>combee</v>
      </c>
      <c r="C520" s="5" t="str">
        <f t="shared" si="2"/>
        <v/>
      </c>
    </row>
    <row r="521" ht="45.0" customHeight="1">
      <c r="A521" s="6" t="s">
        <v>533</v>
      </c>
      <c r="B521" s="4" t="str">
        <f t="shared" si="9"/>
        <v>vespiquen</v>
      </c>
      <c r="C521" s="5" t="str">
        <f t="shared" si="2"/>
        <v/>
      </c>
    </row>
    <row r="522" ht="45.0" customHeight="1">
      <c r="A522" s="6" t="s">
        <v>534</v>
      </c>
      <c r="B522" s="4" t="str">
        <f t="shared" si="9"/>
        <v>pachirisu</v>
      </c>
      <c r="C522" s="5" t="str">
        <f t="shared" si="2"/>
        <v/>
      </c>
    </row>
    <row r="523" ht="45.0" customHeight="1">
      <c r="A523" s="6" t="s">
        <v>535</v>
      </c>
      <c r="B523" s="4" t="str">
        <f t="shared" si="9"/>
        <v>buizel</v>
      </c>
      <c r="C523" s="5" t="str">
        <f t="shared" si="2"/>
        <v/>
      </c>
    </row>
    <row r="524" ht="45.0" customHeight="1">
      <c r="A524" s="6" t="s">
        <v>536</v>
      </c>
      <c r="B524" s="4" t="str">
        <f t="shared" si="9"/>
        <v>floatzel</v>
      </c>
      <c r="C524" s="5" t="str">
        <f t="shared" si="2"/>
        <v/>
      </c>
    </row>
    <row r="525" ht="45.0" customHeight="1">
      <c r="A525" s="6" t="s">
        <v>537</v>
      </c>
      <c r="B525" s="4" t="str">
        <f t="shared" si="9"/>
        <v>cherubi</v>
      </c>
      <c r="C525" s="5" t="str">
        <f t="shared" si="2"/>
        <v/>
      </c>
    </row>
    <row r="526" ht="45.0" customHeight="1">
      <c r="A526" s="6" t="s">
        <v>538</v>
      </c>
      <c r="B526" s="4" t="str">
        <f t="shared" si="9"/>
        <v>cherrim</v>
      </c>
      <c r="C526" s="5" t="str">
        <f t="shared" si="2"/>
        <v/>
      </c>
    </row>
    <row r="527" ht="45.0" customHeight="1">
      <c r="A527" s="6" t="s">
        <v>539</v>
      </c>
      <c r="B527" s="4" t="str">
        <f t="shared" si="9"/>
        <v>shellos</v>
      </c>
      <c r="C527" s="5" t="str">
        <f t="shared" si="2"/>
        <v/>
      </c>
    </row>
    <row r="528" ht="45.0" customHeight="1">
      <c r="A528" s="6" t="s">
        <v>540</v>
      </c>
      <c r="B528" s="4" t="str">
        <f t="shared" si="9"/>
        <v>gastrodon</v>
      </c>
      <c r="C528" s="5" t="str">
        <f t="shared" si="2"/>
        <v/>
      </c>
    </row>
    <row r="529" ht="45.0" customHeight="1">
      <c r="A529" s="6" t="s">
        <v>541</v>
      </c>
      <c r="B529" s="4" t="str">
        <f t="shared" si="9"/>
        <v>ambipom</v>
      </c>
      <c r="C529" s="5" t="str">
        <f t="shared" si="2"/>
        <v/>
      </c>
    </row>
    <row r="530" ht="45.0" customHeight="1">
      <c r="A530" s="6" t="s">
        <v>542</v>
      </c>
      <c r="B530" s="4" t="str">
        <f t="shared" si="9"/>
        <v>drifloon</v>
      </c>
      <c r="C530" s="5" t="str">
        <f t="shared" si="2"/>
        <v/>
      </c>
    </row>
    <row r="531" ht="45.0" customHeight="1">
      <c r="A531" s="6" t="s">
        <v>543</v>
      </c>
      <c r="B531" s="4" t="str">
        <f t="shared" si="9"/>
        <v>drifblim</v>
      </c>
      <c r="C531" s="5" t="str">
        <f t="shared" si="2"/>
        <v/>
      </c>
    </row>
    <row r="532" ht="45.0" customHeight="1">
      <c r="A532" s="6" t="s">
        <v>544</v>
      </c>
      <c r="B532" s="4" t="str">
        <f t="shared" si="9"/>
        <v>buneary</v>
      </c>
      <c r="C532" s="5" t="str">
        <f t="shared" si="2"/>
        <v/>
      </c>
    </row>
    <row r="533" ht="45.0" customHeight="1">
      <c r="A533" s="6" t="s">
        <v>545</v>
      </c>
      <c r="B533" s="4" t="str">
        <f t="shared" si="9"/>
        <v>lopunny</v>
      </c>
      <c r="C533" s="5" t="str">
        <f t="shared" si="2"/>
        <v/>
      </c>
    </row>
    <row r="534" ht="45.0" customHeight="1">
      <c r="A534" s="4" t="s">
        <v>546</v>
      </c>
      <c r="B534" s="4" t="str">
        <f t="shared" si="9"/>
        <v>lopunny-mega</v>
      </c>
      <c r="C534" s="5" t="str">
        <f t="shared" si="2"/>
        <v/>
      </c>
    </row>
    <row r="535" ht="45.0" customHeight="1">
      <c r="A535" s="6" t="s">
        <v>547</v>
      </c>
      <c r="B535" s="4" t="str">
        <f t="shared" si="9"/>
        <v>mismagius</v>
      </c>
      <c r="C535" s="5" t="str">
        <f t="shared" si="2"/>
        <v/>
      </c>
    </row>
    <row r="536" ht="45.0" customHeight="1">
      <c r="A536" s="6" t="s">
        <v>548</v>
      </c>
      <c r="B536" s="4" t="str">
        <f t="shared" si="9"/>
        <v>honchkrow</v>
      </c>
      <c r="C536" s="5" t="str">
        <f t="shared" si="2"/>
        <v/>
      </c>
    </row>
    <row r="537" ht="45.0" customHeight="1">
      <c r="A537" s="6" t="s">
        <v>549</v>
      </c>
      <c r="B537" s="4" t="str">
        <f t="shared" si="9"/>
        <v>glameow</v>
      </c>
      <c r="C537" s="5" t="str">
        <f t="shared" si="2"/>
        <v/>
      </c>
    </row>
    <row r="538" ht="45.0" customHeight="1">
      <c r="A538" s="6" t="s">
        <v>550</v>
      </c>
      <c r="B538" s="4" t="str">
        <f t="shared" si="9"/>
        <v>purugly</v>
      </c>
      <c r="C538" s="5" t="str">
        <f t="shared" si="2"/>
        <v/>
      </c>
    </row>
    <row r="539" ht="45.0" customHeight="1">
      <c r="A539" s="6" t="s">
        <v>551</v>
      </c>
      <c r="B539" s="4" t="str">
        <f t="shared" si="9"/>
        <v>chingling</v>
      </c>
      <c r="C539" s="5" t="str">
        <f t="shared" si="2"/>
        <v/>
      </c>
    </row>
    <row r="540" ht="45.0" customHeight="1">
      <c r="A540" s="6" t="s">
        <v>552</v>
      </c>
      <c r="B540" s="4" t="str">
        <f t="shared" si="9"/>
        <v>stunky</v>
      </c>
      <c r="C540" s="5" t="str">
        <f t="shared" si="2"/>
        <v/>
      </c>
    </row>
    <row r="541" ht="45.0" customHeight="1">
      <c r="A541" s="6" t="s">
        <v>553</v>
      </c>
      <c r="B541" s="4" t="str">
        <f t="shared" si="9"/>
        <v>skuntank</v>
      </c>
      <c r="C541" s="5" t="str">
        <f t="shared" si="2"/>
        <v/>
      </c>
    </row>
    <row r="542" ht="45.0" customHeight="1">
      <c r="A542" s="6" t="s">
        <v>554</v>
      </c>
      <c r="B542" s="4" t="str">
        <f t="shared" si="9"/>
        <v>bronzor</v>
      </c>
      <c r="C542" s="5" t="str">
        <f t="shared" si="2"/>
        <v/>
      </c>
    </row>
    <row r="543" ht="45.0" customHeight="1">
      <c r="A543" s="6" t="s">
        <v>555</v>
      </c>
      <c r="B543" s="4" t="str">
        <f t="shared" si="9"/>
        <v>bronzong</v>
      </c>
      <c r="C543" s="5" t="str">
        <f t="shared" si="2"/>
        <v/>
      </c>
    </row>
    <row r="544" ht="45.0" customHeight="1">
      <c r="A544" s="6" t="s">
        <v>556</v>
      </c>
      <c r="B544" s="4" t="str">
        <f t="shared" si="9"/>
        <v>bonsly</v>
      </c>
      <c r="C544" s="5" t="str">
        <f t="shared" si="2"/>
        <v/>
      </c>
    </row>
    <row r="545" ht="45.0" customHeight="1">
      <c r="A545" s="6" t="s">
        <v>557</v>
      </c>
      <c r="B545" s="4" t="s">
        <v>558</v>
      </c>
      <c r="C545" s="5" t="str">
        <f t="shared" si="2"/>
        <v/>
      </c>
    </row>
    <row r="546" ht="45.0" customHeight="1">
      <c r="A546" s="6" t="s">
        <v>559</v>
      </c>
      <c r="B546" s="4" t="str">
        <f t="shared" ref="B546:B582" si="10">LOWER(A546)</f>
        <v>happiny</v>
      </c>
      <c r="C546" s="5" t="str">
        <f t="shared" si="2"/>
        <v/>
      </c>
    </row>
    <row r="547" ht="45.0" customHeight="1">
      <c r="A547" s="6" t="s">
        <v>560</v>
      </c>
      <c r="B547" s="4" t="str">
        <f t="shared" si="10"/>
        <v>chatot</v>
      </c>
      <c r="C547" s="5" t="str">
        <f t="shared" si="2"/>
        <v/>
      </c>
    </row>
    <row r="548" ht="45.0" customHeight="1">
      <c r="A548" s="6" t="s">
        <v>561</v>
      </c>
      <c r="B548" s="4" t="str">
        <f t="shared" si="10"/>
        <v>spiritomb</v>
      </c>
      <c r="C548" s="5" t="str">
        <f t="shared" si="2"/>
        <v/>
      </c>
    </row>
    <row r="549" ht="45.0" customHeight="1">
      <c r="A549" s="6" t="s">
        <v>562</v>
      </c>
      <c r="B549" s="4" t="str">
        <f t="shared" si="10"/>
        <v>gible</v>
      </c>
      <c r="C549" s="5" t="str">
        <f t="shared" si="2"/>
        <v/>
      </c>
    </row>
    <row r="550" ht="45.0" customHeight="1">
      <c r="A550" s="6" t="s">
        <v>563</v>
      </c>
      <c r="B550" s="4" t="str">
        <f t="shared" si="10"/>
        <v>gabite</v>
      </c>
      <c r="C550" s="5" t="str">
        <f t="shared" si="2"/>
        <v/>
      </c>
    </row>
    <row r="551" ht="45.0" customHeight="1">
      <c r="A551" s="6" t="s">
        <v>564</v>
      </c>
      <c r="B551" s="4" t="str">
        <f t="shared" si="10"/>
        <v>garchomp</v>
      </c>
      <c r="C551" s="5" t="str">
        <f t="shared" si="2"/>
        <v/>
      </c>
    </row>
    <row r="552" ht="45.0" customHeight="1">
      <c r="A552" s="4" t="s">
        <v>565</v>
      </c>
      <c r="B552" s="4" t="str">
        <f t="shared" si="10"/>
        <v>garchomp-mega</v>
      </c>
      <c r="C552" s="5" t="str">
        <f t="shared" si="2"/>
        <v/>
      </c>
    </row>
    <row r="553" ht="45.0" customHeight="1">
      <c r="A553" s="6" t="s">
        <v>566</v>
      </c>
      <c r="B553" s="4" t="str">
        <f t="shared" si="10"/>
        <v>munchlax</v>
      </c>
      <c r="C553" s="5" t="str">
        <f t="shared" si="2"/>
        <v/>
      </c>
    </row>
    <row r="554" ht="45.0" customHeight="1">
      <c r="A554" s="6" t="s">
        <v>567</v>
      </c>
      <c r="B554" s="4" t="str">
        <f t="shared" si="10"/>
        <v>riolu</v>
      </c>
      <c r="C554" s="5" t="str">
        <f t="shared" si="2"/>
        <v/>
      </c>
    </row>
    <row r="555" ht="45.0" customHeight="1">
      <c r="A555" s="6" t="s">
        <v>568</v>
      </c>
      <c r="B555" s="4" t="str">
        <f t="shared" si="10"/>
        <v>lucario</v>
      </c>
      <c r="C555" s="5" t="str">
        <f t="shared" si="2"/>
        <v/>
      </c>
    </row>
    <row r="556" ht="45.0" customHeight="1">
      <c r="A556" s="4" t="s">
        <v>569</v>
      </c>
      <c r="B556" s="4" t="str">
        <f t="shared" si="10"/>
        <v>lucario-mega</v>
      </c>
      <c r="C556" s="5" t="str">
        <f t="shared" si="2"/>
        <v/>
      </c>
    </row>
    <row r="557" ht="45.0" customHeight="1">
      <c r="A557" s="6" t="s">
        <v>570</v>
      </c>
      <c r="B557" s="4" t="str">
        <f t="shared" si="10"/>
        <v>hippopotas</v>
      </c>
      <c r="C557" s="5" t="str">
        <f t="shared" si="2"/>
        <v/>
      </c>
    </row>
    <row r="558" ht="45.0" customHeight="1">
      <c r="A558" s="6" t="s">
        <v>571</v>
      </c>
      <c r="B558" s="4" t="str">
        <f t="shared" si="10"/>
        <v>hippowdon</v>
      </c>
      <c r="C558" s="5" t="str">
        <f t="shared" si="2"/>
        <v/>
      </c>
    </row>
    <row r="559" ht="45.0" customHeight="1">
      <c r="A559" s="6" t="s">
        <v>572</v>
      </c>
      <c r="B559" s="4" t="str">
        <f t="shared" si="10"/>
        <v>skorupi</v>
      </c>
      <c r="C559" s="5" t="str">
        <f t="shared" si="2"/>
        <v/>
      </c>
    </row>
    <row r="560" ht="45.0" customHeight="1">
      <c r="A560" s="6" t="s">
        <v>573</v>
      </c>
      <c r="B560" s="4" t="str">
        <f t="shared" si="10"/>
        <v>drapion</v>
      </c>
      <c r="C560" s="5" t="str">
        <f t="shared" si="2"/>
        <v/>
      </c>
    </row>
    <row r="561" ht="45.0" customHeight="1">
      <c r="A561" s="6" t="s">
        <v>574</v>
      </c>
      <c r="B561" s="4" t="str">
        <f t="shared" si="10"/>
        <v>croagunk</v>
      </c>
      <c r="C561" s="5" t="str">
        <f t="shared" si="2"/>
        <v/>
      </c>
    </row>
    <row r="562" ht="45.0" customHeight="1">
      <c r="A562" s="6" t="s">
        <v>575</v>
      </c>
      <c r="B562" s="4" t="str">
        <f t="shared" si="10"/>
        <v>toxicroak</v>
      </c>
      <c r="C562" s="5" t="str">
        <f t="shared" si="2"/>
        <v/>
      </c>
    </row>
    <row r="563" ht="45.0" customHeight="1">
      <c r="A563" s="6" t="s">
        <v>576</v>
      </c>
      <c r="B563" s="4" t="str">
        <f t="shared" si="10"/>
        <v>carnivine</v>
      </c>
      <c r="C563" s="5" t="str">
        <f t="shared" si="2"/>
        <v/>
      </c>
    </row>
    <row r="564" ht="45.0" customHeight="1">
      <c r="A564" s="6" t="s">
        <v>577</v>
      </c>
      <c r="B564" s="4" t="str">
        <f t="shared" si="10"/>
        <v>finneon</v>
      </c>
      <c r="C564" s="5" t="str">
        <f t="shared" si="2"/>
        <v/>
      </c>
    </row>
    <row r="565" ht="45.0" customHeight="1">
      <c r="A565" s="6" t="s">
        <v>578</v>
      </c>
      <c r="B565" s="4" t="str">
        <f t="shared" si="10"/>
        <v>lumineon</v>
      </c>
      <c r="C565" s="5" t="str">
        <f t="shared" si="2"/>
        <v/>
      </c>
    </row>
    <row r="566" ht="45.0" customHeight="1">
      <c r="A566" s="6" t="s">
        <v>579</v>
      </c>
      <c r="B566" s="4" t="str">
        <f t="shared" si="10"/>
        <v>mantyke</v>
      </c>
      <c r="C566" s="5" t="str">
        <f t="shared" si="2"/>
        <v/>
      </c>
    </row>
    <row r="567" ht="45.0" customHeight="1">
      <c r="A567" s="6" t="s">
        <v>580</v>
      </c>
      <c r="B567" s="4" t="str">
        <f t="shared" si="10"/>
        <v>snover</v>
      </c>
      <c r="C567" s="5" t="str">
        <f t="shared" si="2"/>
        <v/>
      </c>
    </row>
    <row r="568" ht="45.0" customHeight="1">
      <c r="A568" s="6" t="s">
        <v>581</v>
      </c>
      <c r="B568" s="4" t="str">
        <f t="shared" si="10"/>
        <v>abomasnow</v>
      </c>
      <c r="C568" s="5" t="str">
        <f t="shared" si="2"/>
        <v/>
      </c>
    </row>
    <row r="569" ht="45.0" customHeight="1">
      <c r="A569" s="4" t="s">
        <v>582</v>
      </c>
      <c r="B569" s="4" t="str">
        <f t="shared" si="10"/>
        <v>abomasnow-mega</v>
      </c>
      <c r="C569" s="5" t="str">
        <f t="shared" si="2"/>
        <v/>
      </c>
    </row>
    <row r="570" ht="45.0" customHeight="1">
      <c r="A570" s="6" t="s">
        <v>583</v>
      </c>
      <c r="B570" s="4" t="str">
        <f t="shared" si="10"/>
        <v>weavile</v>
      </c>
      <c r="C570" s="5" t="str">
        <f t="shared" si="2"/>
        <v/>
      </c>
    </row>
    <row r="571" ht="45.0" customHeight="1">
      <c r="A571" s="6" t="s">
        <v>584</v>
      </c>
      <c r="B571" s="4" t="str">
        <f t="shared" si="10"/>
        <v>magnezone</v>
      </c>
      <c r="C571" s="5" t="str">
        <f t="shared" si="2"/>
        <v/>
      </c>
    </row>
    <row r="572" ht="45.0" customHeight="1">
      <c r="A572" s="6" t="s">
        <v>585</v>
      </c>
      <c r="B572" s="4" t="str">
        <f t="shared" si="10"/>
        <v>lickilicky</v>
      </c>
      <c r="C572" s="5" t="str">
        <f t="shared" si="2"/>
        <v/>
      </c>
    </row>
    <row r="573" ht="45.0" customHeight="1">
      <c r="A573" s="6" t="s">
        <v>586</v>
      </c>
      <c r="B573" s="4" t="str">
        <f t="shared" si="10"/>
        <v>rhyperior</v>
      </c>
      <c r="C573" s="5" t="str">
        <f t="shared" si="2"/>
        <v/>
      </c>
    </row>
    <row r="574" ht="45.0" customHeight="1">
      <c r="A574" s="6" t="s">
        <v>587</v>
      </c>
      <c r="B574" s="4" t="str">
        <f t="shared" si="10"/>
        <v>tangrowth</v>
      </c>
      <c r="C574" s="5" t="str">
        <f t="shared" si="2"/>
        <v/>
      </c>
    </row>
    <row r="575" ht="45.0" customHeight="1">
      <c r="A575" s="6" t="s">
        <v>588</v>
      </c>
      <c r="B575" s="4" t="str">
        <f t="shared" si="10"/>
        <v>electivire</v>
      </c>
      <c r="C575" s="5" t="str">
        <f t="shared" si="2"/>
        <v/>
      </c>
    </row>
    <row r="576" ht="45.0" customHeight="1">
      <c r="A576" s="6" t="s">
        <v>589</v>
      </c>
      <c r="B576" s="4" t="str">
        <f t="shared" si="10"/>
        <v>magmortar</v>
      </c>
      <c r="C576" s="5" t="str">
        <f t="shared" si="2"/>
        <v/>
      </c>
    </row>
    <row r="577" ht="45.0" customHeight="1">
      <c r="A577" s="6" t="s">
        <v>590</v>
      </c>
      <c r="B577" s="4" t="str">
        <f t="shared" si="10"/>
        <v>togekiss</v>
      </c>
      <c r="C577" s="5" t="str">
        <f t="shared" si="2"/>
        <v/>
      </c>
    </row>
    <row r="578" ht="45.0" customHeight="1">
      <c r="A578" s="6" t="s">
        <v>591</v>
      </c>
      <c r="B578" s="4" t="str">
        <f t="shared" si="10"/>
        <v>yanmega</v>
      </c>
      <c r="C578" s="5" t="str">
        <f t="shared" si="2"/>
        <v/>
      </c>
    </row>
    <row r="579" ht="45.0" customHeight="1">
      <c r="A579" s="6" t="s">
        <v>592</v>
      </c>
      <c r="B579" s="4" t="str">
        <f t="shared" si="10"/>
        <v>leafeon</v>
      </c>
      <c r="C579" s="5" t="str">
        <f t="shared" si="2"/>
        <v/>
      </c>
    </row>
    <row r="580" ht="45.0" customHeight="1">
      <c r="A580" s="6" t="s">
        <v>593</v>
      </c>
      <c r="B580" s="4" t="str">
        <f t="shared" si="10"/>
        <v>glaceon</v>
      </c>
      <c r="C580" s="5" t="str">
        <f t="shared" si="2"/>
        <v/>
      </c>
    </row>
    <row r="581" ht="45.0" customHeight="1">
      <c r="A581" s="6" t="s">
        <v>594</v>
      </c>
      <c r="B581" s="4" t="str">
        <f t="shared" si="10"/>
        <v>gliscor</v>
      </c>
      <c r="C581" s="5" t="str">
        <f t="shared" si="2"/>
        <v/>
      </c>
    </row>
    <row r="582" ht="45.0" customHeight="1">
      <c r="A582" s="6" t="s">
        <v>595</v>
      </c>
      <c r="B582" s="4" t="str">
        <f t="shared" si="10"/>
        <v>mamoswine</v>
      </c>
      <c r="C582" s="5" t="str">
        <f t="shared" si="2"/>
        <v/>
      </c>
    </row>
    <row r="583" ht="45.0" customHeight="1">
      <c r="A583" s="6" t="s">
        <v>596</v>
      </c>
      <c r="B583" s="4" t="s">
        <v>597</v>
      </c>
      <c r="C583" s="5" t="str">
        <f t="shared" si="2"/>
        <v/>
      </c>
    </row>
    <row r="584" ht="45.0" customHeight="1">
      <c r="A584" s="6" t="s">
        <v>598</v>
      </c>
      <c r="B584" s="4" t="str">
        <f t="shared" ref="B584:B788" si="11">LOWER(A584)</f>
        <v>gallade</v>
      </c>
      <c r="C584" s="5" t="str">
        <f t="shared" si="2"/>
        <v/>
      </c>
    </row>
    <row r="585" ht="45.0" customHeight="1">
      <c r="A585" s="4" t="s">
        <v>599</v>
      </c>
      <c r="B585" s="4" t="str">
        <f t="shared" si="11"/>
        <v>gallade-mega</v>
      </c>
      <c r="C585" s="5" t="str">
        <f t="shared" si="2"/>
        <v/>
      </c>
    </row>
    <row r="586" ht="45.0" customHeight="1">
      <c r="A586" s="6" t="s">
        <v>600</v>
      </c>
      <c r="B586" s="4" t="str">
        <f t="shared" si="11"/>
        <v>probopass</v>
      </c>
      <c r="C586" s="5" t="str">
        <f t="shared" si="2"/>
        <v/>
      </c>
    </row>
    <row r="587" ht="45.0" customHeight="1">
      <c r="A587" s="6" t="s">
        <v>601</v>
      </c>
      <c r="B587" s="4" t="str">
        <f t="shared" si="11"/>
        <v>dusknoir</v>
      </c>
      <c r="C587" s="5" t="str">
        <f t="shared" si="2"/>
        <v/>
      </c>
    </row>
    <row r="588" ht="45.0" customHeight="1">
      <c r="A588" s="6" t="s">
        <v>602</v>
      </c>
      <c r="B588" s="4" t="str">
        <f t="shared" si="11"/>
        <v>froslass</v>
      </c>
      <c r="C588" s="5" t="str">
        <f t="shared" si="2"/>
        <v/>
      </c>
    </row>
    <row r="589" ht="45.0" customHeight="1">
      <c r="A589" s="6" t="s">
        <v>603</v>
      </c>
      <c r="B589" s="4" t="str">
        <f t="shared" si="11"/>
        <v>rotom</v>
      </c>
      <c r="C589" s="5" t="str">
        <f t="shared" si="2"/>
        <v/>
      </c>
    </row>
    <row r="590" ht="45.0" customHeight="1">
      <c r="A590" s="6" t="s">
        <v>604</v>
      </c>
      <c r="B590" s="4" t="str">
        <f t="shared" si="11"/>
        <v>rotom-frost</v>
      </c>
      <c r="C590" s="5" t="str">
        <f t="shared" si="2"/>
        <v/>
      </c>
    </row>
    <row r="591" ht="45.0" customHeight="1">
      <c r="A591" s="6" t="s">
        <v>605</v>
      </c>
      <c r="B591" s="4" t="str">
        <f t="shared" si="11"/>
        <v>rotom-heat</v>
      </c>
      <c r="C591" s="5" t="str">
        <f t="shared" si="2"/>
        <v/>
      </c>
    </row>
    <row r="592" ht="45.0" customHeight="1">
      <c r="A592" s="4" t="s">
        <v>606</v>
      </c>
      <c r="B592" s="4" t="str">
        <f t="shared" si="11"/>
        <v>rotom-mow</v>
      </c>
      <c r="C592" s="5" t="str">
        <f t="shared" si="2"/>
        <v/>
      </c>
    </row>
    <row r="593" ht="45.0" customHeight="1">
      <c r="A593" s="6" t="s">
        <v>607</v>
      </c>
      <c r="B593" s="4" t="str">
        <f t="shared" si="11"/>
        <v>rotom-fan</v>
      </c>
      <c r="C593" s="5" t="str">
        <f t="shared" si="2"/>
        <v/>
      </c>
    </row>
    <row r="594" ht="45.0" customHeight="1">
      <c r="A594" s="6" t="s">
        <v>608</v>
      </c>
      <c r="B594" s="4" t="str">
        <f t="shared" si="11"/>
        <v>rotom-wash</v>
      </c>
      <c r="C594" s="5" t="str">
        <f t="shared" si="2"/>
        <v/>
      </c>
    </row>
    <row r="595" ht="45.0" customHeight="1">
      <c r="A595" s="6" t="s">
        <v>609</v>
      </c>
      <c r="B595" s="4" t="str">
        <f t="shared" si="11"/>
        <v>uxie</v>
      </c>
      <c r="C595" s="5" t="str">
        <f t="shared" si="2"/>
        <v/>
      </c>
    </row>
    <row r="596" ht="45.0" customHeight="1">
      <c r="A596" s="6" t="s">
        <v>610</v>
      </c>
      <c r="B596" s="4" t="str">
        <f t="shared" si="11"/>
        <v>mesprit</v>
      </c>
      <c r="C596" s="5" t="str">
        <f t="shared" si="2"/>
        <v/>
      </c>
    </row>
    <row r="597" ht="45.0" customHeight="1">
      <c r="A597" s="6" t="s">
        <v>611</v>
      </c>
      <c r="B597" s="4" t="str">
        <f t="shared" si="11"/>
        <v>azelf</v>
      </c>
      <c r="C597" s="5" t="str">
        <f t="shared" si="2"/>
        <v/>
      </c>
    </row>
    <row r="598" ht="45.0" customHeight="1">
      <c r="A598" s="6" t="s">
        <v>612</v>
      </c>
      <c r="B598" s="4" t="str">
        <f t="shared" si="11"/>
        <v>dialga</v>
      </c>
      <c r="C598" s="5" t="str">
        <f t="shared" si="2"/>
        <v/>
      </c>
    </row>
    <row r="599" ht="45.0" customHeight="1">
      <c r="A599" s="9" t="s">
        <v>613</v>
      </c>
      <c r="B599" s="4" t="str">
        <f t="shared" si="11"/>
        <v>dialga-origin</v>
      </c>
      <c r="C599" s="5" t="str">
        <f t="shared" si="2"/>
        <v/>
      </c>
    </row>
    <row r="600" ht="45.0" customHeight="1">
      <c r="A600" s="6" t="s">
        <v>614</v>
      </c>
      <c r="B600" s="4" t="str">
        <f t="shared" si="11"/>
        <v>palkia</v>
      </c>
      <c r="C600" s="5" t="str">
        <f t="shared" si="2"/>
        <v/>
      </c>
    </row>
    <row r="601" ht="45.0" customHeight="1">
      <c r="A601" s="9" t="s">
        <v>615</v>
      </c>
      <c r="B601" s="4" t="str">
        <f t="shared" si="11"/>
        <v>palkia-origin</v>
      </c>
      <c r="C601" s="5" t="str">
        <f t="shared" si="2"/>
        <v/>
      </c>
    </row>
    <row r="602" ht="45.0" customHeight="1">
      <c r="A602" s="6" t="s">
        <v>616</v>
      </c>
      <c r="B602" s="4" t="str">
        <f t="shared" si="11"/>
        <v>heatran</v>
      </c>
      <c r="C602" s="5" t="str">
        <f t="shared" si="2"/>
        <v/>
      </c>
    </row>
    <row r="603" ht="45.0" customHeight="1">
      <c r="A603" s="6" t="s">
        <v>617</v>
      </c>
      <c r="B603" s="4" t="str">
        <f t="shared" si="11"/>
        <v>regigigas</v>
      </c>
      <c r="C603" s="5" t="str">
        <f t="shared" si="2"/>
        <v/>
      </c>
    </row>
    <row r="604" ht="45.0" customHeight="1">
      <c r="A604" s="6" t="s">
        <v>618</v>
      </c>
      <c r="B604" s="4" t="str">
        <f t="shared" si="11"/>
        <v>giratina</v>
      </c>
      <c r="C604" s="5" t="str">
        <f t="shared" si="2"/>
        <v/>
      </c>
    </row>
    <row r="605" ht="45.0" customHeight="1">
      <c r="A605" s="6" t="s">
        <v>619</v>
      </c>
      <c r="B605" s="4" t="str">
        <f t="shared" si="11"/>
        <v>giratina-origin</v>
      </c>
      <c r="C605" s="5" t="str">
        <f t="shared" si="2"/>
        <v/>
      </c>
    </row>
    <row r="606" ht="45.0" customHeight="1">
      <c r="A606" s="6" t="s">
        <v>620</v>
      </c>
      <c r="B606" s="4" t="str">
        <f t="shared" si="11"/>
        <v>cresselia</v>
      </c>
      <c r="C606" s="5" t="str">
        <f t="shared" si="2"/>
        <v/>
      </c>
    </row>
    <row r="607" ht="45.0" customHeight="1">
      <c r="A607" s="6" t="s">
        <v>621</v>
      </c>
      <c r="B607" s="4" t="str">
        <f t="shared" si="11"/>
        <v>phione</v>
      </c>
      <c r="C607" s="5" t="str">
        <f t="shared" si="2"/>
        <v/>
      </c>
    </row>
    <row r="608" ht="45.0" customHeight="1">
      <c r="A608" s="6" t="s">
        <v>622</v>
      </c>
      <c r="B608" s="4" t="str">
        <f t="shared" si="11"/>
        <v>manaphy</v>
      </c>
      <c r="C608" s="5" t="str">
        <f t="shared" si="2"/>
        <v/>
      </c>
    </row>
    <row r="609" ht="45.0" customHeight="1">
      <c r="A609" s="6" t="s">
        <v>623</v>
      </c>
      <c r="B609" s="4" t="str">
        <f t="shared" si="11"/>
        <v>darkrai</v>
      </c>
      <c r="C609" s="5" t="str">
        <f t="shared" si="2"/>
        <v/>
      </c>
    </row>
    <row r="610" ht="45.0" customHeight="1">
      <c r="A610" s="6" t="s">
        <v>624</v>
      </c>
      <c r="B610" s="4" t="str">
        <f t="shared" si="11"/>
        <v>shaymin</v>
      </c>
      <c r="C610" s="5" t="str">
        <f t="shared" si="2"/>
        <v/>
      </c>
    </row>
    <row r="611" ht="45.0" customHeight="1">
      <c r="A611" s="6" t="s">
        <v>625</v>
      </c>
      <c r="B611" s="4" t="str">
        <f t="shared" si="11"/>
        <v>shaymin-sky</v>
      </c>
      <c r="C611" s="5" t="str">
        <f t="shared" si="2"/>
        <v/>
      </c>
    </row>
    <row r="612" ht="45.0" customHeight="1">
      <c r="A612" s="6" t="s">
        <v>626</v>
      </c>
      <c r="B612" s="4" t="str">
        <f t="shared" si="11"/>
        <v>arceus</v>
      </c>
      <c r="C612" s="5" t="str">
        <f t="shared" si="2"/>
        <v/>
      </c>
    </row>
    <row r="613" ht="45.0" customHeight="1">
      <c r="A613" s="6" t="s">
        <v>627</v>
      </c>
      <c r="B613" s="4" t="str">
        <f t="shared" si="11"/>
        <v>arceus-bug</v>
      </c>
      <c r="C613" s="5" t="str">
        <f t="shared" si="2"/>
        <v/>
      </c>
    </row>
    <row r="614" ht="45.0" customHeight="1">
      <c r="A614" s="6" t="s">
        <v>628</v>
      </c>
      <c r="B614" s="4" t="str">
        <f t="shared" si="11"/>
        <v>arceus-dark</v>
      </c>
      <c r="C614" s="5" t="str">
        <f t="shared" si="2"/>
        <v/>
      </c>
    </row>
    <row r="615" ht="45.0" customHeight="1">
      <c r="A615" s="6" t="s">
        <v>629</v>
      </c>
      <c r="B615" s="4" t="str">
        <f t="shared" si="11"/>
        <v>arceus-dragon</v>
      </c>
      <c r="C615" s="5" t="str">
        <f t="shared" si="2"/>
        <v/>
      </c>
    </row>
    <row r="616" ht="45.0" customHeight="1">
      <c r="A616" s="6" t="s">
        <v>630</v>
      </c>
      <c r="B616" s="4" t="str">
        <f t="shared" si="11"/>
        <v>arceus-electric</v>
      </c>
      <c r="C616" s="5" t="str">
        <f t="shared" si="2"/>
        <v/>
      </c>
    </row>
    <row r="617" ht="45.0" customHeight="1">
      <c r="A617" s="6" t="s">
        <v>631</v>
      </c>
      <c r="B617" s="4" t="str">
        <f t="shared" si="11"/>
        <v>arceus-fairy</v>
      </c>
      <c r="C617" s="5" t="str">
        <f t="shared" si="2"/>
        <v/>
      </c>
    </row>
    <row r="618" ht="45.0" customHeight="1">
      <c r="A618" s="6" t="s">
        <v>632</v>
      </c>
      <c r="B618" s="4" t="str">
        <f t="shared" si="11"/>
        <v>arceus-fighting</v>
      </c>
      <c r="C618" s="5" t="str">
        <f t="shared" si="2"/>
        <v/>
      </c>
    </row>
    <row r="619" ht="45.0" customHeight="1">
      <c r="A619" s="6" t="s">
        <v>633</v>
      </c>
      <c r="B619" s="4" t="str">
        <f t="shared" si="11"/>
        <v>arceus-fire</v>
      </c>
      <c r="C619" s="5" t="str">
        <f t="shared" si="2"/>
        <v/>
      </c>
    </row>
    <row r="620" ht="45.0" customHeight="1">
      <c r="A620" s="6" t="s">
        <v>634</v>
      </c>
      <c r="B620" s="4" t="str">
        <f t="shared" si="11"/>
        <v>arceus-flying</v>
      </c>
      <c r="C620" s="5" t="str">
        <f t="shared" si="2"/>
        <v/>
      </c>
    </row>
    <row r="621" ht="45.0" customHeight="1">
      <c r="A621" s="6" t="s">
        <v>635</v>
      </c>
      <c r="B621" s="4" t="str">
        <f t="shared" si="11"/>
        <v>arceus-ghost</v>
      </c>
      <c r="C621" s="5" t="str">
        <f t="shared" si="2"/>
        <v/>
      </c>
    </row>
    <row r="622" ht="45.0" customHeight="1">
      <c r="A622" s="6" t="s">
        <v>636</v>
      </c>
      <c r="B622" s="4" t="str">
        <f t="shared" si="11"/>
        <v>arceus-grass</v>
      </c>
      <c r="C622" s="5" t="str">
        <f t="shared" si="2"/>
        <v/>
      </c>
    </row>
    <row r="623" ht="45.0" customHeight="1">
      <c r="A623" s="6" t="s">
        <v>637</v>
      </c>
      <c r="B623" s="4" t="str">
        <f t="shared" si="11"/>
        <v>arceus-ground</v>
      </c>
      <c r="C623" s="5" t="str">
        <f t="shared" si="2"/>
        <v/>
      </c>
    </row>
    <row r="624" ht="45.0" customHeight="1">
      <c r="A624" s="6" t="s">
        <v>638</v>
      </c>
      <c r="B624" s="4" t="str">
        <f t="shared" si="11"/>
        <v>arceus-ice</v>
      </c>
      <c r="C624" s="5" t="str">
        <f t="shared" si="2"/>
        <v/>
      </c>
    </row>
    <row r="625" ht="45.0" customHeight="1">
      <c r="A625" s="6" t="s">
        <v>639</v>
      </c>
      <c r="B625" s="4" t="str">
        <f t="shared" si="11"/>
        <v>arceus-poison</v>
      </c>
      <c r="C625" s="5" t="str">
        <f t="shared" si="2"/>
        <v/>
      </c>
    </row>
    <row r="626" ht="45.0" customHeight="1">
      <c r="A626" s="6" t="s">
        <v>640</v>
      </c>
      <c r="B626" s="4" t="str">
        <f t="shared" si="11"/>
        <v>arceus-psychic</v>
      </c>
      <c r="C626" s="5" t="str">
        <f t="shared" si="2"/>
        <v/>
      </c>
    </row>
    <row r="627" ht="45.0" customHeight="1">
      <c r="A627" s="6" t="s">
        <v>641</v>
      </c>
      <c r="B627" s="4" t="str">
        <f t="shared" si="11"/>
        <v>arceus-rock</v>
      </c>
      <c r="C627" s="5" t="str">
        <f t="shared" si="2"/>
        <v/>
      </c>
    </row>
    <row r="628" ht="45.0" customHeight="1">
      <c r="A628" s="6" t="s">
        <v>642</v>
      </c>
      <c r="B628" s="4" t="str">
        <f t="shared" si="11"/>
        <v>arceus-steel</v>
      </c>
      <c r="C628" s="5" t="str">
        <f t="shared" si="2"/>
        <v/>
      </c>
    </row>
    <row r="629" ht="45.0" customHeight="1">
      <c r="A629" s="6" t="s">
        <v>643</v>
      </c>
      <c r="B629" s="4" t="str">
        <f t="shared" si="11"/>
        <v>arceus-water</v>
      </c>
      <c r="C629" s="5" t="str">
        <f t="shared" si="2"/>
        <v/>
      </c>
    </row>
    <row r="630" ht="45.0" customHeight="1">
      <c r="A630" s="6" t="s">
        <v>644</v>
      </c>
      <c r="B630" s="4" t="str">
        <f t="shared" si="11"/>
        <v>victini</v>
      </c>
      <c r="C630" s="5" t="str">
        <f t="shared" si="2"/>
        <v/>
      </c>
    </row>
    <row r="631" ht="45.0" customHeight="1">
      <c r="A631" s="6" t="s">
        <v>645</v>
      </c>
      <c r="B631" s="4" t="str">
        <f t="shared" si="11"/>
        <v>snivy</v>
      </c>
      <c r="C631" s="5" t="str">
        <f t="shared" si="2"/>
        <v/>
      </c>
    </row>
    <row r="632" ht="45.0" customHeight="1">
      <c r="A632" s="6" t="s">
        <v>646</v>
      </c>
      <c r="B632" s="4" t="str">
        <f t="shared" si="11"/>
        <v>servine</v>
      </c>
      <c r="C632" s="5" t="str">
        <f t="shared" si="2"/>
        <v/>
      </c>
    </row>
    <row r="633" ht="45.0" customHeight="1">
      <c r="A633" s="6" t="s">
        <v>647</v>
      </c>
      <c r="B633" s="4" t="str">
        <f t="shared" si="11"/>
        <v>serperior</v>
      </c>
      <c r="C633" s="5" t="str">
        <f t="shared" si="2"/>
        <v/>
      </c>
    </row>
    <row r="634" ht="45.0" customHeight="1">
      <c r="A634" s="6" t="s">
        <v>648</v>
      </c>
      <c r="B634" s="4" t="str">
        <f t="shared" si="11"/>
        <v>tepig</v>
      </c>
      <c r="C634" s="5" t="str">
        <f t="shared" si="2"/>
        <v/>
      </c>
    </row>
    <row r="635" ht="45.0" customHeight="1">
      <c r="A635" s="6" t="s">
        <v>649</v>
      </c>
      <c r="B635" s="4" t="str">
        <f t="shared" si="11"/>
        <v>pignite</v>
      </c>
      <c r="C635" s="5" t="str">
        <f t="shared" si="2"/>
        <v/>
      </c>
    </row>
    <row r="636" ht="45.0" customHeight="1">
      <c r="A636" s="6" t="s">
        <v>650</v>
      </c>
      <c r="B636" s="4" t="str">
        <f t="shared" si="11"/>
        <v>emboar</v>
      </c>
      <c r="C636" s="5" t="str">
        <f t="shared" si="2"/>
        <v/>
      </c>
    </row>
    <row r="637" ht="45.0" customHeight="1">
      <c r="A637" s="6" t="s">
        <v>651</v>
      </c>
      <c r="B637" s="4" t="str">
        <f t="shared" si="11"/>
        <v>oshawott</v>
      </c>
      <c r="C637" s="5" t="str">
        <f t="shared" si="2"/>
        <v/>
      </c>
    </row>
    <row r="638" ht="45.0" customHeight="1">
      <c r="A638" s="6" t="s">
        <v>652</v>
      </c>
      <c r="B638" s="4" t="str">
        <f t="shared" si="11"/>
        <v>dewott</v>
      </c>
      <c r="C638" s="5" t="str">
        <f t="shared" si="2"/>
        <v/>
      </c>
    </row>
    <row r="639" ht="45.0" customHeight="1">
      <c r="A639" s="6" t="s">
        <v>653</v>
      </c>
      <c r="B639" s="4" t="str">
        <f t="shared" si="11"/>
        <v>samurott</v>
      </c>
      <c r="C639" s="5" t="str">
        <f t="shared" si="2"/>
        <v/>
      </c>
    </row>
    <row r="640" ht="45.0" customHeight="1">
      <c r="A640" s="9" t="s">
        <v>654</v>
      </c>
      <c r="B640" s="4" t="str">
        <f t="shared" si="11"/>
        <v>samurott-hisui</v>
      </c>
      <c r="C640" s="5" t="str">
        <f t="shared" si="2"/>
        <v/>
      </c>
    </row>
    <row r="641" ht="45.0" customHeight="1">
      <c r="A641" s="6" t="s">
        <v>655</v>
      </c>
      <c r="B641" s="4" t="str">
        <f t="shared" si="11"/>
        <v>patrat</v>
      </c>
      <c r="C641" s="5" t="str">
        <f t="shared" si="2"/>
        <v/>
      </c>
    </row>
    <row r="642" ht="45.0" customHeight="1">
      <c r="A642" s="6" t="s">
        <v>656</v>
      </c>
      <c r="B642" s="4" t="str">
        <f t="shared" si="11"/>
        <v>watchog</v>
      </c>
      <c r="C642" s="5" t="str">
        <f t="shared" si="2"/>
        <v/>
      </c>
    </row>
    <row r="643" ht="45.0" customHeight="1">
      <c r="A643" s="6" t="s">
        <v>657</v>
      </c>
      <c r="B643" s="4" t="str">
        <f t="shared" si="11"/>
        <v>lillipup</v>
      </c>
      <c r="C643" s="5" t="str">
        <f t="shared" si="2"/>
        <v/>
      </c>
    </row>
    <row r="644" ht="45.0" customHeight="1">
      <c r="A644" s="6" t="s">
        <v>658</v>
      </c>
      <c r="B644" s="4" t="str">
        <f t="shared" si="11"/>
        <v>herdier</v>
      </c>
      <c r="C644" s="5" t="str">
        <f t="shared" si="2"/>
        <v/>
      </c>
    </row>
    <row r="645" ht="45.0" customHeight="1">
      <c r="A645" s="6" t="s">
        <v>659</v>
      </c>
      <c r="B645" s="4" t="str">
        <f t="shared" si="11"/>
        <v>stoutland</v>
      </c>
      <c r="C645" s="5" t="str">
        <f t="shared" si="2"/>
        <v/>
      </c>
    </row>
    <row r="646" ht="45.0" customHeight="1">
      <c r="A646" s="6" t="s">
        <v>660</v>
      </c>
      <c r="B646" s="4" t="str">
        <f t="shared" si="11"/>
        <v>purrloin</v>
      </c>
      <c r="C646" s="5" t="str">
        <f t="shared" si="2"/>
        <v/>
      </c>
    </row>
    <row r="647" ht="45.0" customHeight="1">
      <c r="A647" s="6" t="s">
        <v>661</v>
      </c>
      <c r="B647" s="4" t="str">
        <f t="shared" si="11"/>
        <v>liepard</v>
      </c>
      <c r="C647" s="5" t="str">
        <f t="shared" si="2"/>
        <v/>
      </c>
    </row>
    <row r="648" ht="45.0" customHeight="1">
      <c r="A648" s="6" t="s">
        <v>662</v>
      </c>
      <c r="B648" s="4" t="str">
        <f t="shared" si="11"/>
        <v>pansage</v>
      </c>
      <c r="C648" s="5" t="str">
        <f t="shared" si="2"/>
        <v/>
      </c>
    </row>
    <row r="649" ht="45.0" customHeight="1">
      <c r="A649" s="6" t="s">
        <v>663</v>
      </c>
      <c r="B649" s="4" t="str">
        <f t="shared" si="11"/>
        <v>simisage</v>
      </c>
      <c r="C649" s="5" t="str">
        <f t="shared" si="2"/>
        <v/>
      </c>
    </row>
    <row r="650" ht="45.0" customHeight="1">
      <c r="A650" s="6" t="s">
        <v>664</v>
      </c>
      <c r="B650" s="4" t="str">
        <f t="shared" si="11"/>
        <v>pansear</v>
      </c>
      <c r="C650" s="5" t="str">
        <f t="shared" si="2"/>
        <v/>
      </c>
    </row>
    <row r="651" ht="45.0" customHeight="1">
      <c r="A651" s="6" t="s">
        <v>665</v>
      </c>
      <c r="B651" s="4" t="str">
        <f t="shared" si="11"/>
        <v>simisear</v>
      </c>
      <c r="C651" s="5" t="str">
        <f t="shared" si="2"/>
        <v/>
      </c>
    </row>
    <row r="652" ht="45.0" customHeight="1">
      <c r="A652" s="6" t="s">
        <v>666</v>
      </c>
      <c r="B652" s="4" t="str">
        <f t="shared" si="11"/>
        <v>panpour</v>
      </c>
      <c r="C652" s="5" t="str">
        <f t="shared" si="2"/>
        <v/>
      </c>
    </row>
    <row r="653" ht="45.0" customHeight="1">
      <c r="A653" s="6" t="s">
        <v>667</v>
      </c>
      <c r="B653" s="4" t="str">
        <f t="shared" si="11"/>
        <v>simipour</v>
      </c>
      <c r="C653" s="5" t="str">
        <f t="shared" si="2"/>
        <v/>
      </c>
    </row>
    <row r="654" ht="45.0" customHeight="1">
      <c r="A654" s="6" t="s">
        <v>668</v>
      </c>
      <c r="B654" s="4" t="str">
        <f t="shared" si="11"/>
        <v>munna</v>
      </c>
      <c r="C654" s="5" t="str">
        <f t="shared" si="2"/>
        <v/>
      </c>
    </row>
    <row r="655" ht="45.0" customHeight="1">
      <c r="A655" s="6" t="s">
        <v>669</v>
      </c>
      <c r="B655" s="4" t="str">
        <f t="shared" si="11"/>
        <v>musharna</v>
      </c>
      <c r="C655" s="5" t="str">
        <f t="shared" si="2"/>
        <v/>
      </c>
    </row>
    <row r="656" ht="45.0" customHeight="1">
      <c r="A656" s="6" t="s">
        <v>670</v>
      </c>
      <c r="B656" s="4" t="str">
        <f t="shared" si="11"/>
        <v>pidove</v>
      </c>
      <c r="C656" s="5" t="str">
        <f t="shared" si="2"/>
        <v/>
      </c>
    </row>
    <row r="657" ht="45.0" customHeight="1">
      <c r="A657" s="6" t="s">
        <v>671</v>
      </c>
      <c r="B657" s="4" t="str">
        <f t="shared" si="11"/>
        <v>tranquill</v>
      </c>
      <c r="C657" s="5" t="str">
        <f t="shared" si="2"/>
        <v/>
      </c>
    </row>
    <row r="658" ht="45.0" customHeight="1">
      <c r="A658" s="6" t="s">
        <v>672</v>
      </c>
      <c r="B658" s="4" t="str">
        <f t="shared" si="11"/>
        <v>unfezant</v>
      </c>
      <c r="C658" s="5" t="str">
        <f t="shared" si="2"/>
        <v/>
      </c>
    </row>
    <row r="659" ht="45.0" customHeight="1">
      <c r="A659" s="6" t="s">
        <v>673</v>
      </c>
      <c r="B659" s="4" t="str">
        <f t="shared" si="11"/>
        <v>blitzle</v>
      </c>
      <c r="C659" s="5" t="str">
        <f t="shared" si="2"/>
        <v/>
      </c>
    </row>
    <row r="660" ht="45.0" customHeight="1">
      <c r="A660" s="6" t="s">
        <v>674</v>
      </c>
      <c r="B660" s="4" t="str">
        <f t="shared" si="11"/>
        <v>zebstrika</v>
      </c>
      <c r="C660" s="5" t="str">
        <f t="shared" si="2"/>
        <v/>
      </c>
    </row>
    <row r="661" ht="45.0" customHeight="1">
      <c r="A661" s="6" t="s">
        <v>675</v>
      </c>
      <c r="B661" s="4" t="str">
        <f t="shared" si="11"/>
        <v>roggenrola</v>
      </c>
      <c r="C661" s="5" t="str">
        <f t="shared" si="2"/>
        <v/>
      </c>
    </row>
    <row r="662" ht="45.0" customHeight="1">
      <c r="A662" s="6" t="s">
        <v>676</v>
      </c>
      <c r="B662" s="4" t="str">
        <f t="shared" si="11"/>
        <v>boldore</v>
      </c>
      <c r="C662" s="5" t="str">
        <f t="shared" si="2"/>
        <v/>
      </c>
    </row>
    <row r="663" ht="45.0" customHeight="1">
      <c r="A663" s="6" t="s">
        <v>677</v>
      </c>
      <c r="B663" s="4" t="str">
        <f t="shared" si="11"/>
        <v>gigalith</v>
      </c>
      <c r="C663" s="5" t="str">
        <f t="shared" si="2"/>
        <v/>
      </c>
    </row>
    <row r="664" ht="45.0" customHeight="1">
      <c r="A664" s="6" t="s">
        <v>678</v>
      </c>
      <c r="B664" s="4" t="str">
        <f t="shared" si="11"/>
        <v>woobat</v>
      </c>
      <c r="C664" s="5" t="str">
        <f t="shared" si="2"/>
        <v/>
      </c>
    </row>
    <row r="665" ht="45.0" customHeight="1">
      <c r="A665" s="6" t="s">
        <v>679</v>
      </c>
      <c r="B665" s="4" t="str">
        <f t="shared" si="11"/>
        <v>swoobat</v>
      </c>
      <c r="C665" s="5" t="str">
        <f t="shared" si="2"/>
        <v/>
      </c>
    </row>
    <row r="666" ht="45.0" customHeight="1">
      <c r="A666" s="6" t="s">
        <v>680</v>
      </c>
      <c r="B666" s="4" t="str">
        <f t="shared" si="11"/>
        <v>drilbur</v>
      </c>
      <c r="C666" s="5" t="str">
        <f t="shared" si="2"/>
        <v/>
      </c>
    </row>
    <row r="667" ht="45.0" customHeight="1">
      <c r="A667" s="6" t="s">
        <v>681</v>
      </c>
      <c r="B667" s="4" t="str">
        <f t="shared" si="11"/>
        <v>excadrill</v>
      </c>
      <c r="C667" s="5" t="str">
        <f t="shared" si="2"/>
        <v/>
      </c>
    </row>
    <row r="668" ht="45.0" customHeight="1">
      <c r="A668" s="6" t="s">
        <v>682</v>
      </c>
      <c r="B668" s="4" t="str">
        <f t="shared" si="11"/>
        <v>audino</v>
      </c>
      <c r="C668" s="5" t="str">
        <f t="shared" si="2"/>
        <v/>
      </c>
    </row>
    <row r="669" ht="45.0" customHeight="1">
      <c r="A669" s="4" t="s">
        <v>683</v>
      </c>
      <c r="B669" s="4" t="str">
        <f t="shared" si="11"/>
        <v>audino-mega</v>
      </c>
      <c r="C669" s="5" t="str">
        <f t="shared" si="2"/>
        <v/>
      </c>
    </row>
    <row r="670" ht="45.0" customHeight="1">
      <c r="A670" s="6" t="s">
        <v>684</v>
      </c>
      <c r="B670" s="4" t="str">
        <f t="shared" si="11"/>
        <v>timburr</v>
      </c>
      <c r="C670" s="5" t="str">
        <f t="shared" si="2"/>
        <v/>
      </c>
    </row>
    <row r="671" ht="45.0" customHeight="1">
      <c r="A671" s="6" t="s">
        <v>685</v>
      </c>
      <c r="B671" s="4" t="str">
        <f t="shared" si="11"/>
        <v>gurdurr</v>
      </c>
      <c r="C671" s="5" t="str">
        <f t="shared" si="2"/>
        <v/>
      </c>
    </row>
    <row r="672" ht="45.0" customHeight="1">
      <c r="A672" s="6" t="s">
        <v>686</v>
      </c>
      <c r="B672" s="4" t="str">
        <f t="shared" si="11"/>
        <v>conkeldurr</v>
      </c>
      <c r="C672" s="5" t="str">
        <f t="shared" si="2"/>
        <v/>
      </c>
    </row>
    <row r="673" ht="45.0" customHeight="1">
      <c r="A673" s="6" t="s">
        <v>687</v>
      </c>
      <c r="B673" s="4" t="str">
        <f t="shared" si="11"/>
        <v>tympole</v>
      </c>
      <c r="C673" s="5" t="str">
        <f t="shared" si="2"/>
        <v/>
      </c>
    </row>
    <row r="674" ht="45.0" customHeight="1">
      <c r="A674" s="6" t="s">
        <v>688</v>
      </c>
      <c r="B674" s="4" t="str">
        <f t="shared" si="11"/>
        <v>palpitoad</v>
      </c>
      <c r="C674" s="5" t="str">
        <f t="shared" si="2"/>
        <v/>
      </c>
    </row>
    <row r="675" ht="45.0" customHeight="1">
      <c r="A675" s="6" t="s">
        <v>689</v>
      </c>
      <c r="B675" s="4" t="str">
        <f t="shared" si="11"/>
        <v>seismitoad</v>
      </c>
      <c r="C675" s="5" t="str">
        <f t="shared" si="2"/>
        <v/>
      </c>
    </row>
    <row r="676" ht="45.0" customHeight="1">
      <c r="A676" s="6" t="s">
        <v>690</v>
      </c>
      <c r="B676" s="4" t="str">
        <f t="shared" si="11"/>
        <v>throh</v>
      </c>
      <c r="C676" s="5" t="str">
        <f t="shared" si="2"/>
        <v/>
      </c>
    </row>
    <row r="677" ht="45.0" customHeight="1">
      <c r="A677" s="6" t="s">
        <v>691</v>
      </c>
      <c r="B677" s="4" t="str">
        <f t="shared" si="11"/>
        <v>sawk</v>
      </c>
      <c r="C677" s="5" t="str">
        <f t="shared" si="2"/>
        <v/>
      </c>
    </row>
    <row r="678" ht="45.0" customHeight="1">
      <c r="A678" s="6" t="s">
        <v>692</v>
      </c>
      <c r="B678" s="4" t="str">
        <f t="shared" si="11"/>
        <v>sewaddle</v>
      </c>
      <c r="C678" s="5" t="str">
        <f t="shared" si="2"/>
        <v/>
      </c>
    </row>
    <row r="679" ht="45.0" customHeight="1">
      <c r="A679" s="6" t="s">
        <v>693</v>
      </c>
      <c r="B679" s="4" t="str">
        <f t="shared" si="11"/>
        <v>swadloon</v>
      </c>
      <c r="C679" s="5" t="str">
        <f t="shared" si="2"/>
        <v/>
      </c>
    </row>
    <row r="680" ht="45.0" customHeight="1">
      <c r="A680" s="6" t="s">
        <v>694</v>
      </c>
      <c r="B680" s="4" t="str">
        <f t="shared" si="11"/>
        <v>leavanny</v>
      </c>
      <c r="C680" s="5" t="str">
        <f t="shared" si="2"/>
        <v/>
      </c>
    </row>
    <row r="681" ht="45.0" customHeight="1">
      <c r="A681" s="6" t="s">
        <v>695</v>
      </c>
      <c r="B681" s="4" t="str">
        <f t="shared" si="11"/>
        <v>venipede</v>
      </c>
      <c r="C681" s="5" t="str">
        <f t="shared" si="2"/>
        <v/>
      </c>
    </row>
    <row r="682" ht="45.0" customHeight="1">
      <c r="A682" s="6" t="s">
        <v>696</v>
      </c>
      <c r="B682" s="4" t="str">
        <f t="shared" si="11"/>
        <v>whirlipede</v>
      </c>
      <c r="C682" s="5" t="str">
        <f t="shared" si="2"/>
        <v/>
      </c>
    </row>
    <row r="683" ht="45.0" customHeight="1">
      <c r="A683" s="6" t="s">
        <v>697</v>
      </c>
      <c r="B683" s="4" t="str">
        <f t="shared" si="11"/>
        <v>scolipede</v>
      </c>
      <c r="C683" s="5" t="str">
        <f t="shared" si="2"/>
        <v/>
      </c>
    </row>
    <row r="684" ht="45.0" customHeight="1">
      <c r="A684" s="6" t="s">
        <v>698</v>
      </c>
      <c r="B684" s="4" t="str">
        <f t="shared" si="11"/>
        <v>cottonee</v>
      </c>
      <c r="C684" s="5" t="str">
        <f t="shared" si="2"/>
        <v/>
      </c>
    </row>
    <row r="685" ht="45.0" customHeight="1">
      <c r="A685" s="6" t="s">
        <v>699</v>
      </c>
      <c r="B685" s="4" t="str">
        <f t="shared" si="11"/>
        <v>whimsicott</v>
      </c>
      <c r="C685" s="5" t="str">
        <f t="shared" si="2"/>
        <v/>
      </c>
    </row>
    <row r="686" ht="45.0" customHeight="1">
      <c r="A686" s="6" t="s">
        <v>700</v>
      </c>
      <c r="B686" s="4" t="str">
        <f t="shared" si="11"/>
        <v>petilil</v>
      </c>
      <c r="C686" s="5" t="str">
        <f t="shared" si="2"/>
        <v/>
      </c>
    </row>
    <row r="687" ht="45.0" customHeight="1">
      <c r="A687" s="6" t="s">
        <v>701</v>
      </c>
      <c r="B687" s="4" t="str">
        <f t="shared" si="11"/>
        <v>lilligant</v>
      </c>
      <c r="C687" s="5" t="str">
        <f t="shared" si="2"/>
        <v/>
      </c>
    </row>
    <row r="688" ht="45.0" customHeight="1">
      <c r="A688" s="9" t="s">
        <v>702</v>
      </c>
      <c r="B688" s="4" t="str">
        <f t="shared" si="11"/>
        <v>lilligant-hisui</v>
      </c>
      <c r="C688" s="5" t="str">
        <f t="shared" si="2"/>
        <v/>
      </c>
    </row>
    <row r="689" ht="45.0" customHeight="1">
      <c r="A689" s="6" t="s">
        <v>703</v>
      </c>
      <c r="B689" s="4" t="str">
        <f t="shared" si="11"/>
        <v>basculin</v>
      </c>
      <c r="C689" s="5" t="str">
        <f t="shared" si="2"/>
        <v/>
      </c>
    </row>
    <row r="690" ht="45.0" customHeight="1">
      <c r="A690" s="6" t="s">
        <v>704</v>
      </c>
      <c r="B690" s="4" t="str">
        <f t="shared" si="11"/>
        <v>sandile</v>
      </c>
      <c r="C690" s="5" t="str">
        <f t="shared" si="2"/>
        <v/>
      </c>
    </row>
    <row r="691" ht="45.0" customHeight="1">
      <c r="A691" s="6" t="s">
        <v>705</v>
      </c>
      <c r="B691" s="4" t="str">
        <f t="shared" si="11"/>
        <v>krokorok</v>
      </c>
      <c r="C691" s="5" t="str">
        <f t="shared" si="2"/>
        <v/>
      </c>
    </row>
    <row r="692" ht="45.0" customHeight="1">
      <c r="A692" s="6" t="s">
        <v>706</v>
      </c>
      <c r="B692" s="4" t="str">
        <f t="shared" si="11"/>
        <v>krookodile</v>
      </c>
      <c r="C692" s="5" t="str">
        <f t="shared" si="2"/>
        <v/>
      </c>
    </row>
    <row r="693" ht="45.0" customHeight="1">
      <c r="A693" s="6" t="s">
        <v>707</v>
      </c>
      <c r="B693" s="4" t="str">
        <f t="shared" si="11"/>
        <v>darumaka</v>
      </c>
      <c r="C693" s="5" t="str">
        <f t="shared" si="2"/>
        <v/>
      </c>
    </row>
    <row r="694" ht="45.0" customHeight="1">
      <c r="A694" s="4" t="s">
        <v>708</v>
      </c>
      <c r="B694" s="4" t="str">
        <f t="shared" si="11"/>
        <v>darumaka-galar</v>
      </c>
      <c r="C694" s="5" t="str">
        <f t="shared" si="2"/>
        <v/>
      </c>
    </row>
    <row r="695" ht="45.0" customHeight="1">
      <c r="A695" s="6" t="s">
        <v>709</v>
      </c>
      <c r="B695" s="4" t="str">
        <f t="shared" si="11"/>
        <v>darmanitan</v>
      </c>
      <c r="C695" s="5" t="str">
        <f t="shared" si="2"/>
        <v/>
      </c>
    </row>
    <row r="696" ht="45.0" customHeight="1">
      <c r="A696" s="4" t="s">
        <v>710</v>
      </c>
      <c r="B696" s="4" t="str">
        <f t="shared" si="11"/>
        <v>darmanitan-galar</v>
      </c>
      <c r="C696" s="5" t="str">
        <f t="shared" si="2"/>
        <v/>
      </c>
    </row>
    <row r="697" ht="45.0" customHeight="1">
      <c r="A697" s="6" t="s">
        <v>711</v>
      </c>
      <c r="B697" s="4" t="str">
        <f t="shared" si="11"/>
        <v>maractus</v>
      </c>
      <c r="C697" s="5" t="str">
        <f t="shared" si="2"/>
        <v/>
      </c>
    </row>
    <row r="698" ht="45.0" customHeight="1">
      <c r="A698" s="6" t="s">
        <v>712</v>
      </c>
      <c r="B698" s="4" t="str">
        <f t="shared" si="11"/>
        <v>dwebble</v>
      </c>
      <c r="C698" s="5" t="str">
        <f t="shared" si="2"/>
        <v/>
      </c>
    </row>
    <row r="699" ht="45.0" customHeight="1">
      <c r="A699" s="6" t="s">
        <v>713</v>
      </c>
      <c r="B699" s="4" t="str">
        <f t="shared" si="11"/>
        <v>crustle</v>
      </c>
      <c r="C699" s="5" t="str">
        <f t="shared" si="2"/>
        <v/>
      </c>
    </row>
    <row r="700" ht="45.0" customHeight="1">
      <c r="A700" s="6" t="s">
        <v>714</v>
      </c>
      <c r="B700" s="4" t="str">
        <f t="shared" si="11"/>
        <v>scraggy</v>
      </c>
      <c r="C700" s="5" t="str">
        <f t="shared" si="2"/>
        <v/>
      </c>
    </row>
    <row r="701" ht="45.0" customHeight="1">
      <c r="A701" s="6" t="s">
        <v>715</v>
      </c>
      <c r="B701" s="4" t="str">
        <f t="shared" si="11"/>
        <v>scrafty</v>
      </c>
      <c r="C701" s="5" t="str">
        <f t="shared" si="2"/>
        <v/>
      </c>
    </row>
    <row r="702" ht="45.0" customHeight="1">
      <c r="A702" s="6" t="s">
        <v>716</v>
      </c>
      <c r="B702" s="4" t="str">
        <f t="shared" si="11"/>
        <v>sigilyph</v>
      </c>
      <c r="C702" s="5" t="str">
        <f t="shared" si="2"/>
        <v/>
      </c>
    </row>
    <row r="703" ht="45.0" customHeight="1">
      <c r="A703" s="6" t="s">
        <v>717</v>
      </c>
      <c r="B703" s="4" t="str">
        <f t="shared" si="11"/>
        <v>yamask</v>
      </c>
      <c r="C703" s="5" t="str">
        <f t="shared" si="2"/>
        <v/>
      </c>
    </row>
    <row r="704" ht="45.0" customHeight="1">
      <c r="A704" s="4" t="s">
        <v>718</v>
      </c>
      <c r="B704" s="4" t="str">
        <f t="shared" si="11"/>
        <v>yamask-galar</v>
      </c>
      <c r="C704" s="5" t="str">
        <f t="shared" si="2"/>
        <v/>
      </c>
    </row>
    <row r="705" ht="45.0" customHeight="1">
      <c r="A705" s="6" t="s">
        <v>719</v>
      </c>
      <c r="B705" s="4" t="str">
        <f t="shared" si="11"/>
        <v>cofagrigus</v>
      </c>
      <c r="C705" s="5" t="str">
        <f t="shared" si="2"/>
        <v/>
      </c>
    </row>
    <row r="706" ht="45.0" customHeight="1">
      <c r="A706" s="6" t="s">
        <v>720</v>
      </c>
      <c r="B706" s="4" t="str">
        <f t="shared" si="11"/>
        <v>tirtouga</v>
      </c>
      <c r="C706" s="5" t="str">
        <f t="shared" si="2"/>
        <v/>
      </c>
    </row>
    <row r="707" ht="45.0" customHeight="1">
      <c r="A707" s="6" t="s">
        <v>721</v>
      </c>
      <c r="B707" s="4" t="str">
        <f t="shared" si="11"/>
        <v>carracosta</v>
      </c>
      <c r="C707" s="5" t="str">
        <f t="shared" si="2"/>
        <v/>
      </c>
    </row>
    <row r="708" ht="45.0" customHeight="1">
      <c r="A708" s="6" t="s">
        <v>722</v>
      </c>
      <c r="B708" s="4" t="str">
        <f t="shared" si="11"/>
        <v>archen</v>
      </c>
      <c r="C708" s="5" t="str">
        <f t="shared" si="2"/>
        <v/>
      </c>
    </row>
    <row r="709" ht="45.0" customHeight="1">
      <c r="A709" s="6" t="s">
        <v>723</v>
      </c>
      <c r="B709" s="4" t="str">
        <f t="shared" si="11"/>
        <v>archeops</v>
      </c>
      <c r="C709" s="5" t="str">
        <f t="shared" si="2"/>
        <v/>
      </c>
    </row>
    <row r="710" ht="45.0" customHeight="1">
      <c r="A710" s="6" t="s">
        <v>724</v>
      </c>
      <c r="B710" s="4" t="str">
        <f t="shared" si="11"/>
        <v>trubbish</v>
      </c>
      <c r="C710" s="5" t="str">
        <f t="shared" si="2"/>
        <v/>
      </c>
    </row>
    <row r="711" ht="45.0" customHeight="1">
      <c r="A711" s="6" t="s">
        <v>725</v>
      </c>
      <c r="B711" s="4" t="str">
        <f t="shared" si="11"/>
        <v>garbodor</v>
      </c>
      <c r="C711" s="5" t="str">
        <f t="shared" si="2"/>
        <v/>
      </c>
    </row>
    <row r="712" ht="45.0" customHeight="1">
      <c r="A712" s="6" t="s">
        <v>726</v>
      </c>
      <c r="B712" s="4" t="str">
        <f t="shared" si="11"/>
        <v>garbodor-gmax</v>
      </c>
      <c r="C712" s="5" t="str">
        <f t="shared" si="2"/>
        <v/>
      </c>
    </row>
    <row r="713" ht="45.0" customHeight="1">
      <c r="A713" s="6" t="s">
        <v>727</v>
      </c>
      <c r="B713" s="4" t="str">
        <f t="shared" si="11"/>
        <v>zorua</v>
      </c>
      <c r="C713" s="5" t="str">
        <f t="shared" si="2"/>
        <v/>
      </c>
    </row>
    <row r="714" ht="45.0" customHeight="1">
      <c r="A714" s="9" t="s">
        <v>728</v>
      </c>
      <c r="B714" s="4" t="str">
        <f t="shared" si="11"/>
        <v>zorua-hisui</v>
      </c>
      <c r="C714" s="5" t="str">
        <f t="shared" si="2"/>
        <v/>
      </c>
    </row>
    <row r="715" ht="45.0" customHeight="1">
      <c r="A715" s="9" t="s">
        <v>729</v>
      </c>
      <c r="B715" s="4" t="str">
        <f t="shared" si="11"/>
        <v>zoroark-hisui</v>
      </c>
      <c r="C715" s="5" t="str">
        <f t="shared" si="2"/>
        <v/>
      </c>
    </row>
    <row r="716" ht="45.0" customHeight="1">
      <c r="A716" s="6" t="s">
        <v>730</v>
      </c>
      <c r="B716" s="4" t="str">
        <f t="shared" si="11"/>
        <v>zoroark</v>
      </c>
      <c r="C716" s="5" t="str">
        <f t="shared" si="2"/>
        <v/>
      </c>
    </row>
    <row r="717" ht="45.0" customHeight="1">
      <c r="A717" s="6" t="s">
        <v>731</v>
      </c>
      <c r="B717" s="4" t="str">
        <f t="shared" si="11"/>
        <v>minccino</v>
      </c>
      <c r="C717" s="5" t="str">
        <f t="shared" si="2"/>
        <v/>
      </c>
    </row>
    <row r="718" ht="45.0" customHeight="1">
      <c r="A718" s="6" t="s">
        <v>732</v>
      </c>
      <c r="B718" s="4" t="str">
        <f t="shared" si="11"/>
        <v>cinccino</v>
      </c>
      <c r="C718" s="5" t="str">
        <f t="shared" si="2"/>
        <v/>
      </c>
    </row>
    <row r="719" ht="45.0" customHeight="1">
      <c r="A719" s="6" t="s">
        <v>733</v>
      </c>
      <c r="B719" s="4" t="str">
        <f t="shared" si="11"/>
        <v>gothita</v>
      </c>
      <c r="C719" s="5" t="str">
        <f t="shared" si="2"/>
        <v/>
      </c>
    </row>
    <row r="720" ht="45.0" customHeight="1">
      <c r="A720" s="6" t="s">
        <v>734</v>
      </c>
      <c r="B720" s="4" t="str">
        <f t="shared" si="11"/>
        <v>gothorita</v>
      </c>
      <c r="C720" s="5" t="str">
        <f t="shared" si="2"/>
        <v/>
      </c>
    </row>
    <row r="721" ht="45.0" customHeight="1">
      <c r="A721" s="6" t="s">
        <v>735</v>
      </c>
      <c r="B721" s="4" t="str">
        <f t="shared" si="11"/>
        <v>gothitelle</v>
      </c>
      <c r="C721" s="5" t="str">
        <f t="shared" si="2"/>
        <v/>
      </c>
    </row>
    <row r="722" ht="45.0" customHeight="1">
      <c r="A722" s="6" t="s">
        <v>736</v>
      </c>
      <c r="B722" s="4" t="str">
        <f t="shared" si="11"/>
        <v>solosis</v>
      </c>
      <c r="C722" s="5" t="str">
        <f t="shared" si="2"/>
        <v/>
      </c>
    </row>
    <row r="723" ht="45.0" customHeight="1">
      <c r="A723" s="6" t="s">
        <v>737</v>
      </c>
      <c r="B723" s="4" t="str">
        <f t="shared" si="11"/>
        <v>duosion</v>
      </c>
      <c r="C723" s="5" t="str">
        <f t="shared" si="2"/>
        <v/>
      </c>
    </row>
    <row r="724" ht="45.0" customHeight="1">
      <c r="A724" s="6" t="s">
        <v>738</v>
      </c>
      <c r="B724" s="4" t="str">
        <f t="shared" si="11"/>
        <v>reuniclus</v>
      </c>
      <c r="C724" s="5" t="str">
        <f t="shared" si="2"/>
        <v/>
      </c>
    </row>
    <row r="725" ht="45.0" customHeight="1">
      <c r="A725" s="6" t="s">
        <v>739</v>
      </c>
      <c r="B725" s="4" t="str">
        <f t="shared" si="11"/>
        <v>ducklett</v>
      </c>
      <c r="C725" s="5" t="str">
        <f t="shared" si="2"/>
        <v/>
      </c>
    </row>
    <row r="726" ht="45.0" customHeight="1">
      <c r="A726" s="6" t="s">
        <v>740</v>
      </c>
      <c r="B726" s="4" t="str">
        <f t="shared" si="11"/>
        <v>swanna</v>
      </c>
      <c r="C726" s="5" t="str">
        <f t="shared" si="2"/>
        <v/>
      </c>
    </row>
    <row r="727" ht="45.0" customHeight="1">
      <c r="A727" s="6" t="s">
        <v>741</v>
      </c>
      <c r="B727" s="4" t="str">
        <f t="shared" si="11"/>
        <v>vanillite</v>
      </c>
      <c r="C727" s="5" t="str">
        <f t="shared" si="2"/>
        <v/>
      </c>
    </row>
    <row r="728" ht="45.0" customHeight="1">
      <c r="A728" s="6" t="s">
        <v>742</v>
      </c>
      <c r="B728" s="4" t="str">
        <f t="shared" si="11"/>
        <v>vanillish</v>
      </c>
      <c r="C728" s="5" t="str">
        <f t="shared" si="2"/>
        <v/>
      </c>
    </row>
    <row r="729" ht="45.0" customHeight="1">
      <c r="A729" s="6" t="s">
        <v>743</v>
      </c>
      <c r="B729" s="4" t="str">
        <f t="shared" si="11"/>
        <v>vanilluxe</v>
      </c>
      <c r="C729" s="5" t="str">
        <f t="shared" si="2"/>
        <v/>
      </c>
    </row>
    <row r="730" ht="45.0" customHeight="1">
      <c r="A730" s="6" t="s">
        <v>744</v>
      </c>
      <c r="B730" s="4" t="str">
        <f t="shared" si="11"/>
        <v>deerling</v>
      </c>
      <c r="C730" s="5" t="str">
        <f t="shared" si="2"/>
        <v/>
      </c>
    </row>
    <row r="731" ht="45.0" customHeight="1">
      <c r="A731" s="6" t="s">
        <v>745</v>
      </c>
      <c r="B731" s="4" t="str">
        <f t="shared" si="11"/>
        <v>sawsbuck</v>
      </c>
      <c r="C731" s="5" t="str">
        <f t="shared" si="2"/>
        <v/>
      </c>
    </row>
    <row r="732" ht="45.0" customHeight="1">
      <c r="A732" s="6" t="s">
        <v>746</v>
      </c>
      <c r="B732" s="4" t="str">
        <f t="shared" si="11"/>
        <v>emolga</v>
      </c>
      <c r="C732" s="5" t="str">
        <f t="shared" si="2"/>
        <v/>
      </c>
    </row>
    <row r="733" ht="45.0" customHeight="1">
      <c r="A733" s="6" t="s">
        <v>747</v>
      </c>
      <c r="B733" s="4" t="str">
        <f t="shared" si="11"/>
        <v>karrablast</v>
      </c>
      <c r="C733" s="5" t="str">
        <f t="shared" si="2"/>
        <v/>
      </c>
    </row>
    <row r="734" ht="45.0" customHeight="1">
      <c r="A734" s="6" t="s">
        <v>748</v>
      </c>
      <c r="B734" s="4" t="str">
        <f t="shared" si="11"/>
        <v>escavalier</v>
      </c>
      <c r="C734" s="5" t="str">
        <f t="shared" si="2"/>
        <v/>
      </c>
    </row>
    <row r="735" ht="45.0" customHeight="1">
      <c r="A735" s="6" t="s">
        <v>749</v>
      </c>
      <c r="B735" s="4" t="str">
        <f t="shared" si="11"/>
        <v>foongus</v>
      </c>
      <c r="C735" s="5" t="str">
        <f t="shared" si="2"/>
        <v/>
      </c>
    </row>
    <row r="736" ht="45.0" customHeight="1">
      <c r="A736" s="6" t="s">
        <v>750</v>
      </c>
      <c r="B736" s="4" t="str">
        <f t="shared" si="11"/>
        <v>amoonguss</v>
      </c>
      <c r="C736" s="5" t="str">
        <f t="shared" si="2"/>
        <v/>
      </c>
    </row>
    <row r="737" ht="45.0" customHeight="1">
      <c r="A737" s="6" t="s">
        <v>751</v>
      </c>
      <c r="B737" s="4" t="str">
        <f t="shared" si="11"/>
        <v>frillish</v>
      </c>
      <c r="C737" s="5" t="str">
        <f t="shared" si="2"/>
        <v/>
      </c>
    </row>
    <row r="738" ht="45.0" customHeight="1">
      <c r="A738" s="6" t="s">
        <v>752</v>
      </c>
      <c r="B738" s="4" t="str">
        <f t="shared" si="11"/>
        <v>jellicent</v>
      </c>
      <c r="C738" s="5" t="str">
        <f t="shared" si="2"/>
        <v/>
      </c>
    </row>
    <row r="739" ht="45.0" customHeight="1">
      <c r="A739" s="6" t="s">
        <v>753</v>
      </c>
      <c r="B739" s="4" t="str">
        <f t="shared" si="11"/>
        <v>alomomola</v>
      </c>
      <c r="C739" s="5" t="str">
        <f t="shared" si="2"/>
        <v/>
      </c>
    </row>
    <row r="740" ht="45.0" customHeight="1">
      <c r="A740" s="6" t="s">
        <v>754</v>
      </c>
      <c r="B740" s="4" t="str">
        <f t="shared" si="11"/>
        <v>joltik</v>
      </c>
      <c r="C740" s="5" t="str">
        <f t="shared" si="2"/>
        <v/>
      </c>
    </row>
    <row r="741" ht="45.0" customHeight="1">
      <c r="A741" s="6" t="s">
        <v>755</v>
      </c>
      <c r="B741" s="4" t="str">
        <f t="shared" si="11"/>
        <v>galvantula</v>
      </c>
      <c r="C741" s="5" t="str">
        <f t="shared" si="2"/>
        <v/>
      </c>
    </row>
    <row r="742" ht="45.0" customHeight="1">
      <c r="A742" s="6" t="s">
        <v>756</v>
      </c>
      <c r="B742" s="4" t="str">
        <f t="shared" si="11"/>
        <v>ferroseed</v>
      </c>
      <c r="C742" s="5" t="str">
        <f t="shared" si="2"/>
        <v/>
      </c>
    </row>
    <row r="743" ht="45.0" customHeight="1">
      <c r="A743" s="6" t="s">
        <v>757</v>
      </c>
      <c r="B743" s="4" t="str">
        <f t="shared" si="11"/>
        <v>ferrothorn</v>
      </c>
      <c r="C743" s="5" t="str">
        <f t="shared" si="2"/>
        <v/>
      </c>
    </row>
    <row r="744" ht="45.0" customHeight="1">
      <c r="A744" s="6" t="s">
        <v>758</v>
      </c>
      <c r="B744" s="4" t="str">
        <f t="shared" si="11"/>
        <v>klink</v>
      </c>
      <c r="C744" s="5" t="str">
        <f t="shared" si="2"/>
        <v/>
      </c>
    </row>
    <row r="745" ht="45.0" customHeight="1">
      <c r="A745" s="6" t="s">
        <v>759</v>
      </c>
      <c r="B745" s="4" t="str">
        <f t="shared" si="11"/>
        <v>klang</v>
      </c>
      <c r="C745" s="5" t="str">
        <f t="shared" si="2"/>
        <v/>
      </c>
    </row>
    <row r="746" ht="45.0" customHeight="1">
      <c r="A746" s="6" t="s">
        <v>760</v>
      </c>
      <c r="B746" s="4" t="str">
        <f t="shared" si="11"/>
        <v>klinklang</v>
      </c>
      <c r="C746" s="5" t="str">
        <f t="shared" si="2"/>
        <v/>
      </c>
    </row>
    <row r="747" ht="45.0" customHeight="1">
      <c r="A747" s="6" t="s">
        <v>761</v>
      </c>
      <c r="B747" s="4" t="str">
        <f t="shared" si="11"/>
        <v>tynamo</v>
      </c>
      <c r="C747" s="5" t="str">
        <f t="shared" si="2"/>
        <v/>
      </c>
    </row>
    <row r="748" ht="45.0" customHeight="1">
      <c r="A748" s="6" t="s">
        <v>762</v>
      </c>
      <c r="B748" s="4" t="str">
        <f t="shared" si="11"/>
        <v>eelektrik</v>
      </c>
      <c r="C748" s="5" t="str">
        <f t="shared" si="2"/>
        <v/>
      </c>
    </row>
    <row r="749" ht="45.0" customHeight="1">
      <c r="A749" s="6" t="s">
        <v>763</v>
      </c>
      <c r="B749" s="4" t="str">
        <f t="shared" si="11"/>
        <v>eelektross</v>
      </c>
      <c r="C749" s="5" t="str">
        <f t="shared" si="2"/>
        <v/>
      </c>
    </row>
    <row r="750" ht="45.0" customHeight="1">
      <c r="A750" s="6" t="s">
        <v>764</v>
      </c>
      <c r="B750" s="4" t="str">
        <f t="shared" si="11"/>
        <v>elgyem</v>
      </c>
      <c r="C750" s="5" t="str">
        <f t="shared" si="2"/>
        <v/>
      </c>
    </row>
    <row r="751" ht="45.0" customHeight="1">
      <c r="A751" s="6" t="s">
        <v>765</v>
      </c>
      <c r="B751" s="4" t="str">
        <f t="shared" si="11"/>
        <v>beheeyem</v>
      </c>
      <c r="C751" s="5" t="str">
        <f t="shared" si="2"/>
        <v/>
      </c>
    </row>
    <row r="752" ht="45.0" customHeight="1">
      <c r="A752" s="6" t="s">
        <v>766</v>
      </c>
      <c r="B752" s="4" t="str">
        <f t="shared" si="11"/>
        <v>litwick</v>
      </c>
      <c r="C752" s="5" t="str">
        <f t="shared" si="2"/>
        <v/>
      </c>
    </row>
    <row r="753" ht="45.0" customHeight="1">
      <c r="A753" s="6" t="s">
        <v>767</v>
      </c>
      <c r="B753" s="4" t="str">
        <f t="shared" si="11"/>
        <v>lampent</v>
      </c>
      <c r="C753" s="5" t="str">
        <f t="shared" si="2"/>
        <v/>
      </c>
    </row>
    <row r="754" ht="45.0" customHeight="1">
      <c r="A754" s="6" t="s">
        <v>768</v>
      </c>
      <c r="B754" s="4" t="str">
        <f t="shared" si="11"/>
        <v>chandelure</v>
      </c>
      <c r="C754" s="5" t="str">
        <f t="shared" si="2"/>
        <v/>
      </c>
    </row>
    <row r="755" ht="45.0" customHeight="1">
      <c r="A755" s="6" t="s">
        <v>769</v>
      </c>
      <c r="B755" s="4" t="str">
        <f t="shared" si="11"/>
        <v>axew</v>
      </c>
      <c r="C755" s="5" t="str">
        <f t="shared" si="2"/>
        <v/>
      </c>
    </row>
    <row r="756" ht="45.0" customHeight="1">
      <c r="A756" s="6" t="s">
        <v>770</v>
      </c>
      <c r="B756" s="4" t="str">
        <f t="shared" si="11"/>
        <v>fraxure</v>
      </c>
      <c r="C756" s="5" t="str">
        <f t="shared" si="2"/>
        <v/>
      </c>
    </row>
    <row r="757" ht="45.0" customHeight="1">
      <c r="A757" s="6" t="s">
        <v>771</v>
      </c>
      <c r="B757" s="4" t="str">
        <f t="shared" si="11"/>
        <v>haxorus</v>
      </c>
      <c r="C757" s="5" t="str">
        <f t="shared" si="2"/>
        <v/>
      </c>
    </row>
    <row r="758" ht="45.0" customHeight="1">
      <c r="A758" s="6" t="s">
        <v>772</v>
      </c>
      <c r="B758" s="4" t="str">
        <f t="shared" si="11"/>
        <v>cubchoo</v>
      </c>
      <c r="C758" s="5" t="str">
        <f t="shared" si="2"/>
        <v/>
      </c>
    </row>
    <row r="759" ht="45.0" customHeight="1">
      <c r="A759" s="6" t="s">
        <v>773</v>
      </c>
      <c r="B759" s="4" t="str">
        <f t="shared" si="11"/>
        <v>beartic</v>
      </c>
      <c r="C759" s="5" t="str">
        <f t="shared" si="2"/>
        <v/>
      </c>
    </row>
    <row r="760" ht="45.0" customHeight="1">
      <c r="A760" s="6" t="s">
        <v>774</v>
      </c>
      <c r="B760" s="4" t="str">
        <f t="shared" si="11"/>
        <v>cryogonal</v>
      </c>
      <c r="C760" s="5" t="str">
        <f t="shared" si="2"/>
        <v/>
      </c>
    </row>
    <row r="761" ht="45.0" customHeight="1">
      <c r="A761" s="6" t="s">
        <v>775</v>
      </c>
      <c r="B761" s="4" t="str">
        <f t="shared" si="11"/>
        <v>shelmet</v>
      </c>
      <c r="C761" s="5" t="str">
        <f t="shared" si="2"/>
        <v/>
      </c>
    </row>
    <row r="762" ht="45.0" customHeight="1">
      <c r="A762" s="6" t="s">
        <v>776</v>
      </c>
      <c r="B762" s="4" t="str">
        <f t="shared" si="11"/>
        <v>accelgor</v>
      </c>
      <c r="C762" s="5" t="str">
        <f t="shared" si="2"/>
        <v/>
      </c>
    </row>
    <row r="763" ht="45.0" customHeight="1">
      <c r="A763" s="6" t="s">
        <v>777</v>
      </c>
      <c r="B763" s="4" t="str">
        <f t="shared" si="11"/>
        <v>stunfisk</v>
      </c>
      <c r="C763" s="5" t="str">
        <f t="shared" si="2"/>
        <v/>
      </c>
    </row>
    <row r="764" ht="45.0" customHeight="1">
      <c r="A764" s="4" t="s">
        <v>778</v>
      </c>
      <c r="B764" s="4" t="str">
        <f t="shared" si="11"/>
        <v>stunfisk-galar</v>
      </c>
      <c r="C764" s="5" t="str">
        <f t="shared" si="2"/>
        <v/>
      </c>
    </row>
    <row r="765" ht="45.0" customHeight="1">
      <c r="A765" s="6" t="s">
        <v>779</v>
      </c>
      <c r="B765" s="4" t="str">
        <f t="shared" si="11"/>
        <v>mienfoo</v>
      </c>
      <c r="C765" s="5" t="str">
        <f t="shared" si="2"/>
        <v/>
      </c>
    </row>
    <row r="766" ht="45.0" customHeight="1">
      <c r="A766" s="6" t="s">
        <v>780</v>
      </c>
      <c r="B766" s="4" t="str">
        <f t="shared" si="11"/>
        <v>mienshao</v>
      </c>
      <c r="C766" s="5" t="str">
        <f t="shared" si="2"/>
        <v/>
      </c>
    </row>
    <row r="767" ht="45.0" customHeight="1">
      <c r="A767" s="6" t="s">
        <v>781</v>
      </c>
      <c r="B767" s="4" t="str">
        <f t="shared" si="11"/>
        <v>druddigon</v>
      </c>
      <c r="C767" s="5" t="str">
        <f t="shared" si="2"/>
        <v/>
      </c>
    </row>
    <row r="768" ht="45.0" customHeight="1">
      <c r="A768" s="6" t="s">
        <v>782</v>
      </c>
      <c r="B768" s="4" t="str">
        <f t="shared" si="11"/>
        <v>golett</v>
      </c>
      <c r="C768" s="5" t="str">
        <f t="shared" si="2"/>
        <v/>
      </c>
    </row>
    <row r="769" ht="45.0" customHeight="1">
      <c r="A769" s="6" t="s">
        <v>783</v>
      </c>
      <c r="B769" s="4" t="str">
        <f t="shared" si="11"/>
        <v>golurk</v>
      </c>
      <c r="C769" s="5" t="str">
        <f t="shared" si="2"/>
        <v/>
      </c>
    </row>
    <row r="770" ht="45.0" customHeight="1">
      <c r="A770" s="6" t="s">
        <v>784</v>
      </c>
      <c r="B770" s="4" t="str">
        <f t="shared" si="11"/>
        <v>pawniard</v>
      </c>
      <c r="C770" s="5" t="str">
        <f t="shared" si="2"/>
        <v/>
      </c>
    </row>
    <row r="771" ht="45.0" customHeight="1">
      <c r="A771" s="6" t="s">
        <v>785</v>
      </c>
      <c r="B771" s="4" t="str">
        <f t="shared" si="11"/>
        <v>bisharp</v>
      </c>
      <c r="C771" s="5" t="str">
        <f t="shared" si="2"/>
        <v/>
      </c>
    </row>
    <row r="772" ht="45.0" customHeight="1">
      <c r="A772" s="6" t="s">
        <v>786</v>
      </c>
      <c r="B772" s="4" t="str">
        <f t="shared" si="11"/>
        <v>bouffalant</v>
      </c>
      <c r="C772" s="5" t="str">
        <f t="shared" si="2"/>
        <v/>
      </c>
    </row>
    <row r="773" ht="45.0" customHeight="1">
      <c r="A773" s="6" t="s">
        <v>787</v>
      </c>
      <c r="B773" s="4" t="str">
        <f t="shared" si="11"/>
        <v>rufflet</v>
      </c>
      <c r="C773" s="5" t="str">
        <f t="shared" si="2"/>
        <v/>
      </c>
    </row>
    <row r="774" ht="45.0" customHeight="1">
      <c r="A774" s="6" t="s">
        <v>788</v>
      </c>
      <c r="B774" s="4" t="str">
        <f t="shared" si="11"/>
        <v>braviary</v>
      </c>
      <c r="C774" s="5" t="str">
        <f t="shared" si="2"/>
        <v/>
      </c>
    </row>
    <row r="775" ht="45.0" customHeight="1">
      <c r="A775" s="9" t="s">
        <v>789</v>
      </c>
      <c r="B775" s="4" t="str">
        <f t="shared" si="11"/>
        <v>braviary-hisui</v>
      </c>
      <c r="C775" s="5" t="str">
        <f t="shared" si="2"/>
        <v/>
      </c>
    </row>
    <row r="776" ht="45.0" customHeight="1">
      <c r="A776" s="6" t="s">
        <v>790</v>
      </c>
      <c r="B776" s="4" t="str">
        <f t="shared" si="11"/>
        <v>vullaby</v>
      </c>
      <c r="C776" s="5" t="str">
        <f t="shared" si="2"/>
        <v/>
      </c>
    </row>
    <row r="777" ht="45.0" customHeight="1">
      <c r="A777" s="6" t="s">
        <v>791</v>
      </c>
      <c r="B777" s="4" t="str">
        <f t="shared" si="11"/>
        <v>mandibuzz</v>
      </c>
      <c r="C777" s="5" t="str">
        <f t="shared" si="2"/>
        <v/>
      </c>
    </row>
    <row r="778" ht="45.0" customHeight="1">
      <c r="A778" s="6" t="s">
        <v>792</v>
      </c>
      <c r="B778" s="4" t="str">
        <f t="shared" si="11"/>
        <v>heatmor</v>
      </c>
      <c r="C778" s="5" t="str">
        <f t="shared" si="2"/>
        <v/>
      </c>
    </row>
    <row r="779" ht="45.0" customHeight="1">
      <c r="A779" s="6" t="s">
        <v>793</v>
      </c>
      <c r="B779" s="4" t="str">
        <f t="shared" si="11"/>
        <v>durant</v>
      </c>
      <c r="C779" s="5" t="str">
        <f t="shared" si="2"/>
        <v/>
      </c>
    </row>
    <row r="780" ht="45.0" customHeight="1">
      <c r="A780" s="6" t="s">
        <v>794</v>
      </c>
      <c r="B780" s="4" t="str">
        <f t="shared" si="11"/>
        <v>deino</v>
      </c>
      <c r="C780" s="5" t="str">
        <f t="shared" si="2"/>
        <v/>
      </c>
    </row>
    <row r="781" ht="45.0" customHeight="1">
      <c r="A781" s="6" t="s">
        <v>795</v>
      </c>
      <c r="B781" s="4" t="str">
        <f t="shared" si="11"/>
        <v>zweilous</v>
      </c>
      <c r="C781" s="5" t="str">
        <f t="shared" si="2"/>
        <v/>
      </c>
    </row>
    <row r="782" ht="45.0" customHeight="1">
      <c r="A782" s="6" t="s">
        <v>796</v>
      </c>
      <c r="B782" s="4" t="str">
        <f t="shared" si="11"/>
        <v>hydreigon</v>
      </c>
      <c r="C782" s="5" t="str">
        <f t="shared" si="2"/>
        <v/>
      </c>
    </row>
    <row r="783" ht="45.0" customHeight="1">
      <c r="A783" s="6" t="s">
        <v>797</v>
      </c>
      <c r="B783" s="4" t="str">
        <f t="shared" si="11"/>
        <v>larvesta</v>
      </c>
      <c r="C783" s="5" t="str">
        <f t="shared" si="2"/>
        <v/>
      </c>
    </row>
    <row r="784" ht="45.0" customHeight="1">
      <c r="A784" s="6" t="s">
        <v>798</v>
      </c>
      <c r="B784" s="4" t="str">
        <f t="shared" si="11"/>
        <v>volcarona</v>
      </c>
      <c r="C784" s="5" t="str">
        <f t="shared" si="2"/>
        <v/>
      </c>
    </row>
    <row r="785" ht="45.0" customHeight="1">
      <c r="A785" s="6" t="s">
        <v>799</v>
      </c>
      <c r="B785" s="4" t="str">
        <f t="shared" si="11"/>
        <v>cobalion</v>
      </c>
      <c r="C785" s="5" t="str">
        <f t="shared" si="2"/>
        <v/>
      </c>
    </row>
    <row r="786" ht="45.0" customHeight="1">
      <c r="A786" s="6" t="s">
        <v>800</v>
      </c>
      <c r="B786" s="4" t="str">
        <f t="shared" si="11"/>
        <v>terrakion</v>
      </c>
      <c r="C786" s="5" t="str">
        <f t="shared" si="2"/>
        <v/>
      </c>
    </row>
    <row r="787" ht="45.0" customHeight="1">
      <c r="A787" s="6" t="s">
        <v>801</v>
      </c>
      <c r="B787" s="4" t="str">
        <f t="shared" si="11"/>
        <v>virizion</v>
      </c>
      <c r="C787" s="5" t="str">
        <f t="shared" si="2"/>
        <v/>
      </c>
    </row>
    <row r="788" ht="45.0" customHeight="1">
      <c r="A788" s="6" t="s">
        <v>802</v>
      </c>
      <c r="B788" s="4" t="str">
        <f t="shared" si="11"/>
        <v>tornadus</v>
      </c>
      <c r="C788" s="5" t="str">
        <f t="shared" si="2"/>
        <v/>
      </c>
    </row>
    <row r="789" ht="45.0" customHeight="1">
      <c r="A789" s="4" t="s">
        <v>803</v>
      </c>
      <c r="B789" s="4" t="s">
        <v>804</v>
      </c>
      <c r="C789" s="5" t="str">
        <f t="shared" si="2"/>
        <v/>
      </c>
    </row>
    <row r="790" ht="45.0" customHeight="1">
      <c r="A790" s="6" t="s">
        <v>805</v>
      </c>
      <c r="B790" s="4" t="str">
        <f>LOWER(A790)</f>
        <v>thundurus</v>
      </c>
      <c r="C790" s="5" t="str">
        <f t="shared" si="2"/>
        <v/>
      </c>
    </row>
    <row r="791" ht="45.0" customHeight="1">
      <c r="A791" s="4" t="s">
        <v>806</v>
      </c>
      <c r="B791" s="4" t="s">
        <v>807</v>
      </c>
      <c r="C791" s="5" t="str">
        <f t="shared" si="2"/>
        <v/>
      </c>
    </row>
    <row r="792" ht="45.0" customHeight="1">
      <c r="A792" s="6" t="s">
        <v>808</v>
      </c>
      <c r="B792" s="4" t="str">
        <f t="shared" ref="B792:B794" si="12">LOWER(A792)</f>
        <v>reshiram</v>
      </c>
      <c r="C792" s="5" t="str">
        <f t="shared" si="2"/>
        <v/>
      </c>
    </row>
    <row r="793" ht="45.0" customHeight="1">
      <c r="A793" s="6" t="s">
        <v>809</v>
      </c>
      <c r="B793" s="4" t="str">
        <f t="shared" si="12"/>
        <v>zekrom</v>
      </c>
      <c r="C793" s="5" t="str">
        <f t="shared" si="2"/>
        <v/>
      </c>
    </row>
    <row r="794" ht="45.0" customHeight="1">
      <c r="A794" s="6" t="s">
        <v>810</v>
      </c>
      <c r="B794" s="4" t="str">
        <f t="shared" si="12"/>
        <v>landorus</v>
      </c>
      <c r="C794" s="5" t="str">
        <f t="shared" si="2"/>
        <v/>
      </c>
    </row>
    <row r="795" ht="45.0" customHeight="1">
      <c r="A795" s="4" t="s">
        <v>811</v>
      </c>
      <c r="B795" s="4" t="s">
        <v>812</v>
      </c>
      <c r="C795" s="5" t="str">
        <f t="shared" si="2"/>
        <v/>
      </c>
    </row>
    <row r="796" ht="45.0" customHeight="1">
      <c r="A796" s="6" t="s">
        <v>813</v>
      </c>
      <c r="B796" s="4" t="str">
        <f t="shared" ref="B796:B881" si="13">LOWER(A796)</f>
        <v>kyurem</v>
      </c>
      <c r="C796" s="5" t="str">
        <f t="shared" si="2"/>
        <v/>
      </c>
    </row>
    <row r="797" ht="45.0" customHeight="1">
      <c r="A797" s="6" t="s">
        <v>814</v>
      </c>
      <c r="B797" s="4" t="str">
        <f t="shared" si="13"/>
        <v>kyurem-black</v>
      </c>
      <c r="C797" s="5" t="str">
        <f t="shared" si="2"/>
        <v/>
      </c>
    </row>
    <row r="798" ht="45.0" customHeight="1">
      <c r="A798" s="6" t="s">
        <v>815</v>
      </c>
      <c r="B798" s="4" t="str">
        <f t="shared" si="13"/>
        <v>kyurem-white</v>
      </c>
      <c r="C798" s="5" t="str">
        <f t="shared" si="2"/>
        <v/>
      </c>
    </row>
    <row r="799" ht="45.0" customHeight="1">
      <c r="A799" s="6" t="s">
        <v>816</v>
      </c>
      <c r="B799" s="4" t="str">
        <f t="shared" si="13"/>
        <v>keldeo</v>
      </c>
      <c r="C799" s="5" t="str">
        <f t="shared" si="2"/>
        <v/>
      </c>
    </row>
    <row r="800" ht="45.0" customHeight="1">
      <c r="A800" s="6" t="s">
        <v>817</v>
      </c>
      <c r="B800" s="4" t="str">
        <f t="shared" si="13"/>
        <v>meloetta</v>
      </c>
      <c r="C800" s="5" t="str">
        <f t="shared" si="2"/>
        <v/>
      </c>
    </row>
    <row r="801" ht="45.0" customHeight="1">
      <c r="A801" s="6" t="s">
        <v>818</v>
      </c>
      <c r="B801" s="4" t="str">
        <f t="shared" si="13"/>
        <v>meloetta-pirouette</v>
      </c>
      <c r="C801" s="5" t="str">
        <f t="shared" si="2"/>
        <v/>
      </c>
    </row>
    <row r="802" ht="45.0" customHeight="1">
      <c r="A802" s="6" t="s">
        <v>819</v>
      </c>
      <c r="B802" s="4" t="str">
        <f t="shared" si="13"/>
        <v>genesect</v>
      </c>
      <c r="C802" s="5" t="str">
        <f t="shared" si="2"/>
        <v/>
      </c>
    </row>
    <row r="803" ht="45.0" customHeight="1">
      <c r="A803" s="6" t="s">
        <v>820</v>
      </c>
      <c r="B803" s="4" t="str">
        <f t="shared" si="13"/>
        <v>chespin</v>
      </c>
      <c r="C803" s="5" t="str">
        <f t="shared" si="2"/>
        <v/>
      </c>
    </row>
    <row r="804" ht="45.0" customHeight="1">
      <c r="A804" s="6" t="s">
        <v>821</v>
      </c>
      <c r="B804" s="4" t="str">
        <f t="shared" si="13"/>
        <v>quilladin</v>
      </c>
      <c r="C804" s="5" t="str">
        <f t="shared" si="2"/>
        <v/>
      </c>
    </row>
    <row r="805" ht="45.0" customHeight="1">
      <c r="A805" s="6" t="s">
        <v>822</v>
      </c>
      <c r="B805" s="4" t="str">
        <f t="shared" si="13"/>
        <v>chesnaught</v>
      </c>
      <c r="C805" s="5" t="str">
        <f t="shared" si="2"/>
        <v/>
      </c>
    </row>
    <row r="806" ht="45.0" customHeight="1">
      <c r="A806" s="6" t="s">
        <v>823</v>
      </c>
      <c r="B806" s="4" t="str">
        <f t="shared" si="13"/>
        <v>fennekin</v>
      </c>
      <c r="C806" s="5" t="str">
        <f t="shared" si="2"/>
        <v/>
      </c>
    </row>
    <row r="807" ht="45.0" customHeight="1">
      <c r="A807" s="6" t="s">
        <v>824</v>
      </c>
      <c r="B807" s="4" t="str">
        <f t="shared" si="13"/>
        <v>braixen</v>
      </c>
      <c r="C807" s="5" t="str">
        <f t="shared" si="2"/>
        <v/>
      </c>
    </row>
    <row r="808" ht="45.0" customHeight="1">
      <c r="A808" s="6" t="s">
        <v>825</v>
      </c>
      <c r="B808" s="4" t="str">
        <f t="shared" si="13"/>
        <v>delphox</v>
      </c>
      <c r="C808" s="5" t="str">
        <f t="shared" si="2"/>
        <v/>
      </c>
    </row>
    <row r="809" ht="45.0" customHeight="1">
      <c r="A809" s="6" t="s">
        <v>826</v>
      </c>
      <c r="B809" s="4" t="str">
        <f t="shared" si="13"/>
        <v>froakie</v>
      </c>
      <c r="C809" s="5" t="str">
        <f t="shared" si="2"/>
        <v/>
      </c>
    </row>
    <row r="810" ht="45.0" customHeight="1">
      <c r="A810" s="6" t="s">
        <v>827</v>
      </c>
      <c r="B810" s="4" t="str">
        <f t="shared" si="13"/>
        <v>frogadier</v>
      </c>
      <c r="C810" s="5" t="str">
        <f t="shared" si="2"/>
        <v/>
      </c>
    </row>
    <row r="811" ht="45.0" customHeight="1">
      <c r="A811" s="6" t="s">
        <v>828</v>
      </c>
      <c r="B811" s="4" t="str">
        <f t="shared" si="13"/>
        <v>greninja</v>
      </c>
      <c r="C811" s="5" t="str">
        <f t="shared" si="2"/>
        <v/>
      </c>
    </row>
    <row r="812" ht="45.0" customHeight="1">
      <c r="A812" s="4" t="s">
        <v>829</v>
      </c>
      <c r="B812" s="4" t="str">
        <f t="shared" si="13"/>
        <v>greninja-ash</v>
      </c>
      <c r="C812" s="5" t="str">
        <f t="shared" si="2"/>
        <v/>
      </c>
    </row>
    <row r="813" ht="45.0" customHeight="1">
      <c r="A813" s="6" t="s">
        <v>830</v>
      </c>
      <c r="B813" s="4" t="str">
        <f t="shared" si="13"/>
        <v>bunnelby</v>
      </c>
      <c r="C813" s="5" t="str">
        <f t="shared" si="2"/>
        <v/>
      </c>
    </row>
    <row r="814" ht="45.0" customHeight="1">
      <c r="A814" s="6" t="s">
        <v>831</v>
      </c>
      <c r="B814" s="4" t="str">
        <f t="shared" si="13"/>
        <v>diggersby</v>
      </c>
      <c r="C814" s="5" t="str">
        <f t="shared" si="2"/>
        <v/>
      </c>
    </row>
    <row r="815" ht="45.0" customHeight="1">
      <c r="A815" s="6" t="s">
        <v>832</v>
      </c>
      <c r="B815" s="4" t="str">
        <f t="shared" si="13"/>
        <v>fletchling</v>
      </c>
      <c r="C815" s="5" t="str">
        <f t="shared" si="2"/>
        <v/>
      </c>
    </row>
    <row r="816" ht="45.0" customHeight="1">
      <c r="A816" s="6" t="s">
        <v>833</v>
      </c>
      <c r="B816" s="4" t="str">
        <f t="shared" si="13"/>
        <v>fletchinder</v>
      </c>
      <c r="C816" s="5" t="str">
        <f t="shared" si="2"/>
        <v/>
      </c>
    </row>
    <row r="817" ht="45.0" customHeight="1">
      <c r="A817" s="6" t="s">
        <v>834</v>
      </c>
      <c r="B817" s="4" t="str">
        <f t="shared" si="13"/>
        <v>talonflame</v>
      </c>
      <c r="C817" s="5" t="str">
        <f t="shared" si="2"/>
        <v/>
      </c>
    </row>
    <row r="818" ht="45.0" customHeight="1">
      <c r="A818" s="6" t="s">
        <v>835</v>
      </c>
      <c r="B818" s="4" t="str">
        <f t="shared" si="13"/>
        <v>scatterbug</v>
      </c>
      <c r="C818" s="5" t="str">
        <f t="shared" si="2"/>
        <v/>
      </c>
    </row>
    <row r="819" ht="45.0" customHeight="1">
      <c r="A819" s="6" t="s">
        <v>836</v>
      </c>
      <c r="B819" s="4" t="str">
        <f t="shared" si="13"/>
        <v>spewpa</v>
      </c>
      <c r="C819" s="5" t="str">
        <f t="shared" si="2"/>
        <v/>
      </c>
    </row>
    <row r="820" ht="45.0" customHeight="1">
      <c r="A820" s="6" t="s">
        <v>837</v>
      </c>
      <c r="B820" s="4" t="str">
        <f t="shared" si="13"/>
        <v>vivillon</v>
      </c>
      <c r="C820" s="5" t="str">
        <f t="shared" si="2"/>
        <v/>
      </c>
    </row>
    <row r="821" ht="45.0" customHeight="1">
      <c r="A821" s="6" t="s">
        <v>838</v>
      </c>
      <c r="B821" s="4" t="str">
        <f t="shared" si="13"/>
        <v>litleo</v>
      </c>
      <c r="C821" s="5" t="str">
        <f t="shared" si="2"/>
        <v/>
      </c>
    </row>
    <row r="822" ht="45.0" customHeight="1">
      <c r="A822" s="6" t="s">
        <v>839</v>
      </c>
      <c r="B822" s="4" t="str">
        <f t="shared" si="13"/>
        <v>pyroar</v>
      </c>
      <c r="C822" s="5" t="str">
        <f t="shared" si="2"/>
        <v/>
      </c>
    </row>
    <row r="823" ht="45.0" customHeight="1">
      <c r="A823" s="6" t="s">
        <v>840</v>
      </c>
      <c r="B823" s="4" t="str">
        <f t="shared" si="13"/>
        <v>flabebe</v>
      </c>
      <c r="C823" s="5" t="str">
        <f t="shared" si="2"/>
        <v/>
      </c>
    </row>
    <row r="824" ht="45.0" customHeight="1">
      <c r="A824" s="6" t="s">
        <v>841</v>
      </c>
      <c r="B824" s="4" t="str">
        <f t="shared" si="13"/>
        <v>floette</v>
      </c>
      <c r="C824" s="5" t="str">
        <f t="shared" si="2"/>
        <v/>
      </c>
    </row>
    <row r="825" ht="45.0" customHeight="1">
      <c r="A825" s="6" t="s">
        <v>842</v>
      </c>
      <c r="B825" s="4" t="str">
        <f t="shared" si="13"/>
        <v>floette-eternal</v>
      </c>
      <c r="C825" s="5" t="str">
        <f t="shared" si="2"/>
        <v/>
      </c>
    </row>
    <row r="826" ht="45.0" customHeight="1">
      <c r="A826" s="6" t="s">
        <v>843</v>
      </c>
      <c r="B826" s="4" t="str">
        <f t="shared" si="13"/>
        <v>florges</v>
      </c>
      <c r="C826" s="5" t="str">
        <f t="shared" si="2"/>
        <v/>
      </c>
    </row>
    <row r="827" ht="45.0" customHeight="1">
      <c r="A827" s="6" t="s">
        <v>844</v>
      </c>
      <c r="B827" s="4" t="str">
        <f t="shared" si="13"/>
        <v>skiddo</v>
      </c>
      <c r="C827" s="5" t="str">
        <f t="shared" si="2"/>
        <v/>
      </c>
    </row>
    <row r="828" ht="45.0" customHeight="1">
      <c r="A828" s="6" t="s">
        <v>845</v>
      </c>
      <c r="B828" s="4" t="str">
        <f t="shared" si="13"/>
        <v>gogoat</v>
      </c>
      <c r="C828" s="5" t="str">
        <f t="shared" si="2"/>
        <v/>
      </c>
    </row>
    <row r="829" ht="45.0" customHeight="1">
      <c r="A829" s="6" t="s">
        <v>846</v>
      </c>
      <c r="B829" s="4" t="str">
        <f t="shared" si="13"/>
        <v>pancham</v>
      </c>
      <c r="C829" s="5" t="str">
        <f t="shared" si="2"/>
        <v/>
      </c>
    </row>
    <row r="830" ht="45.0" customHeight="1">
      <c r="A830" s="6" t="s">
        <v>847</v>
      </c>
      <c r="B830" s="4" t="str">
        <f t="shared" si="13"/>
        <v>pangoro</v>
      </c>
      <c r="C830" s="5" t="str">
        <f t="shared" si="2"/>
        <v/>
      </c>
    </row>
    <row r="831" ht="45.0" customHeight="1">
      <c r="A831" s="6" t="s">
        <v>848</v>
      </c>
      <c r="B831" s="4" t="str">
        <f t="shared" si="13"/>
        <v>furfrou</v>
      </c>
      <c r="C831" s="5" t="str">
        <f t="shared" si="2"/>
        <v/>
      </c>
    </row>
    <row r="832" ht="45.0" customHeight="1">
      <c r="A832" s="6" t="s">
        <v>849</v>
      </c>
      <c r="B832" s="4" t="str">
        <f t="shared" si="13"/>
        <v>espurr</v>
      </c>
      <c r="C832" s="5" t="str">
        <f t="shared" si="2"/>
        <v/>
      </c>
    </row>
    <row r="833" ht="45.0" customHeight="1">
      <c r="A833" s="6" t="s">
        <v>850</v>
      </c>
      <c r="B833" s="4" t="str">
        <f t="shared" si="13"/>
        <v>meowstic</v>
      </c>
      <c r="C833" s="5" t="str">
        <f t="shared" si="2"/>
        <v/>
      </c>
    </row>
    <row r="834" ht="45.0" customHeight="1">
      <c r="A834" s="4" t="s">
        <v>851</v>
      </c>
      <c r="B834" s="4" t="str">
        <f t="shared" si="13"/>
        <v>meowstic-f</v>
      </c>
      <c r="C834" s="5" t="str">
        <f t="shared" si="2"/>
        <v/>
      </c>
    </row>
    <row r="835" ht="45.0" customHeight="1">
      <c r="A835" s="6" t="s">
        <v>852</v>
      </c>
      <c r="B835" s="4" t="str">
        <f t="shared" si="13"/>
        <v>honedge</v>
      </c>
      <c r="C835" s="5" t="str">
        <f t="shared" si="2"/>
        <v/>
      </c>
    </row>
    <row r="836" ht="45.0" customHeight="1">
      <c r="A836" s="6" t="s">
        <v>853</v>
      </c>
      <c r="B836" s="4" t="str">
        <f t="shared" si="13"/>
        <v>doublade</v>
      </c>
      <c r="C836" s="5" t="str">
        <f t="shared" si="2"/>
        <v/>
      </c>
    </row>
    <row r="837" ht="45.0" customHeight="1">
      <c r="A837" s="6" t="s">
        <v>854</v>
      </c>
      <c r="B837" s="4" t="str">
        <f t="shared" si="13"/>
        <v>aegislash</v>
      </c>
      <c r="C837" s="5" t="str">
        <f t="shared" si="2"/>
        <v/>
      </c>
    </row>
    <row r="838" ht="45.0" customHeight="1">
      <c r="A838" s="6" t="s">
        <v>855</v>
      </c>
      <c r="B838" s="4" t="str">
        <f t="shared" si="13"/>
        <v>aegislash-blade</v>
      </c>
      <c r="C838" s="5" t="str">
        <f t="shared" si="2"/>
        <v/>
      </c>
    </row>
    <row r="839" ht="45.0" customHeight="1">
      <c r="A839" s="6" t="s">
        <v>856</v>
      </c>
      <c r="B839" s="4" t="str">
        <f t="shared" si="13"/>
        <v>spritzee</v>
      </c>
      <c r="C839" s="5" t="str">
        <f t="shared" si="2"/>
        <v/>
      </c>
    </row>
    <row r="840" ht="45.0" customHeight="1">
      <c r="A840" s="6" t="s">
        <v>857</v>
      </c>
      <c r="B840" s="4" t="str">
        <f t="shared" si="13"/>
        <v>aromatisse</v>
      </c>
      <c r="C840" s="5" t="str">
        <f t="shared" si="2"/>
        <v/>
      </c>
    </row>
    <row r="841" ht="45.0" customHeight="1">
      <c r="A841" s="6" t="s">
        <v>858</v>
      </c>
      <c r="B841" s="4" t="str">
        <f t="shared" si="13"/>
        <v>swirlix</v>
      </c>
      <c r="C841" s="5" t="str">
        <f t="shared" si="2"/>
        <v/>
      </c>
    </row>
    <row r="842" ht="45.0" customHeight="1">
      <c r="A842" s="6" t="s">
        <v>859</v>
      </c>
      <c r="B842" s="4" t="str">
        <f t="shared" si="13"/>
        <v>slurpuff</v>
      </c>
      <c r="C842" s="5" t="str">
        <f t="shared" si="2"/>
        <v/>
      </c>
    </row>
    <row r="843" ht="45.0" customHeight="1">
      <c r="A843" s="6" t="s">
        <v>860</v>
      </c>
      <c r="B843" s="4" t="str">
        <f t="shared" si="13"/>
        <v>inkay</v>
      </c>
      <c r="C843" s="5" t="str">
        <f t="shared" si="2"/>
        <v/>
      </c>
    </row>
    <row r="844" ht="45.0" customHeight="1">
      <c r="A844" s="6" t="s">
        <v>861</v>
      </c>
      <c r="B844" s="4" t="str">
        <f t="shared" si="13"/>
        <v>malamar</v>
      </c>
      <c r="C844" s="5" t="str">
        <f t="shared" si="2"/>
        <v/>
      </c>
    </row>
    <row r="845" ht="45.0" customHeight="1">
      <c r="A845" s="6" t="s">
        <v>862</v>
      </c>
      <c r="B845" s="4" t="str">
        <f t="shared" si="13"/>
        <v>binacle</v>
      </c>
      <c r="C845" s="5" t="str">
        <f t="shared" si="2"/>
        <v/>
      </c>
    </row>
    <row r="846" ht="45.0" customHeight="1">
      <c r="A846" s="6" t="s">
        <v>863</v>
      </c>
      <c r="B846" s="4" t="str">
        <f t="shared" si="13"/>
        <v>barbaracle</v>
      </c>
      <c r="C846" s="5" t="str">
        <f t="shared" si="2"/>
        <v/>
      </c>
    </row>
    <row r="847" ht="45.0" customHeight="1">
      <c r="A847" s="6" t="s">
        <v>864</v>
      </c>
      <c r="B847" s="4" t="str">
        <f t="shared" si="13"/>
        <v>skrelp</v>
      </c>
      <c r="C847" s="5" t="str">
        <f t="shared" si="2"/>
        <v/>
      </c>
    </row>
    <row r="848" ht="45.0" customHeight="1">
      <c r="A848" s="6" t="s">
        <v>865</v>
      </c>
      <c r="B848" s="4" t="str">
        <f t="shared" si="13"/>
        <v>dragalge</v>
      </c>
      <c r="C848" s="5" t="str">
        <f t="shared" si="2"/>
        <v/>
      </c>
    </row>
    <row r="849" ht="45.0" customHeight="1">
      <c r="A849" s="6" t="s">
        <v>866</v>
      </c>
      <c r="B849" s="4" t="str">
        <f t="shared" si="13"/>
        <v>clauncher</v>
      </c>
      <c r="C849" s="5" t="str">
        <f t="shared" si="2"/>
        <v/>
      </c>
    </row>
    <row r="850" ht="45.0" customHeight="1">
      <c r="A850" s="6" t="s">
        <v>867</v>
      </c>
      <c r="B850" s="4" t="str">
        <f t="shared" si="13"/>
        <v>clawitzer</v>
      </c>
      <c r="C850" s="5" t="str">
        <f t="shared" si="2"/>
        <v/>
      </c>
    </row>
    <row r="851" ht="45.0" customHeight="1">
      <c r="A851" s="6" t="s">
        <v>868</v>
      </c>
      <c r="B851" s="4" t="str">
        <f t="shared" si="13"/>
        <v>helioptile</v>
      </c>
      <c r="C851" s="5" t="str">
        <f t="shared" si="2"/>
        <v/>
      </c>
    </row>
    <row r="852" ht="45.0" customHeight="1">
      <c r="A852" s="6" t="s">
        <v>869</v>
      </c>
      <c r="B852" s="4" t="str">
        <f t="shared" si="13"/>
        <v>heliolisk</v>
      </c>
      <c r="C852" s="5" t="str">
        <f t="shared" si="2"/>
        <v/>
      </c>
    </row>
    <row r="853" ht="45.0" customHeight="1">
      <c r="A853" s="6" t="s">
        <v>870</v>
      </c>
      <c r="B853" s="4" t="str">
        <f t="shared" si="13"/>
        <v>tyrunt</v>
      </c>
      <c r="C853" s="5" t="str">
        <f t="shared" si="2"/>
        <v/>
      </c>
    </row>
    <row r="854" ht="45.0" customHeight="1">
      <c r="A854" s="6" t="s">
        <v>871</v>
      </c>
      <c r="B854" s="4" t="str">
        <f t="shared" si="13"/>
        <v>tyrantrum</v>
      </c>
      <c r="C854" s="5" t="str">
        <f t="shared" si="2"/>
        <v/>
      </c>
    </row>
    <row r="855" ht="45.0" customHeight="1">
      <c r="A855" s="6" t="s">
        <v>872</v>
      </c>
      <c r="B855" s="4" t="str">
        <f t="shared" si="13"/>
        <v>amaura</v>
      </c>
      <c r="C855" s="5" t="str">
        <f t="shared" si="2"/>
        <v/>
      </c>
    </row>
    <row r="856" ht="45.0" customHeight="1">
      <c r="A856" s="6" t="s">
        <v>873</v>
      </c>
      <c r="B856" s="4" t="str">
        <f t="shared" si="13"/>
        <v>aurorus</v>
      </c>
      <c r="C856" s="5" t="str">
        <f t="shared" si="2"/>
        <v/>
      </c>
    </row>
    <row r="857" ht="45.0" customHeight="1">
      <c r="A857" s="6" t="s">
        <v>874</v>
      </c>
      <c r="B857" s="4" t="str">
        <f t="shared" si="13"/>
        <v>sylveon</v>
      </c>
      <c r="C857" s="5" t="str">
        <f t="shared" si="2"/>
        <v/>
      </c>
    </row>
    <row r="858" ht="45.0" customHeight="1">
      <c r="A858" s="6" t="s">
        <v>875</v>
      </c>
      <c r="B858" s="4" t="str">
        <f t="shared" si="13"/>
        <v>hawlucha</v>
      </c>
      <c r="C858" s="5" t="str">
        <f t="shared" si="2"/>
        <v/>
      </c>
    </row>
    <row r="859" ht="45.0" customHeight="1">
      <c r="A859" s="6" t="s">
        <v>876</v>
      </c>
      <c r="B859" s="4" t="str">
        <f t="shared" si="13"/>
        <v>dedenne</v>
      </c>
      <c r="C859" s="5" t="str">
        <f t="shared" si="2"/>
        <v/>
      </c>
    </row>
    <row r="860" ht="45.0" customHeight="1">
      <c r="A860" s="6" t="s">
        <v>877</v>
      </c>
      <c r="B860" s="4" t="str">
        <f t="shared" si="13"/>
        <v>carbink</v>
      </c>
      <c r="C860" s="5" t="str">
        <f t="shared" si="2"/>
        <v/>
      </c>
    </row>
    <row r="861" ht="45.0" customHeight="1">
      <c r="A861" s="6" t="s">
        <v>878</v>
      </c>
      <c r="B861" s="4" t="str">
        <f t="shared" si="13"/>
        <v>goomy</v>
      </c>
      <c r="C861" s="5" t="str">
        <f t="shared" si="2"/>
        <v/>
      </c>
    </row>
    <row r="862" ht="45.0" customHeight="1">
      <c r="A862" s="6" t="s">
        <v>879</v>
      </c>
      <c r="B862" s="4" t="str">
        <f t="shared" si="13"/>
        <v>sliggoo</v>
      </c>
      <c r="C862" s="5" t="str">
        <f t="shared" si="2"/>
        <v/>
      </c>
    </row>
    <row r="863" ht="45.0" customHeight="1">
      <c r="A863" s="9" t="s">
        <v>880</v>
      </c>
      <c r="B863" s="4" t="str">
        <f t="shared" si="13"/>
        <v>sliggoo-hisui</v>
      </c>
      <c r="C863" s="5" t="str">
        <f t="shared" si="2"/>
        <v/>
      </c>
    </row>
    <row r="864" ht="45.0" customHeight="1">
      <c r="A864" s="6" t="s">
        <v>881</v>
      </c>
      <c r="B864" s="4" t="str">
        <f t="shared" si="13"/>
        <v>goodra</v>
      </c>
      <c r="C864" s="5" t="str">
        <f t="shared" si="2"/>
        <v/>
      </c>
    </row>
    <row r="865" ht="45.0" customHeight="1">
      <c r="A865" s="9" t="s">
        <v>882</v>
      </c>
      <c r="B865" s="4" t="str">
        <f t="shared" si="13"/>
        <v>goodra-hisui</v>
      </c>
      <c r="C865" s="5" t="str">
        <f t="shared" si="2"/>
        <v/>
      </c>
    </row>
    <row r="866" ht="45.0" customHeight="1">
      <c r="A866" s="6" t="s">
        <v>883</v>
      </c>
      <c r="B866" s="4" t="str">
        <f t="shared" si="13"/>
        <v>klefki</v>
      </c>
      <c r="C866" s="5" t="str">
        <f t="shared" si="2"/>
        <v/>
      </c>
    </row>
    <row r="867" ht="45.0" customHeight="1">
      <c r="A867" s="6" t="s">
        <v>884</v>
      </c>
      <c r="B867" s="4" t="str">
        <f t="shared" si="13"/>
        <v>phantump</v>
      </c>
      <c r="C867" s="5" t="str">
        <f t="shared" si="2"/>
        <v/>
      </c>
    </row>
    <row r="868" ht="45.0" customHeight="1">
      <c r="A868" s="6" t="s">
        <v>885</v>
      </c>
      <c r="B868" s="4" t="str">
        <f t="shared" si="13"/>
        <v>trevenant</v>
      </c>
      <c r="C868" s="5" t="str">
        <f t="shared" si="2"/>
        <v/>
      </c>
    </row>
    <row r="869" ht="45.0" customHeight="1">
      <c r="A869" s="6" t="s">
        <v>886</v>
      </c>
      <c r="B869" s="4" t="str">
        <f t="shared" si="13"/>
        <v>pumpkaboo</v>
      </c>
      <c r="C869" s="5" t="str">
        <f t="shared" si="2"/>
        <v/>
      </c>
    </row>
    <row r="870" ht="45.0" customHeight="1">
      <c r="A870" s="4" t="s">
        <v>887</v>
      </c>
      <c r="B870" s="4" t="str">
        <f t="shared" si="13"/>
        <v>gourgeist-small</v>
      </c>
      <c r="C870" s="5" t="str">
        <f t="shared" si="2"/>
        <v/>
      </c>
    </row>
    <row r="871" ht="45.0" customHeight="1">
      <c r="A871" s="4" t="s">
        <v>888</v>
      </c>
      <c r="B871" s="4" t="str">
        <f t="shared" si="13"/>
        <v>gourgeist-large</v>
      </c>
      <c r="C871" s="5" t="str">
        <f t="shared" si="2"/>
        <v/>
      </c>
    </row>
    <row r="872" ht="45.0" customHeight="1">
      <c r="A872" s="4" t="s">
        <v>889</v>
      </c>
      <c r="B872" s="4" t="str">
        <f t="shared" si="13"/>
        <v>gourgeist-super</v>
      </c>
      <c r="C872" s="5" t="str">
        <f t="shared" si="2"/>
        <v/>
      </c>
    </row>
    <row r="873" ht="45.0" customHeight="1">
      <c r="A873" s="6" t="s">
        <v>890</v>
      </c>
      <c r="B873" s="4" t="str">
        <f t="shared" si="13"/>
        <v>gourgeist</v>
      </c>
      <c r="C873" s="5" t="str">
        <f t="shared" si="2"/>
        <v/>
      </c>
    </row>
    <row r="874" ht="45.0" customHeight="1">
      <c r="A874" s="6" t="s">
        <v>891</v>
      </c>
      <c r="B874" s="4" t="str">
        <f t="shared" si="13"/>
        <v>bergmite</v>
      </c>
      <c r="C874" s="5" t="str">
        <f t="shared" si="2"/>
        <v/>
      </c>
    </row>
    <row r="875" ht="45.0" customHeight="1">
      <c r="A875" s="6" t="s">
        <v>892</v>
      </c>
      <c r="B875" s="4" t="str">
        <f t="shared" si="13"/>
        <v>avalugg</v>
      </c>
      <c r="C875" s="5" t="str">
        <f t="shared" si="2"/>
        <v/>
      </c>
    </row>
    <row r="876" ht="45.0" customHeight="1">
      <c r="A876" s="9" t="s">
        <v>893</v>
      </c>
      <c r="B876" s="4" t="str">
        <f t="shared" si="13"/>
        <v>avalugg-hisui</v>
      </c>
      <c r="C876" s="5" t="str">
        <f t="shared" si="2"/>
        <v/>
      </c>
    </row>
    <row r="877" ht="45.0" customHeight="1">
      <c r="A877" s="6" t="s">
        <v>894</v>
      </c>
      <c r="B877" s="4" t="str">
        <f t="shared" si="13"/>
        <v>noibat</v>
      </c>
      <c r="C877" s="5" t="str">
        <f t="shared" si="2"/>
        <v/>
      </c>
    </row>
    <row r="878" ht="45.0" customHeight="1">
      <c r="A878" s="6" t="s">
        <v>895</v>
      </c>
      <c r="B878" s="4" t="str">
        <f t="shared" si="13"/>
        <v>noivern</v>
      </c>
      <c r="C878" s="5" t="str">
        <f t="shared" si="2"/>
        <v/>
      </c>
    </row>
    <row r="879" ht="45.0" customHeight="1">
      <c r="A879" s="6" t="s">
        <v>896</v>
      </c>
      <c r="B879" s="4" t="str">
        <f t="shared" si="13"/>
        <v>xerneas</v>
      </c>
      <c r="C879" s="5" t="str">
        <f t="shared" si="2"/>
        <v/>
      </c>
    </row>
    <row r="880" ht="45.0" customHeight="1">
      <c r="A880" s="6" t="s">
        <v>897</v>
      </c>
      <c r="B880" s="4" t="str">
        <f t="shared" si="13"/>
        <v>yveltal</v>
      </c>
      <c r="C880" s="5" t="str">
        <f t="shared" si="2"/>
        <v/>
      </c>
    </row>
    <row r="881" ht="45.0" customHeight="1">
      <c r="A881" s="4" t="s">
        <v>898</v>
      </c>
      <c r="B881" s="4" t="str">
        <f t="shared" si="13"/>
        <v>zygarde</v>
      </c>
      <c r="C881" s="5" t="str">
        <f t="shared" si="2"/>
        <v/>
      </c>
    </row>
    <row r="882" ht="45.0" customHeight="1">
      <c r="A882" s="4" t="s">
        <v>899</v>
      </c>
      <c r="B882" s="4" t="s">
        <v>900</v>
      </c>
      <c r="C882" s="5" t="str">
        <f t="shared" si="2"/>
        <v/>
      </c>
    </row>
    <row r="883" ht="45.0" customHeight="1">
      <c r="A883" s="4" t="s">
        <v>901</v>
      </c>
      <c r="B883" s="4" t="s">
        <v>902</v>
      </c>
      <c r="C883" s="5" t="str">
        <f t="shared" si="2"/>
        <v/>
      </c>
    </row>
    <row r="884" ht="45.0" customHeight="1">
      <c r="A884" s="6" t="s">
        <v>903</v>
      </c>
      <c r="B884" s="4" t="str">
        <f t="shared" ref="B884:B909" si="14">LOWER(A884)</f>
        <v>diancie</v>
      </c>
      <c r="C884" s="5" t="str">
        <f t="shared" si="2"/>
        <v/>
      </c>
    </row>
    <row r="885" ht="45.0" customHeight="1">
      <c r="A885" s="4" t="s">
        <v>904</v>
      </c>
      <c r="B885" s="4" t="str">
        <f t="shared" si="14"/>
        <v>diancie-mega</v>
      </c>
      <c r="C885" s="5" t="str">
        <f t="shared" si="2"/>
        <v/>
      </c>
    </row>
    <row r="886" ht="45.0" customHeight="1">
      <c r="A886" s="6" t="s">
        <v>905</v>
      </c>
      <c r="B886" s="4" t="str">
        <f t="shared" si="14"/>
        <v>hoopa</v>
      </c>
      <c r="C886" s="5" t="str">
        <f t="shared" si="2"/>
        <v/>
      </c>
    </row>
    <row r="887" ht="45.0" customHeight="1">
      <c r="A887" s="4" t="s">
        <v>906</v>
      </c>
      <c r="B887" s="4" t="str">
        <f t="shared" si="14"/>
        <v>hoopa-unbound</v>
      </c>
      <c r="C887" s="5" t="str">
        <f t="shared" si="2"/>
        <v/>
      </c>
    </row>
    <row r="888" ht="45.0" customHeight="1">
      <c r="A888" s="6" t="s">
        <v>907</v>
      </c>
      <c r="B888" s="4" t="str">
        <f t="shared" si="14"/>
        <v>volcanion</v>
      </c>
      <c r="C888" s="5" t="str">
        <f t="shared" si="2"/>
        <v/>
      </c>
    </row>
    <row r="889" ht="45.0" customHeight="1">
      <c r="A889" s="6" t="s">
        <v>908</v>
      </c>
      <c r="B889" s="4" t="str">
        <f t="shared" si="14"/>
        <v>rowlet</v>
      </c>
      <c r="C889" s="5" t="str">
        <f t="shared" si="2"/>
        <v/>
      </c>
    </row>
    <row r="890" ht="45.0" customHeight="1">
      <c r="A890" s="6" t="s">
        <v>909</v>
      </c>
      <c r="B890" s="4" t="str">
        <f t="shared" si="14"/>
        <v>dartrix</v>
      </c>
      <c r="C890" s="5" t="str">
        <f t="shared" si="2"/>
        <v/>
      </c>
    </row>
    <row r="891" ht="45.0" customHeight="1">
      <c r="A891" s="6" t="s">
        <v>910</v>
      </c>
      <c r="B891" s="4" t="str">
        <f t="shared" si="14"/>
        <v>decidueye</v>
      </c>
      <c r="C891" s="5" t="str">
        <f t="shared" si="2"/>
        <v/>
      </c>
    </row>
    <row r="892" ht="45.0" customHeight="1">
      <c r="A892" s="9" t="s">
        <v>911</v>
      </c>
      <c r="B892" s="4" t="str">
        <f t="shared" si="14"/>
        <v>decidueye-hisui</v>
      </c>
      <c r="C892" s="5" t="str">
        <f t="shared" si="2"/>
        <v/>
      </c>
    </row>
    <row r="893" ht="45.0" customHeight="1">
      <c r="A893" s="6" t="s">
        <v>912</v>
      </c>
      <c r="B893" s="4" t="str">
        <f t="shared" si="14"/>
        <v>litten</v>
      </c>
      <c r="C893" s="5" t="str">
        <f t="shared" si="2"/>
        <v/>
      </c>
    </row>
    <row r="894" ht="45.0" customHeight="1">
      <c r="A894" s="6" t="s">
        <v>913</v>
      </c>
      <c r="B894" s="4" t="str">
        <f t="shared" si="14"/>
        <v>torracat</v>
      </c>
      <c r="C894" s="5" t="str">
        <f t="shared" si="2"/>
        <v/>
      </c>
    </row>
    <row r="895" ht="45.0" customHeight="1">
      <c r="A895" s="6" t="s">
        <v>914</v>
      </c>
      <c r="B895" s="4" t="str">
        <f t="shared" si="14"/>
        <v>incineroar</v>
      </c>
      <c r="C895" s="5" t="str">
        <f t="shared" si="2"/>
        <v/>
      </c>
    </row>
    <row r="896" ht="45.0" customHeight="1">
      <c r="A896" s="6" t="s">
        <v>915</v>
      </c>
      <c r="B896" s="4" t="str">
        <f t="shared" si="14"/>
        <v>popplio</v>
      </c>
      <c r="C896" s="5" t="str">
        <f t="shared" si="2"/>
        <v/>
      </c>
    </row>
    <row r="897" ht="45.0" customHeight="1">
      <c r="A897" s="6" t="s">
        <v>916</v>
      </c>
      <c r="B897" s="4" t="str">
        <f t="shared" si="14"/>
        <v>brionne</v>
      </c>
      <c r="C897" s="5" t="str">
        <f t="shared" si="2"/>
        <v/>
      </c>
    </row>
    <row r="898" ht="45.0" customHeight="1">
      <c r="A898" s="6" t="s">
        <v>917</v>
      </c>
      <c r="B898" s="4" t="str">
        <f t="shared" si="14"/>
        <v>primarina</v>
      </c>
      <c r="C898" s="5" t="str">
        <f t="shared" si="2"/>
        <v/>
      </c>
    </row>
    <row r="899" ht="45.0" customHeight="1">
      <c r="A899" s="6" t="s">
        <v>918</v>
      </c>
      <c r="B899" s="4" t="str">
        <f t="shared" si="14"/>
        <v>pikipek</v>
      </c>
      <c r="C899" s="5" t="str">
        <f t="shared" si="2"/>
        <v/>
      </c>
    </row>
    <row r="900" ht="45.0" customHeight="1">
      <c r="A900" s="6" t="s">
        <v>919</v>
      </c>
      <c r="B900" s="4" t="str">
        <f t="shared" si="14"/>
        <v>trumbeak</v>
      </c>
      <c r="C900" s="5" t="str">
        <f t="shared" si="2"/>
        <v/>
      </c>
    </row>
    <row r="901" ht="45.0" customHeight="1">
      <c r="A901" s="6" t="s">
        <v>920</v>
      </c>
      <c r="B901" s="4" t="str">
        <f t="shared" si="14"/>
        <v>toucannon</v>
      </c>
      <c r="C901" s="5" t="str">
        <f t="shared" si="2"/>
        <v/>
      </c>
    </row>
    <row r="902" ht="45.0" customHeight="1">
      <c r="A902" s="6" t="s">
        <v>921</v>
      </c>
      <c r="B902" s="4" t="str">
        <f t="shared" si="14"/>
        <v>yungoos</v>
      </c>
      <c r="C902" s="5" t="str">
        <f t="shared" si="2"/>
        <v/>
      </c>
    </row>
    <row r="903" ht="45.0" customHeight="1">
      <c r="A903" s="6" t="s">
        <v>922</v>
      </c>
      <c r="B903" s="4" t="str">
        <f t="shared" si="14"/>
        <v>gumshoos</v>
      </c>
      <c r="C903" s="5" t="str">
        <f t="shared" si="2"/>
        <v/>
      </c>
    </row>
    <row r="904" ht="45.0" customHeight="1">
      <c r="A904" s="6" t="s">
        <v>923</v>
      </c>
      <c r="B904" s="4" t="str">
        <f t="shared" si="14"/>
        <v>grubbin</v>
      </c>
      <c r="C904" s="5" t="str">
        <f t="shared" si="2"/>
        <v/>
      </c>
    </row>
    <row r="905" ht="45.0" customHeight="1">
      <c r="A905" s="6" t="s">
        <v>924</v>
      </c>
      <c r="B905" s="4" t="str">
        <f t="shared" si="14"/>
        <v>charjabug</v>
      </c>
      <c r="C905" s="5" t="str">
        <f t="shared" si="2"/>
        <v/>
      </c>
    </row>
    <row r="906" ht="45.0" customHeight="1">
      <c r="A906" s="6" t="s">
        <v>925</v>
      </c>
      <c r="B906" s="4" t="str">
        <f t="shared" si="14"/>
        <v>vikavolt</v>
      </c>
      <c r="C906" s="5" t="str">
        <f t="shared" si="2"/>
        <v/>
      </c>
    </row>
    <row r="907" ht="45.0" customHeight="1">
      <c r="A907" s="6" t="s">
        <v>926</v>
      </c>
      <c r="B907" s="4" t="str">
        <f t="shared" si="14"/>
        <v>crabrawler</v>
      </c>
      <c r="C907" s="5" t="str">
        <f t="shared" si="2"/>
        <v/>
      </c>
    </row>
    <row r="908" ht="45.0" customHeight="1">
      <c r="A908" s="6" t="s">
        <v>927</v>
      </c>
      <c r="B908" s="4" t="str">
        <f t="shared" si="14"/>
        <v>crabominable</v>
      </c>
      <c r="C908" s="5" t="str">
        <f t="shared" si="2"/>
        <v/>
      </c>
    </row>
    <row r="909" ht="45.0" customHeight="1">
      <c r="A909" s="4" t="s">
        <v>928</v>
      </c>
      <c r="B909" s="4" t="str">
        <f t="shared" si="14"/>
        <v>oricorio</v>
      </c>
      <c r="C909" s="5" t="str">
        <f t="shared" si="2"/>
        <v/>
      </c>
    </row>
    <row r="910" ht="45.0" customHeight="1">
      <c r="A910" s="4" t="s">
        <v>929</v>
      </c>
      <c r="B910" s="4" t="s">
        <v>930</v>
      </c>
      <c r="C910" s="5" t="str">
        <f t="shared" si="2"/>
        <v/>
      </c>
    </row>
    <row r="911" ht="45.0" customHeight="1">
      <c r="A911" s="4" t="s">
        <v>931</v>
      </c>
      <c r="B911" s="4" t="s">
        <v>932</v>
      </c>
      <c r="C911" s="5" t="str">
        <f t="shared" si="2"/>
        <v/>
      </c>
    </row>
    <row r="912" ht="45.0" customHeight="1">
      <c r="A912" s="4" t="s">
        <v>933</v>
      </c>
      <c r="B912" s="4" t="str">
        <f t="shared" ref="B912:B945" si="15">LOWER(A912)</f>
        <v>oricorio-sensu</v>
      </c>
      <c r="C912" s="5" t="str">
        <f t="shared" si="2"/>
        <v/>
      </c>
    </row>
    <row r="913" ht="45.0" customHeight="1">
      <c r="A913" s="6" t="s">
        <v>934</v>
      </c>
      <c r="B913" s="4" t="str">
        <f t="shared" si="15"/>
        <v>cutiefly</v>
      </c>
      <c r="C913" s="5" t="str">
        <f t="shared" si="2"/>
        <v/>
      </c>
    </row>
    <row r="914" ht="45.0" customHeight="1">
      <c r="A914" s="6" t="s">
        <v>935</v>
      </c>
      <c r="B914" s="4" t="str">
        <f t="shared" si="15"/>
        <v>ribombee</v>
      </c>
      <c r="C914" s="5" t="str">
        <f t="shared" si="2"/>
        <v/>
      </c>
    </row>
    <row r="915" ht="45.0" customHeight="1">
      <c r="A915" s="6" t="s">
        <v>936</v>
      </c>
      <c r="B915" s="4" t="str">
        <f t="shared" si="15"/>
        <v>rockruff</v>
      </c>
      <c r="C915" s="5" t="str">
        <f t="shared" si="2"/>
        <v/>
      </c>
    </row>
    <row r="916" ht="45.0" customHeight="1">
      <c r="A916" s="6" t="s">
        <v>937</v>
      </c>
      <c r="B916" s="4" t="str">
        <f t="shared" si="15"/>
        <v>lycanroc</v>
      </c>
      <c r="C916" s="5" t="str">
        <f t="shared" si="2"/>
        <v/>
      </c>
    </row>
    <row r="917" ht="45.0" customHeight="1">
      <c r="A917" s="6" t="s">
        <v>938</v>
      </c>
      <c r="B917" s="4" t="str">
        <f t="shared" si="15"/>
        <v>lycanroc-dusk</v>
      </c>
      <c r="C917" s="5" t="str">
        <f t="shared" si="2"/>
        <v/>
      </c>
    </row>
    <row r="918" ht="45.0" customHeight="1">
      <c r="A918" s="4" t="s">
        <v>939</v>
      </c>
      <c r="B918" s="4" t="str">
        <f t="shared" si="15"/>
        <v>lycanroc-midnight</v>
      </c>
      <c r="C918" s="5" t="str">
        <f t="shared" si="2"/>
        <v/>
      </c>
    </row>
    <row r="919" ht="45.0" customHeight="1">
      <c r="A919" s="6" t="s">
        <v>940</v>
      </c>
      <c r="B919" s="4" t="str">
        <f t="shared" si="15"/>
        <v>wishiwashi</v>
      </c>
      <c r="C919" s="5" t="str">
        <f t="shared" si="2"/>
        <v/>
      </c>
    </row>
    <row r="920" ht="45.0" customHeight="1">
      <c r="A920" s="6" t="s">
        <v>941</v>
      </c>
      <c r="B920" s="4" t="str">
        <f t="shared" si="15"/>
        <v>wishiwashi-school</v>
      </c>
      <c r="C920" s="5" t="str">
        <f t="shared" si="2"/>
        <v/>
      </c>
    </row>
    <row r="921" ht="45.0" customHeight="1">
      <c r="A921" s="6" t="s">
        <v>942</v>
      </c>
      <c r="B921" s="4" t="str">
        <f t="shared" si="15"/>
        <v>mareanie</v>
      </c>
      <c r="C921" s="5" t="str">
        <f t="shared" si="2"/>
        <v/>
      </c>
    </row>
    <row r="922" ht="45.0" customHeight="1">
      <c r="A922" s="6" t="s">
        <v>943</v>
      </c>
      <c r="B922" s="4" t="str">
        <f t="shared" si="15"/>
        <v>toxapex</v>
      </c>
      <c r="C922" s="5" t="str">
        <f t="shared" si="2"/>
        <v/>
      </c>
    </row>
    <row r="923" ht="45.0" customHeight="1">
      <c r="A923" s="6" t="s">
        <v>944</v>
      </c>
      <c r="B923" s="4" t="str">
        <f t="shared" si="15"/>
        <v>mudbray</v>
      </c>
      <c r="C923" s="5" t="str">
        <f t="shared" si="2"/>
        <v/>
      </c>
    </row>
    <row r="924" ht="45.0" customHeight="1">
      <c r="A924" s="6" t="s">
        <v>945</v>
      </c>
      <c r="B924" s="4" t="str">
        <f t="shared" si="15"/>
        <v>mudsdale</v>
      </c>
      <c r="C924" s="5" t="str">
        <f t="shared" si="2"/>
        <v/>
      </c>
    </row>
    <row r="925" ht="45.0" customHeight="1">
      <c r="A925" s="6" t="s">
        <v>946</v>
      </c>
      <c r="B925" s="4" t="str">
        <f t="shared" si="15"/>
        <v>dewpider</v>
      </c>
      <c r="C925" s="5" t="str">
        <f t="shared" si="2"/>
        <v/>
      </c>
    </row>
    <row r="926" ht="45.0" customHeight="1">
      <c r="A926" s="6" t="s">
        <v>947</v>
      </c>
      <c r="B926" s="4" t="str">
        <f t="shared" si="15"/>
        <v>araquanid</v>
      </c>
      <c r="C926" s="5" t="str">
        <f t="shared" si="2"/>
        <v/>
      </c>
    </row>
    <row r="927" ht="45.0" customHeight="1">
      <c r="A927" s="6" t="s">
        <v>948</v>
      </c>
      <c r="B927" s="4" t="str">
        <f t="shared" si="15"/>
        <v>fomantis</v>
      </c>
      <c r="C927" s="5" t="str">
        <f t="shared" si="2"/>
        <v/>
      </c>
    </row>
    <row r="928" ht="45.0" customHeight="1">
      <c r="A928" s="6" t="s">
        <v>949</v>
      </c>
      <c r="B928" s="4" t="str">
        <f t="shared" si="15"/>
        <v>lurantis</v>
      </c>
      <c r="C928" s="5" t="str">
        <f t="shared" si="2"/>
        <v/>
      </c>
    </row>
    <row r="929" ht="45.0" customHeight="1">
      <c r="A929" s="6" t="s">
        <v>950</v>
      </c>
      <c r="B929" s="4" t="str">
        <f t="shared" si="15"/>
        <v>morelull</v>
      </c>
      <c r="C929" s="5" t="str">
        <f t="shared" si="2"/>
        <v/>
      </c>
    </row>
    <row r="930" ht="45.0" customHeight="1">
      <c r="A930" s="6" t="s">
        <v>951</v>
      </c>
      <c r="B930" s="4" t="str">
        <f t="shared" si="15"/>
        <v>shiinotic</v>
      </c>
      <c r="C930" s="5" t="str">
        <f t="shared" si="2"/>
        <v/>
      </c>
    </row>
    <row r="931" ht="45.0" customHeight="1">
      <c r="A931" s="6" t="s">
        <v>952</v>
      </c>
      <c r="B931" s="4" t="str">
        <f t="shared" si="15"/>
        <v>salandit</v>
      </c>
      <c r="C931" s="5" t="str">
        <f t="shared" si="2"/>
        <v/>
      </c>
    </row>
    <row r="932" ht="45.0" customHeight="1">
      <c r="A932" s="6" t="s">
        <v>953</v>
      </c>
      <c r="B932" s="4" t="str">
        <f t="shared" si="15"/>
        <v>salazzle</v>
      </c>
      <c r="C932" s="5" t="str">
        <f t="shared" si="2"/>
        <v/>
      </c>
    </row>
    <row r="933" ht="45.0" customHeight="1">
      <c r="A933" s="6" t="s">
        <v>954</v>
      </c>
      <c r="B933" s="4" t="str">
        <f t="shared" si="15"/>
        <v>stufful</v>
      </c>
      <c r="C933" s="5" t="str">
        <f t="shared" si="2"/>
        <v/>
      </c>
    </row>
    <row r="934" ht="45.0" customHeight="1">
      <c r="A934" s="6" t="s">
        <v>955</v>
      </c>
      <c r="B934" s="4" t="str">
        <f t="shared" si="15"/>
        <v>bewear</v>
      </c>
      <c r="C934" s="5" t="str">
        <f t="shared" si="2"/>
        <v/>
      </c>
    </row>
    <row r="935" ht="45.0" customHeight="1">
      <c r="A935" s="6" t="s">
        <v>956</v>
      </c>
      <c r="B935" s="4" t="str">
        <f t="shared" si="15"/>
        <v>bounsweet</v>
      </c>
      <c r="C935" s="5" t="str">
        <f t="shared" si="2"/>
        <v/>
      </c>
    </row>
    <row r="936" ht="45.0" customHeight="1">
      <c r="A936" s="6" t="s">
        <v>957</v>
      </c>
      <c r="B936" s="4" t="str">
        <f t="shared" si="15"/>
        <v>steenee</v>
      </c>
      <c r="C936" s="5" t="str">
        <f t="shared" si="2"/>
        <v/>
      </c>
    </row>
    <row r="937" ht="45.0" customHeight="1">
      <c r="A937" s="6" t="s">
        <v>958</v>
      </c>
      <c r="B937" s="4" t="str">
        <f t="shared" si="15"/>
        <v>tsareena</v>
      </c>
      <c r="C937" s="5" t="str">
        <f t="shared" si="2"/>
        <v/>
      </c>
    </row>
    <row r="938" ht="45.0" customHeight="1">
      <c r="A938" s="6" t="s">
        <v>959</v>
      </c>
      <c r="B938" s="4" t="str">
        <f t="shared" si="15"/>
        <v>comfey</v>
      </c>
      <c r="C938" s="5" t="str">
        <f t="shared" si="2"/>
        <v/>
      </c>
    </row>
    <row r="939" ht="45.0" customHeight="1">
      <c r="A939" s="6" t="s">
        <v>960</v>
      </c>
      <c r="B939" s="4" t="str">
        <f t="shared" si="15"/>
        <v>oranguru</v>
      </c>
      <c r="C939" s="5" t="str">
        <f t="shared" si="2"/>
        <v/>
      </c>
    </row>
    <row r="940" ht="45.0" customHeight="1">
      <c r="A940" s="6" t="s">
        <v>961</v>
      </c>
      <c r="B940" s="4" t="str">
        <f t="shared" si="15"/>
        <v>passimian</v>
      </c>
      <c r="C940" s="5" t="str">
        <f t="shared" si="2"/>
        <v/>
      </c>
    </row>
    <row r="941" ht="45.0" customHeight="1">
      <c r="A941" s="6" t="s">
        <v>962</v>
      </c>
      <c r="B941" s="4" t="str">
        <f t="shared" si="15"/>
        <v>wimpod</v>
      </c>
      <c r="C941" s="5" t="str">
        <f t="shared" si="2"/>
        <v/>
      </c>
    </row>
    <row r="942" ht="45.0" customHeight="1">
      <c r="A942" s="6" t="s">
        <v>963</v>
      </c>
      <c r="B942" s="4" t="str">
        <f t="shared" si="15"/>
        <v>golisopod</v>
      </c>
      <c r="C942" s="5" t="str">
        <f t="shared" si="2"/>
        <v/>
      </c>
    </row>
    <row r="943" ht="45.0" customHeight="1">
      <c r="A943" s="6" t="s">
        <v>964</v>
      </c>
      <c r="B943" s="4" t="str">
        <f t="shared" si="15"/>
        <v>sandygast</v>
      </c>
      <c r="C943" s="5" t="str">
        <f t="shared" si="2"/>
        <v/>
      </c>
    </row>
    <row r="944" ht="45.0" customHeight="1">
      <c r="A944" s="6" t="s">
        <v>965</v>
      </c>
      <c r="B944" s="4" t="str">
        <f t="shared" si="15"/>
        <v>palossand</v>
      </c>
      <c r="C944" s="5" t="str">
        <f t="shared" si="2"/>
        <v/>
      </c>
    </row>
    <row r="945" ht="45.0" customHeight="1">
      <c r="A945" s="6" t="s">
        <v>966</v>
      </c>
      <c r="B945" s="4" t="str">
        <f t="shared" si="15"/>
        <v>pyukumuku</v>
      </c>
      <c r="C945" s="5" t="str">
        <f t="shared" si="2"/>
        <v/>
      </c>
    </row>
    <row r="946" ht="45.0" customHeight="1">
      <c r="A946" s="6" t="s">
        <v>967</v>
      </c>
      <c r="B946" s="4" t="s">
        <v>968</v>
      </c>
      <c r="C946" s="5" t="str">
        <f t="shared" si="2"/>
        <v/>
      </c>
    </row>
    <row r="947" ht="45.0" customHeight="1">
      <c r="A947" s="6" t="s">
        <v>969</v>
      </c>
      <c r="B947" s="4" t="str">
        <f t="shared" ref="B947:B965" si="16">LOWER(A947)</f>
        <v>silvally</v>
      </c>
      <c r="C947" s="5" t="str">
        <f t="shared" si="2"/>
        <v/>
      </c>
    </row>
    <row r="948" ht="45.0" customHeight="1">
      <c r="A948" s="4" t="s">
        <v>970</v>
      </c>
      <c r="B948" s="4" t="str">
        <f t="shared" si="16"/>
        <v>silvally-fire</v>
      </c>
      <c r="C948" s="5" t="str">
        <f t="shared" si="2"/>
        <v/>
      </c>
    </row>
    <row r="949" ht="45.0" customHeight="1">
      <c r="A949" s="4" t="s">
        <v>971</v>
      </c>
      <c r="B949" s="4" t="str">
        <f t="shared" si="16"/>
        <v>silvally-flying</v>
      </c>
      <c r="C949" s="5" t="str">
        <f t="shared" si="2"/>
        <v/>
      </c>
    </row>
    <row r="950" ht="45.0" customHeight="1">
      <c r="A950" s="4" t="s">
        <v>972</v>
      </c>
      <c r="B950" s="4" t="str">
        <f t="shared" si="16"/>
        <v>silvally-poison</v>
      </c>
      <c r="C950" s="5" t="str">
        <f t="shared" si="2"/>
        <v/>
      </c>
    </row>
    <row r="951" ht="45.0" customHeight="1">
      <c r="A951" s="4" t="s">
        <v>973</v>
      </c>
      <c r="B951" s="4" t="str">
        <f t="shared" si="16"/>
        <v>silvally-ground</v>
      </c>
      <c r="C951" s="5" t="str">
        <f t="shared" si="2"/>
        <v/>
      </c>
    </row>
    <row r="952" ht="45.0" customHeight="1">
      <c r="A952" s="4" t="s">
        <v>974</v>
      </c>
      <c r="B952" s="4" t="str">
        <f t="shared" si="16"/>
        <v>silvally-rock</v>
      </c>
      <c r="C952" s="5" t="str">
        <f t="shared" si="2"/>
        <v/>
      </c>
    </row>
    <row r="953" ht="45.0" customHeight="1">
      <c r="A953" s="4" t="s">
        <v>975</v>
      </c>
      <c r="B953" s="4" t="str">
        <f t="shared" si="16"/>
        <v>silvally-bug</v>
      </c>
      <c r="C953" s="5" t="str">
        <f t="shared" si="2"/>
        <v/>
      </c>
    </row>
    <row r="954" ht="45.0" customHeight="1">
      <c r="A954" s="4" t="s">
        <v>976</v>
      </c>
      <c r="B954" s="4" t="str">
        <f t="shared" si="16"/>
        <v>silvally-fairy</v>
      </c>
      <c r="C954" s="5" t="str">
        <f t="shared" si="2"/>
        <v/>
      </c>
    </row>
    <row r="955" ht="45.0" customHeight="1">
      <c r="A955" s="4" t="s">
        <v>977</v>
      </c>
      <c r="B955" s="4" t="str">
        <f t="shared" si="16"/>
        <v>silvally-ice</v>
      </c>
      <c r="C955" s="5" t="str">
        <f t="shared" si="2"/>
        <v/>
      </c>
    </row>
    <row r="956" ht="45.0" customHeight="1">
      <c r="A956" s="4" t="s">
        <v>978</v>
      </c>
      <c r="B956" s="4" t="str">
        <f t="shared" si="16"/>
        <v>silvally-fighting</v>
      </c>
      <c r="C956" s="5" t="str">
        <f t="shared" si="2"/>
        <v/>
      </c>
    </row>
    <row r="957" ht="45.0" customHeight="1">
      <c r="A957" s="4" t="s">
        <v>979</v>
      </c>
      <c r="B957" s="4" t="str">
        <f t="shared" si="16"/>
        <v>silvally-water</v>
      </c>
      <c r="C957" s="5" t="str">
        <f t="shared" si="2"/>
        <v/>
      </c>
    </row>
    <row r="958" ht="45.0" customHeight="1">
      <c r="A958" s="4" t="s">
        <v>980</v>
      </c>
      <c r="B958" s="4" t="str">
        <f t="shared" si="16"/>
        <v>silvally-grass</v>
      </c>
      <c r="C958" s="5" t="str">
        <f t="shared" si="2"/>
        <v/>
      </c>
    </row>
    <row r="959" ht="45.0" customHeight="1">
      <c r="A959" s="4" t="s">
        <v>981</v>
      </c>
      <c r="B959" s="4" t="str">
        <f t="shared" si="16"/>
        <v>silvally-electric</v>
      </c>
      <c r="C959" s="5" t="str">
        <f t="shared" si="2"/>
        <v/>
      </c>
    </row>
    <row r="960" ht="45.0" customHeight="1">
      <c r="A960" s="4" t="s">
        <v>982</v>
      </c>
      <c r="B960" s="4" t="str">
        <f t="shared" si="16"/>
        <v>silvally-psychic</v>
      </c>
      <c r="C960" s="5" t="str">
        <f t="shared" si="2"/>
        <v/>
      </c>
    </row>
    <row r="961" ht="45.0" customHeight="1">
      <c r="A961" s="4" t="s">
        <v>983</v>
      </c>
      <c r="B961" s="4" t="str">
        <f t="shared" si="16"/>
        <v>silvally-steel</v>
      </c>
      <c r="C961" s="5" t="str">
        <f t="shared" si="2"/>
        <v/>
      </c>
    </row>
    <row r="962" ht="45.0" customHeight="1">
      <c r="A962" s="4" t="s">
        <v>984</v>
      </c>
      <c r="B962" s="4" t="str">
        <f t="shared" si="16"/>
        <v>silvally-dragon</v>
      </c>
      <c r="C962" s="5" t="str">
        <f t="shared" si="2"/>
        <v/>
      </c>
    </row>
    <row r="963" ht="45.0" customHeight="1">
      <c r="A963" s="4" t="s">
        <v>985</v>
      </c>
      <c r="B963" s="4" t="str">
        <f t="shared" si="16"/>
        <v>silvally-dark</v>
      </c>
      <c r="C963" s="5" t="str">
        <f t="shared" si="2"/>
        <v/>
      </c>
    </row>
    <row r="964" ht="45.0" customHeight="1">
      <c r="A964" s="4" t="s">
        <v>986</v>
      </c>
      <c r="B964" s="4" t="str">
        <f t="shared" si="16"/>
        <v>silvally-ghost</v>
      </c>
      <c r="C964" s="5" t="str">
        <f t="shared" si="2"/>
        <v/>
      </c>
    </row>
    <row r="965" ht="45.0" customHeight="1">
      <c r="A965" s="6" t="s">
        <v>987</v>
      </c>
      <c r="B965" s="4" t="str">
        <f t="shared" si="16"/>
        <v>minior</v>
      </c>
      <c r="C965" s="5" t="str">
        <f t="shared" si="2"/>
        <v/>
      </c>
    </row>
    <row r="966" ht="45.0" customHeight="1">
      <c r="A966" s="6" t="s">
        <v>988</v>
      </c>
      <c r="B966" s="4" t="s">
        <v>989</v>
      </c>
      <c r="C966" s="5" t="str">
        <f t="shared" si="2"/>
        <v/>
      </c>
    </row>
    <row r="967" ht="45.0" customHeight="1">
      <c r="A967" s="6" t="s">
        <v>990</v>
      </c>
      <c r="B967" s="4" t="str">
        <f t="shared" ref="B967:B973" si="17">LOWER(A967)</f>
        <v>komala</v>
      </c>
      <c r="C967" s="5" t="str">
        <f t="shared" si="2"/>
        <v/>
      </c>
    </row>
    <row r="968" ht="45.0" customHeight="1">
      <c r="A968" s="6" t="s">
        <v>991</v>
      </c>
      <c r="B968" s="4" t="str">
        <f t="shared" si="17"/>
        <v>turtonator</v>
      </c>
      <c r="C968" s="5" t="str">
        <f t="shared" si="2"/>
        <v/>
      </c>
    </row>
    <row r="969" ht="45.0" customHeight="1">
      <c r="A969" s="6" t="s">
        <v>992</v>
      </c>
      <c r="B969" s="4" t="str">
        <f t="shared" si="17"/>
        <v>togedemaru</v>
      </c>
      <c r="C969" s="5" t="str">
        <f t="shared" si="2"/>
        <v/>
      </c>
    </row>
    <row r="970" ht="45.0" customHeight="1">
      <c r="A970" s="6" t="s">
        <v>993</v>
      </c>
      <c r="B970" s="4" t="str">
        <f t="shared" si="17"/>
        <v>mimikyu</v>
      </c>
      <c r="C970" s="5" t="str">
        <f t="shared" si="2"/>
        <v/>
      </c>
    </row>
    <row r="971" ht="45.0" customHeight="1">
      <c r="A971" s="6" t="s">
        <v>994</v>
      </c>
      <c r="B971" s="4" t="str">
        <f t="shared" si="17"/>
        <v>bruxish</v>
      </c>
      <c r="C971" s="5" t="str">
        <f t="shared" si="2"/>
        <v/>
      </c>
    </row>
    <row r="972" ht="45.0" customHeight="1">
      <c r="A972" s="6" t="s">
        <v>995</v>
      </c>
      <c r="B972" s="4" t="str">
        <f t="shared" si="17"/>
        <v>drampa</v>
      </c>
      <c r="C972" s="5" t="str">
        <f t="shared" si="2"/>
        <v/>
      </c>
    </row>
    <row r="973" ht="45.0" customHeight="1">
      <c r="A973" s="6" t="s">
        <v>996</v>
      </c>
      <c r="B973" s="4" t="str">
        <f t="shared" si="17"/>
        <v>dhelmise</v>
      </c>
      <c r="C973" s="5" t="str">
        <f t="shared" si="2"/>
        <v/>
      </c>
    </row>
    <row r="974" ht="45.0" customHeight="1">
      <c r="A974" s="6" t="s">
        <v>997</v>
      </c>
      <c r="B974" s="4" t="s">
        <v>998</v>
      </c>
      <c r="C974" s="5" t="str">
        <f t="shared" si="2"/>
        <v/>
      </c>
    </row>
    <row r="975" ht="45.0" customHeight="1">
      <c r="A975" s="6" t="s">
        <v>999</v>
      </c>
      <c r="B975" s="4" t="s">
        <v>1000</v>
      </c>
      <c r="C975" s="5" t="str">
        <f t="shared" si="2"/>
        <v/>
      </c>
    </row>
    <row r="976" ht="45.0" customHeight="1">
      <c r="A976" s="4" t="s">
        <v>1001</v>
      </c>
      <c r="B976" s="4" t="s">
        <v>1002</v>
      </c>
      <c r="C976" s="5" t="str">
        <f t="shared" si="2"/>
        <v/>
      </c>
    </row>
    <row r="977" ht="45.0" customHeight="1">
      <c r="A977" s="6" t="s">
        <v>1003</v>
      </c>
      <c r="B977" s="4" t="s">
        <v>1004</v>
      </c>
      <c r="C977" s="5" t="str">
        <f t="shared" si="2"/>
        <v/>
      </c>
    </row>
    <row r="978" ht="45.0" customHeight="1">
      <c r="A978" s="6" t="s">
        <v>1005</v>
      </c>
      <c r="B978" s="4" t="s">
        <v>1006</v>
      </c>
      <c r="C978" s="5" t="str">
        <f t="shared" si="2"/>
        <v/>
      </c>
    </row>
    <row r="979" ht="45.0" customHeight="1">
      <c r="A979" s="6" t="s">
        <v>1007</v>
      </c>
      <c r="B979" s="4" t="s">
        <v>1008</v>
      </c>
      <c r="C979" s="5" t="str">
        <f t="shared" si="2"/>
        <v/>
      </c>
    </row>
    <row r="980" ht="45.0" customHeight="1">
      <c r="A980" s="6" t="s">
        <v>1009</v>
      </c>
      <c r="B980" s="4" t="s">
        <v>1010</v>
      </c>
      <c r="C980" s="5" t="str">
        <f t="shared" si="2"/>
        <v/>
      </c>
    </row>
    <row r="981" ht="45.0" customHeight="1">
      <c r="A981" s="6" t="s">
        <v>1011</v>
      </c>
      <c r="B981" s="4" t="str">
        <f t="shared" ref="B981:B992" si="18">LOWER(A981)</f>
        <v>cosmog</v>
      </c>
      <c r="C981" s="5" t="str">
        <f t="shared" si="2"/>
        <v/>
      </c>
    </row>
    <row r="982" ht="45.0" customHeight="1">
      <c r="A982" s="6" t="s">
        <v>1012</v>
      </c>
      <c r="B982" s="4" t="str">
        <f t="shared" si="18"/>
        <v>cosmoem</v>
      </c>
      <c r="C982" s="5" t="str">
        <f t="shared" si="2"/>
        <v/>
      </c>
    </row>
    <row r="983" ht="45.0" customHeight="1">
      <c r="A983" s="6" t="s">
        <v>1013</v>
      </c>
      <c r="B983" s="4" t="str">
        <f t="shared" si="18"/>
        <v>solgaleo</v>
      </c>
      <c r="C983" s="5" t="str">
        <f t="shared" si="2"/>
        <v/>
      </c>
    </row>
    <row r="984" ht="45.0" customHeight="1">
      <c r="A984" s="6" t="s">
        <v>1014</v>
      </c>
      <c r="B984" s="4" t="str">
        <f t="shared" si="18"/>
        <v>lunala</v>
      </c>
      <c r="C984" s="5" t="str">
        <f t="shared" si="2"/>
        <v/>
      </c>
    </row>
    <row r="985" ht="45.0" customHeight="1">
      <c r="A985" s="6" t="s">
        <v>1015</v>
      </c>
      <c r="B985" s="4" t="str">
        <f t="shared" si="18"/>
        <v>nihilego</v>
      </c>
      <c r="C985" s="5" t="str">
        <f t="shared" si="2"/>
        <v/>
      </c>
    </row>
    <row r="986" ht="45.0" customHeight="1">
      <c r="A986" s="6" t="s">
        <v>1016</v>
      </c>
      <c r="B986" s="4" t="str">
        <f t="shared" si="18"/>
        <v>buzzwole</v>
      </c>
      <c r="C986" s="5" t="str">
        <f t="shared" si="2"/>
        <v/>
      </c>
    </row>
    <row r="987" ht="45.0" customHeight="1">
      <c r="A987" s="6" t="s">
        <v>1017</v>
      </c>
      <c r="B987" s="4" t="str">
        <f t="shared" si="18"/>
        <v>pheromosa</v>
      </c>
      <c r="C987" s="5" t="str">
        <f t="shared" si="2"/>
        <v/>
      </c>
    </row>
    <row r="988" ht="45.0" customHeight="1">
      <c r="A988" s="6" t="s">
        <v>1018</v>
      </c>
      <c r="B988" s="4" t="str">
        <f t="shared" si="18"/>
        <v>xurkitree</v>
      </c>
      <c r="C988" s="5" t="str">
        <f t="shared" si="2"/>
        <v/>
      </c>
    </row>
    <row r="989" ht="45.0" customHeight="1">
      <c r="A989" s="6" t="s">
        <v>1019</v>
      </c>
      <c r="B989" s="4" t="str">
        <f t="shared" si="18"/>
        <v>celesteela</v>
      </c>
      <c r="C989" s="5" t="str">
        <f t="shared" si="2"/>
        <v/>
      </c>
    </row>
    <row r="990" ht="45.0" customHeight="1">
      <c r="A990" s="6" t="s">
        <v>1020</v>
      </c>
      <c r="B990" s="4" t="str">
        <f t="shared" si="18"/>
        <v>kartana</v>
      </c>
      <c r="C990" s="5" t="str">
        <f t="shared" si="2"/>
        <v/>
      </c>
    </row>
    <row r="991" ht="45.0" customHeight="1">
      <c r="A991" s="6" t="s">
        <v>1021</v>
      </c>
      <c r="B991" s="4" t="str">
        <f t="shared" si="18"/>
        <v>guzzlord</v>
      </c>
      <c r="C991" s="5" t="str">
        <f t="shared" si="2"/>
        <v/>
      </c>
    </row>
    <row r="992" ht="45.0" customHeight="1">
      <c r="A992" s="6" t="s">
        <v>1022</v>
      </c>
      <c r="B992" s="4" t="str">
        <f t="shared" si="18"/>
        <v>necrozma</v>
      </c>
      <c r="C992" s="5" t="str">
        <f t="shared" si="2"/>
        <v/>
      </c>
    </row>
    <row r="993" ht="45.0" customHeight="1">
      <c r="A993" s="6" t="s">
        <v>1023</v>
      </c>
      <c r="B993" s="4" t="s">
        <v>1024</v>
      </c>
      <c r="C993" s="5" t="str">
        <f t="shared" si="2"/>
        <v/>
      </c>
    </row>
    <row r="994" ht="45.0" customHeight="1">
      <c r="A994" s="6" t="s">
        <v>1025</v>
      </c>
      <c r="B994" s="4" t="s">
        <v>1026</v>
      </c>
      <c r="C994" s="5" t="str">
        <f t="shared" si="2"/>
        <v/>
      </c>
    </row>
    <row r="995" ht="45.0" customHeight="1">
      <c r="A995" s="6" t="s">
        <v>1027</v>
      </c>
      <c r="B995" s="4" t="str">
        <f t="shared" ref="B995:B1074" si="19">LOWER(A995)</f>
        <v>necrozma-ultra</v>
      </c>
      <c r="C995" s="5" t="str">
        <f t="shared" si="2"/>
        <v/>
      </c>
    </row>
    <row r="996" ht="45.0" customHeight="1">
      <c r="A996" s="6" t="s">
        <v>1028</v>
      </c>
      <c r="B996" s="4" t="str">
        <f t="shared" si="19"/>
        <v>magearna</v>
      </c>
      <c r="C996" s="5" t="str">
        <f t="shared" si="2"/>
        <v/>
      </c>
    </row>
    <row r="997" ht="45.0" customHeight="1">
      <c r="A997" s="6" t="s">
        <v>1029</v>
      </c>
      <c r="B997" s="4" t="str">
        <f t="shared" si="19"/>
        <v>marshadow</v>
      </c>
      <c r="C997" s="5" t="str">
        <f t="shared" si="2"/>
        <v/>
      </c>
    </row>
    <row r="998" ht="45.0" customHeight="1">
      <c r="A998" s="6" t="s">
        <v>1030</v>
      </c>
      <c r="B998" s="4" t="str">
        <f t="shared" si="19"/>
        <v>poipole</v>
      </c>
      <c r="C998" s="5" t="str">
        <f t="shared" si="2"/>
        <v/>
      </c>
    </row>
    <row r="999" ht="45.0" customHeight="1">
      <c r="A999" s="6" t="s">
        <v>1031</v>
      </c>
      <c r="B999" s="4" t="str">
        <f t="shared" si="19"/>
        <v>naganadel</v>
      </c>
      <c r="C999" s="5" t="str">
        <f t="shared" si="2"/>
        <v/>
      </c>
    </row>
    <row r="1000" ht="45.0" customHeight="1">
      <c r="A1000" s="6" t="s">
        <v>1032</v>
      </c>
      <c r="B1000" s="4" t="str">
        <f t="shared" si="19"/>
        <v>stakataka</v>
      </c>
      <c r="C1000" s="5" t="str">
        <f t="shared" si="2"/>
        <v/>
      </c>
    </row>
    <row r="1001" ht="45.0" customHeight="1">
      <c r="A1001" s="6" t="s">
        <v>1033</v>
      </c>
      <c r="B1001" s="4" t="str">
        <f t="shared" si="19"/>
        <v>blacephalon</v>
      </c>
      <c r="C1001" s="5" t="str">
        <f t="shared" si="2"/>
        <v/>
      </c>
    </row>
    <row r="1002" ht="45.0" customHeight="1">
      <c r="A1002" s="6" t="s">
        <v>1034</v>
      </c>
      <c r="B1002" s="4" t="str">
        <f t="shared" si="19"/>
        <v>zeraora</v>
      </c>
      <c r="C1002" s="5" t="str">
        <f t="shared" si="2"/>
        <v/>
      </c>
    </row>
    <row r="1003" ht="45.0" customHeight="1">
      <c r="A1003" s="6" t="s">
        <v>1035</v>
      </c>
      <c r="B1003" s="4" t="str">
        <f t="shared" si="19"/>
        <v>meltan</v>
      </c>
      <c r="C1003" s="5" t="str">
        <f t="shared" si="2"/>
        <v/>
      </c>
    </row>
    <row r="1004" ht="45.0" customHeight="1">
      <c r="A1004" s="6" t="s">
        <v>1036</v>
      </c>
      <c r="B1004" s="4" t="str">
        <f t="shared" si="19"/>
        <v>melmetal</v>
      </c>
      <c r="C1004" s="5" t="str">
        <f t="shared" si="2"/>
        <v/>
      </c>
    </row>
    <row r="1005" ht="45.0" customHeight="1">
      <c r="A1005" s="4" t="s">
        <v>1037</v>
      </c>
      <c r="B1005" s="4" t="str">
        <f t="shared" si="19"/>
        <v>melmetal-gmax</v>
      </c>
      <c r="C1005" s="5" t="str">
        <f t="shared" si="2"/>
        <v/>
      </c>
    </row>
    <row r="1006" ht="45.0" customHeight="1">
      <c r="A1006" s="6" t="s">
        <v>1038</v>
      </c>
      <c r="B1006" s="4" t="str">
        <f t="shared" si="19"/>
        <v>grookey</v>
      </c>
      <c r="C1006" s="5" t="str">
        <f t="shared" si="2"/>
        <v/>
      </c>
    </row>
    <row r="1007" ht="45.0" customHeight="1">
      <c r="A1007" s="6" t="s">
        <v>1039</v>
      </c>
      <c r="B1007" s="4" t="str">
        <f t="shared" si="19"/>
        <v>thwackey</v>
      </c>
      <c r="C1007" s="5" t="str">
        <f t="shared" si="2"/>
        <v/>
      </c>
    </row>
    <row r="1008" ht="45.0" customHeight="1">
      <c r="A1008" s="6" t="s">
        <v>1040</v>
      </c>
      <c r="B1008" s="4" t="str">
        <f t="shared" si="19"/>
        <v>rillaboom</v>
      </c>
      <c r="C1008" s="5" t="str">
        <f t="shared" si="2"/>
        <v/>
      </c>
    </row>
    <row r="1009" ht="45.0" customHeight="1">
      <c r="A1009" s="6" t="s">
        <v>1041</v>
      </c>
      <c r="B1009" s="4" t="str">
        <f t="shared" si="19"/>
        <v>rillaboom-gmax</v>
      </c>
      <c r="C1009" s="5" t="str">
        <f t="shared" si="2"/>
        <v/>
      </c>
    </row>
    <row r="1010" ht="45.0" customHeight="1">
      <c r="A1010" s="6" t="s">
        <v>1042</v>
      </c>
      <c r="B1010" s="4" t="str">
        <f t="shared" si="19"/>
        <v>scorbunny</v>
      </c>
      <c r="C1010" s="5" t="str">
        <f t="shared" si="2"/>
        <v/>
      </c>
    </row>
    <row r="1011" ht="45.0" customHeight="1">
      <c r="A1011" s="6" t="s">
        <v>1043</v>
      </c>
      <c r="B1011" s="4" t="str">
        <f t="shared" si="19"/>
        <v>raboot</v>
      </c>
      <c r="C1011" s="5" t="str">
        <f t="shared" si="2"/>
        <v/>
      </c>
    </row>
    <row r="1012" ht="45.0" customHeight="1">
      <c r="A1012" s="6" t="s">
        <v>1044</v>
      </c>
      <c r="B1012" s="4" t="str">
        <f t="shared" si="19"/>
        <v>cinderace</v>
      </c>
      <c r="C1012" s="5" t="str">
        <f t="shared" si="2"/>
        <v/>
      </c>
    </row>
    <row r="1013" ht="45.0" customHeight="1">
      <c r="A1013" s="6" t="s">
        <v>1045</v>
      </c>
      <c r="B1013" s="4" t="str">
        <f t="shared" si="19"/>
        <v>cinderace-gmax</v>
      </c>
      <c r="C1013" s="5" t="str">
        <f t="shared" si="2"/>
        <v/>
      </c>
    </row>
    <row r="1014" ht="45.0" customHeight="1">
      <c r="A1014" s="6" t="s">
        <v>1046</v>
      </c>
      <c r="B1014" s="4" t="str">
        <f t="shared" si="19"/>
        <v>sobble</v>
      </c>
      <c r="C1014" s="5" t="str">
        <f t="shared" si="2"/>
        <v/>
      </c>
    </row>
    <row r="1015" ht="45.0" customHeight="1">
      <c r="A1015" s="6" t="s">
        <v>1047</v>
      </c>
      <c r="B1015" s="4" t="str">
        <f t="shared" si="19"/>
        <v>drizzile</v>
      </c>
      <c r="C1015" s="5" t="str">
        <f t="shared" si="2"/>
        <v/>
      </c>
    </row>
    <row r="1016" ht="45.0" customHeight="1">
      <c r="A1016" s="6" t="s">
        <v>1048</v>
      </c>
      <c r="B1016" s="4" t="str">
        <f t="shared" si="19"/>
        <v>inteleon</v>
      </c>
      <c r="C1016" s="5" t="str">
        <f t="shared" si="2"/>
        <v/>
      </c>
    </row>
    <row r="1017" ht="45.0" customHeight="1">
      <c r="A1017" s="6" t="s">
        <v>1049</v>
      </c>
      <c r="B1017" s="4" t="str">
        <f t="shared" si="19"/>
        <v>inteleon-gmax</v>
      </c>
      <c r="C1017" s="5" t="str">
        <f t="shared" si="2"/>
        <v/>
      </c>
    </row>
    <row r="1018" ht="45.0" customHeight="1">
      <c r="A1018" s="6" t="s">
        <v>1050</v>
      </c>
      <c r="B1018" s="4" t="str">
        <f t="shared" si="19"/>
        <v>skwovet</v>
      </c>
      <c r="C1018" s="5" t="str">
        <f t="shared" si="2"/>
        <v/>
      </c>
    </row>
    <row r="1019" ht="45.0" customHeight="1">
      <c r="A1019" s="6" t="s">
        <v>1051</v>
      </c>
      <c r="B1019" s="4" t="str">
        <f t="shared" si="19"/>
        <v>greedent</v>
      </c>
      <c r="C1019" s="5" t="str">
        <f t="shared" si="2"/>
        <v/>
      </c>
    </row>
    <row r="1020" ht="45.0" customHeight="1">
      <c r="A1020" s="6" t="s">
        <v>1052</v>
      </c>
      <c r="B1020" s="4" t="str">
        <f t="shared" si="19"/>
        <v>rookidee</v>
      </c>
      <c r="C1020" s="5" t="str">
        <f t="shared" si="2"/>
        <v/>
      </c>
    </row>
    <row r="1021" ht="45.0" customHeight="1">
      <c r="A1021" s="6" t="s">
        <v>1053</v>
      </c>
      <c r="B1021" s="4" t="str">
        <f t="shared" si="19"/>
        <v>corvisquire</v>
      </c>
      <c r="C1021" s="5" t="str">
        <f t="shared" si="2"/>
        <v/>
      </c>
    </row>
    <row r="1022" ht="45.0" customHeight="1">
      <c r="A1022" s="6" t="s">
        <v>1054</v>
      </c>
      <c r="B1022" s="4" t="str">
        <f t="shared" si="19"/>
        <v>corviknight</v>
      </c>
      <c r="C1022" s="5" t="str">
        <f t="shared" si="2"/>
        <v/>
      </c>
    </row>
    <row r="1023" ht="45.0" customHeight="1">
      <c r="A1023" s="6" t="s">
        <v>1055</v>
      </c>
      <c r="B1023" s="4" t="str">
        <f t="shared" si="19"/>
        <v>corviknight-gmax</v>
      </c>
      <c r="C1023" s="5" t="str">
        <f t="shared" si="2"/>
        <v/>
      </c>
    </row>
    <row r="1024" ht="45.0" customHeight="1">
      <c r="A1024" s="6" t="s">
        <v>1056</v>
      </c>
      <c r="B1024" s="4" t="str">
        <f t="shared" si="19"/>
        <v>blipbug</v>
      </c>
      <c r="C1024" s="5" t="str">
        <f t="shared" si="2"/>
        <v/>
      </c>
    </row>
    <row r="1025" ht="45.0" customHeight="1">
      <c r="A1025" s="6" t="s">
        <v>1057</v>
      </c>
      <c r="B1025" s="4" t="str">
        <f t="shared" si="19"/>
        <v>dottler</v>
      </c>
      <c r="C1025" s="5" t="str">
        <f t="shared" si="2"/>
        <v/>
      </c>
    </row>
    <row r="1026" ht="45.0" customHeight="1">
      <c r="A1026" s="6" t="s">
        <v>1058</v>
      </c>
      <c r="B1026" s="4" t="str">
        <f t="shared" si="19"/>
        <v>orbeetle</v>
      </c>
      <c r="C1026" s="5" t="str">
        <f t="shared" si="2"/>
        <v/>
      </c>
    </row>
    <row r="1027" ht="45.0" customHeight="1">
      <c r="A1027" s="6" t="s">
        <v>1059</v>
      </c>
      <c r="B1027" s="4" t="str">
        <f t="shared" si="19"/>
        <v>orbeetle-gmax</v>
      </c>
      <c r="C1027" s="5" t="str">
        <f t="shared" si="2"/>
        <v/>
      </c>
    </row>
    <row r="1028" ht="45.0" customHeight="1">
      <c r="A1028" s="6" t="s">
        <v>1060</v>
      </c>
      <c r="B1028" s="4" t="str">
        <f t="shared" si="19"/>
        <v>nickit</v>
      </c>
      <c r="C1028" s="5" t="str">
        <f t="shared" si="2"/>
        <v/>
      </c>
    </row>
    <row r="1029" ht="45.0" customHeight="1">
      <c r="A1029" s="6" t="s">
        <v>1061</v>
      </c>
      <c r="B1029" s="4" t="str">
        <f t="shared" si="19"/>
        <v>thievul</v>
      </c>
      <c r="C1029" s="5" t="str">
        <f t="shared" si="2"/>
        <v/>
      </c>
    </row>
    <row r="1030" ht="45.0" customHeight="1">
      <c r="A1030" s="6" t="s">
        <v>1062</v>
      </c>
      <c r="B1030" s="4" t="str">
        <f t="shared" si="19"/>
        <v>gossifleur</v>
      </c>
      <c r="C1030" s="5" t="str">
        <f t="shared" si="2"/>
        <v/>
      </c>
    </row>
    <row r="1031" ht="45.0" customHeight="1">
      <c r="A1031" s="6" t="s">
        <v>1063</v>
      </c>
      <c r="B1031" s="4" t="str">
        <f t="shared" si="19"/>
        <v>eldegoss</v>
      </c>
      <c r="C1031" s="5" t="str">
        <f t="shared" si="2"/>
        <v/>
      </c>
    </row>
    <row r="1032" ht="45.0" customHeight="1">
      <c r="A1032" s="6" t="s">
        <v>1064</v>
      </c>
      <c r="B1032" s="4" t="str">
        <f t="shared" si="19"/>
        <v>wooloo</v>
      </c>
      <c r="C1032" s="5" t="str">
        <f t="shared" si="2"/>
        <v/>
      </c>
    </row>
    <row r="1033" ht="45.0" customHeight="1">
      <c r="A1033" s="6" t="s">
        <v>1065</v>
      </c>
      <c r="B1033" s="4" t="str">
        <f t="shared" si="19"/>
        <v>dubwool</v>
      </c>
      <c r="C1033" s="5" t="str">
        <f t="shared" si="2"/>
        <v/>
      </c>
    </row>
    <row r="1034" ht="45.0" customHeight="1">
      <c r="A1034" s="6" t="s">
        <v>1066</v>
      </c>
      <c r="B1034" s="4" t="str">
        <f t="shared" si="19"/>
        <v>chewtle</v>
      </c>
      <c r="C1034" s="5" t="str">
        <f t="shared" si="2"/>
        <v/>
      </c>
    </row>
    <row r="1035" ht="45.0" customHeight="1">
      <c r="A1035" s="6" t="s">
        <v>1067</v>
      </c>
      <c r="B1035" s="4" t="str">
        <f t="shared" si="19"/>
        <v>drednaw</v>
      </c>
      <c r="C1035" s="5" t="str">
        <f t="shared" si="2"/>
        <v/>
      </c>
    </row>
    <row r="1036" ht="45.0" customHeight="1">
      <c r="A1036" s="6" t="s">
        <v>1068</v>
      </c>
      <c r="B1036" s="4" t="str">
        <f t="shared" si="19"/>
        <v>drednaw-gmax</v>
      </c>
      <c r="C1036" s="5" t="str">
        <f t="shared" si="2"/>
        <v/>
      </c>
    </row>
    <row r="1037" ht="45.0" customHeight="1">
      <c r="A1037" s="6" t="s">
        <v>1069</v>
      </c>
      <c r="B1037" s="4" t="str">
        <f t="shared" si="19"/>
        <v>yamper</v>
      </c>
      <c r="C1037" s="5" t="str">
        <f t="shared" si="2"/>
        <v/>
      </c>
    </row>
    <row r="1038" ht="45.0" customHeight="1">
      <c r="A1038" s="6" t="s">
        <v>1070</v>
      </c>
      <c r="B1038" s="4" t="str">
        <f t="shared" si="19"/>
        <v>boltund</v>
      </c>
      <c r="C1038" s="5" t="str">
        <f t="shared" si="2"/>
        <v/>
      </c>
    </row>
    <row r="1039" ht="45.0" customHeight="1">
      <c r="A1039" s="6" t="s">
        <v>1071</v>
      </c>
      <c r="B1039" s="4" t="str">
        <f t="shared" si="19"/>
        <v>rolycoly</v>
      </c>
      <c r="C1039" s="5" t="str">
        <f t="shared" si="2"/>
        <v/>
      </c>
    </row>
    <row r="1040" ht="45.0" customHeight="1">
      <c r="A1040" s="6" t="s">
        <v>1072</v>
      </c>
      <c r="B1040" s="4" t="str">
        <f t="shared" si="19"/>
        <v>carkol</v>
      </c>
      <c r="C1040" s="5" t="str">
        <f t="shared" si="2"/>
        <v/>
      </c>
    </row>
    <row r="1041" ht="45.0" customHeight="1">
      <c r="A1041" s="6" t="s">
        <v>1073</v>
      </c>
      <c r="B1041" s="4" t="str">
        <f t="shared" si="19"/>
        <v>coalossal</v>
      </c>
      <c r="C1041" s="5" t="str">
        <f t="shared" si="2"/>
        <v/>
      </c>
    </row>
    <row r="1042" ht="45.0" customHeight="1">
      <c r="A1042" s="6" t="s">
        <v>1074</v>
      </c>
      <c r="B1042" s="4" t="str">
        <f t="shared" si="19"/>
        <v>coalossal-gmax</v>
      </c>
      <c r="C1042" s="5" t="str">
        <f t="shared" si="2"/>
        <v/>
      </c>
    </row>
    <row r="1043" ht="45.0" customHeight="1">
      <c r="A1043" s="6" t="s">
        <v>1075</v>
      </c>
      <c r="B1043" s="4" t="str">
        <f t="shared" si="19"/>
        <v>applin</v>
      </c>
      <c r="C1043" s="5" t="str">
        <f t="shared" si="2"/>
        <v/>
      </c>
    </row>
    <row r="1044" ht="45.0" customHeight="1">
      <c r="A1044" s="6" t="s">
        <v>1076</v>
      </c>
      <c r="B1044" s="4" t="str">
        <f t="shared" si="19"/>
        <v>flapple</v>
      </c>
      <c r="C1044" s="5" t="str">
        <f t="shared" si="2"/>
        <v/>
      </c>
    </row>
    <row r="1045" ht="45.0" customHeight="1">
      <c r="A1045" s="6" t="s">
        <v>1077</v>
      </c>
      <c r="B1045" s="4" t="str">
        <f t="shared" si="19"/>
        <v>flapple-gmax</v>
      </c>
      <c r="C1045" s="5" t="str">
        <f t="shared" si="2"/>
        <v/>
      </c>
    </row>
    <row r="1046" ht="45.0" customHeight="1">
      <c r="A1046" s="6" t="s">
        <v>1078</v>
      </c>
      <c r="B1046" s="4" t="str">
        <f t="shared" si="19"/>
        <v>appletun</v>
      </c>
      <c r="C1046" s="5" t="str">
        <f t="shared" si="2"/>
        <v/>
      </c>
    </row>
    <row r="1047" ht="45.0" customHeight="1">
      <c r="A1047" s="6" t="s">
        <v>1079</v>
      </c>
      <c r="B1047" s="4" t="str">
        <f t="shared" si="19"/>
        <v>appletun-gmax</v>
      </c>
      <c r="C1047" s="5" t="str">
        <f t="shared" si="2"/>
        <v/>
      </c>
    </row>
    <row r="1048" ht="45.0" customHeight="1">
      <c r="A1048" s="6" t="s">
        <v>1080</v>
      </c>
      <c r="B1048" s="4" t="str">
        <f t="shared" si="19"/>
        <v>silicobra</v>
      </c>
      <c r="C1048" s="5" t="str">
        <f t="shared" si="2"/>
        <v/>
      </c>
    </row>
    <row r="1049" ht="45.0" customHeight="1">
      <c r="A1049" s="6" t="s">
        <v>1081</v>
      </c>
      <c r="B1049" s="4" t="str">
        <f t="shared" si="19"/>
        <v>sandaconda</v>
      </c>
      <c r="C1049" s="5" t="str">
        <f t="shared" si="2"/>
        <v/>
      </c>
    </row>
    <row r="1050" ht="45.0" customHeight="1">
      <c r="A1050" s="6" t="s">
        <v>1082</v>
      </c>
      <c r="B1050" s="4" t="str">
        <f t="shared" si="19"/>
        <v>sandaconda-gmax</v>
      </c>
      <c r="C1050" s="5" t="str">
        <f t="shared" si="2"/>
        <v/>
      </c>
    </row>
    <row r="1051" ht="45.0" customHeight="1">
      <c r="A1051" s="6" t="s">
        <v>1083</v>
      </c>
      <c r="B1051" s="4" t="str">
        <f t="shared" si="19"/>
        <v>cramorant</v>
      </c>
      <c r="C1051" s="5" t="str">
        <f t="shared" si="2"/>
        <v/>
      </c>
    </row>
    <row r="1052" ht="45.0" customHeight="1">
      <c r="A1052" s="6" t="s">
        <v>1084</v>
      </c>
      <c r="B1052" s="4" t="str">
        <f t="shared" si="19"/>
        <v>arrokuda</v>
      </c>
      <c r="C1052" s="5" t="str">
        <f t="shared" si="2"/>
        <v/>
      </c>
    </row>
    <row r="1053" ht="45.0" customHeight="1">
      <c r="A1053" s="6" t="s">
        <v>1085</v>
      </c>
      <c r="B1053" s="4" t="str">
        <f t="shared" si="19"/>
        <v>barraskewda</v>
      </c>
      <c r="C1053" s="5" t="str">
        <f t="shared" si="2"/>
        <v/>
      </c>
    </row>
    <row r="1054" ht="45.0" customHeight="1">
      <c r="A1054" s="6" t="s">
        <v>1086</v>
      </c>
      <c r="B1054" s="4" t="str">
        <f t="shared" si="19"/>
        <v>toxel</v>
      </c>
      <c r="C1054" s="5" t="str">
        <f t="shared" si="2"/>
        <v/>
      </c>
    </row>
    <row r="1055" ht="45.0" customHeight="1">
      <c r="A1055" s="6" t="s">
        <v>1087</v>
      </c>
      <c r="B1055" s="4" t="str">
        <f t="shared" si="19"/>
        <v>toxtricity</v>
      </c>
      <c r="C1055" s="5" t="str">
        <f t="shared" si="2"/>
        <v/>
      </c>
    </row>
    <row r="1056" ht="45.0" customHeight="1">
      <c r="A1056" s="6" t="s">
        <v>1088</v>
      </c>
      <c r="B1056" s="4" t="str">
        <f t="shared" si="19"/>
        <v>toxtricity-gmax</v>
      </c>
      <c r="C1056" s="5" t="str">
        <f t="shared" si="2"/>
        <v/>
      </c>
    </row>
    <row r="1057" ht="45.0" customHeight="1">
      <c r="A1057" s="6" t="s">
        <v>1089</v>
      </c>
      <c r="B1057" s="4" t="str">
        <f t="shared" si="19"/>
        <v>sizzlipede</v>
      </c>
      <c r="C1057" s="5" t="str">
        <f t="shared" si="2"/>
        <v/>
      </c>
    </row>
    <row r="1058" ht="45.0" customHeight="1">
      <c r="A1058" s="6" t="s">
        <v>1090</v>
      </c>
      <c r="B1058" s="4" t="str">
        <f t="shared" si="19"/>
        <v>centiskorch</v>
      </c>
      <c r="C1058" s="5" t="str">
        <f t="shared" si="2"/>
        <v/>
      </c>
    </row>
    <row r="1059" ht="45.0" customHeight="1">
      <c r="A1059" s="6" t="s">
        <v>1091</v>
      </c>
      <c r="B1059" s="4" t="str">
        <f t="shared" si="19"/>
        <v>centiskorch-gmax</v>
      </c>
      <c r="C1059" s="5" t="str">
        <f t="shared" si="2"/>
        <v/>
      </c>
    </row>
    <row r="1060" ht="45.0" customHeight="1">
      <c r="A1060" s="6" t="s">
        <v>1092</v>
      </c>
      <c r="B1060" s="4" t="str">
        <f t="shared" si="19"/>
        <v>clobbopus</v>
      </c>
      <c r="C1060" s="5" t="str">
        <f t="shared" si="2"/>
        <v/>
      </c>
    </row>
    <row r="1061" ht="45.0" customHeight="1">
      <c r="A1061" s="6" t="s">
        <v>1093</v>
      </c>
      <c r="B1061" s="4" t="str">
        <f t="shared" si="19"/>
        <v>grapploct</v>
      </c>
      <c r="C1061" s="5" t="str">
        <f t="shared" si="2"/>
        <v/>
      </c>
    </row>
    <row r="1062" ht="45.0" customHeight="1">
      <c r="A1062" s="6" t="s">
        <v>1094</v>
      </c>
      <c r="B1062" s="4" t="str">
        <f t="shared" si="19"/>
        <v>sinistea</v>
      </c>
      <c r="C1062" s="5" t="str">
        <f t="shared" si="2"/>
        <v/>
      </c>
    </row>
    <row r="1063" ht="45.0" customHeight="1">
      <c r="A1063" s="6" t="s">
        <v>1095</v>
      </c>
      <c r="B1063" s="4" t="str">
        <f t="shared" si="19"/>
        <v>polteageist</v>
      </c>
      <c r="C1063" s="5" t="str">
        <f t="shared" si="2"/>
        <v/>
      </c>
    </row>
    <row r="1064" ht="45.0" customHeight="1">
      <c r="A1064" s="6" t="s">
        <v>1096</v>
      </c>
      <c r="B1064" s="4" t="str">
        <f t="shared" si="19"/>
        <v>hatenna</v>
      </c>
      <c r="C1064" s="5" t="str">
        <f t="shared" si="2"/>
        <v/>
      </c>
    </row>
    <row r="1065" ht="45.0" customHeight="1">
      <c r="A1065" s="6" t="s">
        <v>1097</v>
      </c>
      <c r="B1065" s="4" t="str">
        <f t="shared" si="19"/>
        <v>hattrem</v>
      </c>
      <c r="C1065" s="5" t="str">
        <f t="shared" si="2"/>
        <v/>
      </c>
    </row>
    <row r="1066" ht="45.0" customHeight="1">
      <c r="A1066" s="6" t="s">
        <v>1098</v>
      </c>
      <c r="B1066" s="4" t="str">
        <f t="shared" si="19"/>
        <v>hatterene</v>
      </c>
      <c r="C1066" s="5" t="str">
        <f t="shared" si="2"/>
        <v/>
      </c>
    </row>
    <row r="1067" ht="45.0" customHeight="1">
      <c r="A1067" s="6" t="s">
        <v>1099</v>
      </c>
      <c r="B1067" s="4" t="str">
        <f t="shared" si="19"/>
        <v>hatterene-gmax</v>
      </c>
      <c r="C1067" s="5" t="str">
        <f t="shared" si="2"/>
        <v/>
      </c>
    </row>
    <row r="1068" ht="45.0" customHeight="1">
      <c r="A1068" s="6" t="s">
        <v>1100</v>
      </c>
      <c r="B1068" s="4" t="str">
        <f t="shared" si="19"/>
        <v>impidimp</v>
      </c>
      <c r="C1068" s="5" t="str">
        <f t="shared" si="2"/>
        <v/>
      </c>
    </row>
    <row r="1069" ht="45.0" customHeight="1">
      <c r="A1069" s="6" t="s">
        <v>1101</v>
      </c>
      <c r="B1069" s="4" t="str">
        <f t="shared" si="19"/>
        <v>morgrem</v>
      </c>
      <c r="C1069" s="5" t="str">
        <f t="shared" si="2"/>
        <v/>
      </c>
    </row>
    <row r="1070" ht="45.0" customHeight="1">
      <c r="A1070" s="6" t="s">
        <v>1102</v>
      </c>
      <c r="B1070" s="4" t="str">
        <f t="shared" si="19"/>
        <v>grimmsnarl</v>
      </c>
      <c r="C1070" s="5" t="str">
        <f t="shared" si="2"/>
        <v/>
      </c>
    </row>
    <row r="1071" ht="45.0" customHeight="1">
      <c r="A1071" s="6" t="s">
        <v>1103</v>
      </c>
      <c r="B1071" s="4" t="str">
        <f t="shared" si="19"/>
        <v>grimmsnarl-gmax</v>
      </c>
      <c r="C1071" s="5" t="str">
        <f t="shared" si="2"/>
        <v/>
      </c>
    </row>
    <row r="1072" ht="45.0" customHeight="1">
      <c r="A1072" s="6" t="s">
        <v>1104</v>
      </c>
      <c r="B1072" s="4" t="str">
        <f t="shared" si="19"/>
        <v>obstagoon</v>
      </c>
      <c r="C1072" s="5" t="str">
        <f t="shared" si="2"/>
        <v/>
      </c>
    </row>
    <row r="1073" ht="45.0" customHeight="1">
      <c r="A1073" s="10" t="s">
        <v>1105</v>
      </c>
      <c r="B1073" s="4" t="str">
        <f t="shared" si="19"/>
        <v>perrserker</v>
      </c>
      <c r="C1073" s="5" t="str">
        <f t="shared" si="2"/>
        <v/>
      </c>
    </row>
    <row r="1074" ht="45.0" customHeight="1">
      <c r="A1074" s="10" t="s">
        <v>1106</v>
      </c>
      <c r="B1074" s="4" t="str">
        <f t="shared" si="19"/>
        <v>cursola</v>
      </c>
      <c r="C1074" s="5" t="str">
        <f t="shared" si="2"/>
        <v/>
      </c>
    </row>
    <row r="1075" ht="45.0" customHeight="1">
      <c r="A1075" s="11" t="s">
        <v>1107</v>
      </c>
      <c r="B1075" s="4" t="s">
        <v>1108</v>
      </c>
      <c r="C1075" s="5" t="str">
        <f t="shared" si="2"/>
        <v/>
      </c>
    </row>
    <row r="1076" ht="45.0" customHeight="1">
      <c r="A1076" s="10" t="s">
        <v>1109</v>
      </c>
      <c r="B1076" s="4" t="s">
        <v>1110</v>
      </c>
      <c r="C1076" s="5" t="str">
        <f t="shared" si="2"/>
        <v/>
      </c>
    </row>
    <row r="1077" ht="45.0" customHeight="1">
      <c r="A1077" s="10" t="s">
        <v>1111</v>
      </c>
      <c r="B1077" s="4" t="str">
        <f t="shared" ref="B1077:B1103" si="20">LOWER(A1077)</f>
        <v>runerigus</v>
      </c>
      <c r="C1077" s="5" t="str">
        <f t="shared" si="2"/>
        <v/>
      </c>
    </row>
    <row r="1078" ht="45.0" customHeight="1">
      <c r="A1078" s="10" t="s">
        <v>1112</v>
      </c>
      <c r="B1078" s="4" t="str">
        <f t="shared" si="20"/>
        <v>milcery</v>
      </c>
      <c r="C1078" s="5" t="str">
        <f t="shared" si="2"/>
        <v/>
      </c>
    </row>
    <row r="1079" ht="45.0" customHeight="1">
      <c r="A1079" s="10" t="s">
        <v>1113</v>
      </c>
      <c r="B1079" s="4" t="str">
        <f t="shared" si="20"/>
        <v>alcremie</v>
      </c>
      <c r="C1079" s="5" t="str">
        <f t="shared" si="2"/>
        <v/>
      </c>
    </row>
    <row r="1080" ht="45.0" customHeight="1">
      <c r="A1080" s="10" t="s">
        <v>1114</v>
      </c>
      <c r="B1080" s="4" t="str">
        <f t="shared" si="20"/>
        <v>alcremie-gmax</v>
      </c>
      <c r="C1080" s="5" t="str">
        <f t="shared" si="2"/>
        <v/>
      </c>
    </row>
    <row r="1081" ht="45.0" customHeight="1">
      <c r="A1081" s="10" t="s">
        <v>1115</v>
      </c>
      <c r="B1081" s="4" t="str">
        <f t="shared" si="20"/>
        <v>falinks</v>
      </c>
      <c r="C1081" s="5" t="str">
        <f t="shared" si="2"/>
        <v/>
      </c>
    </row>
    <row r="1082" ht="45.0" customHeight="1">
      <c r="A1082" s="10" t="s">
        <v>1116</v>
      </c>
      <c r="B1082" s="4" t="str">
        <f t="shared" si="20"/>
        <v>pincurchin</v>
      </c>
      <c r="C1082" s="5" t="str">
        <f t="shared" si="2"/>
        <v/>
      </c>
    </row>
    <row r="1083" ht="45.0" customHeight="1">
      <c r="A1083" s="10" t="s">
        <v>1117</v>
      </c>
      <c r="B1083" s="4" t="str">
        <f t="shared" si="20"/>
        <v>snom</v>
      </c>
      <c r="C1083" s="5" t="str">
        <f t="shared" si="2"/>
        <v/>
      </c>
    </row>
    <row r="1084" ht="45.0" customHeight="1">
      <c r="A1084" s="10" t="s">
        <v>1118</v>
      </c>
      <c r="B1084" s="4" t="str">
        <f t="shared" si="20"/>
        <v>frosmoth</v>
      </c>
      <c r="C1084" s="5" t="str">
        <f t="shared" si="2"/>
        <v/>
      </c>
    </row>
    <row r="1085" ht="45.0" customHeight="1">
      <c r="A1085" s="10" t="s">
        <v>1119</v>
      </c>
      <c r="B1085" s="4" t="str">
        <f t="shared" si="20"/>
        <v>stonjourner</v>
      </c>
      <c r="C1085" s="5" t="str">
        <f t="shared" si="2"/>
        <v/>
      </c>
    </row>
    <row r="1086" ht="45.0" customHeight="1">
      <c r="A1086" s="10" t="s">
        <v>1120</v>
      </c>
      <c r="B1086" s="4" t="str">
        <f t="shared" si="20"/>
        <v>eiscue</v>
      </c>
      <c r="C1086" s="5" t="str">
        <f t="shared" si="2"/>
        <v/>
      </c>
    </row>
    <row r="1087" ht="45.0" customHeight="1">
      <c r="A1087" s="10" t="s">
        <v>1121</v>
      </c>
      <c r="B1087" s="4" t="str">
        <f t="shared" si="20"/>
        <v>eiscue-noice</v>
      </c>
      <c r="C1087" s="5" t="str">
        <f t="shared" si="2"/>
        <v/>
      </c>
    </row>
    <row r="1088" ht="45.0" customHeight="1">
      <c r="A1088" s="10" t="s">
        <v>1122</v>
      </c>
      <c r="B1088" s="4" t="str">
        <f t="shared" si="20"/>
        <v>indeedee</v>
      </c>
      <c r="C1088" s="5" t="str">
        <f t="shared" si="2"/>
        <v/>
      </c>
    </row>
    <row r="1089" ht="45.0" customHeight="1">
      <c r="A1089" s="4" t="s">
        <v>1123</v>
      </c>
      <c r="B1089" s="4" t="str">
        <f t="shared" si="20"/>
        <v>indeedee-f</v>
      </c>
      <c r="C1089" s="5" t="str">
        <f t="shared" si="2"/>
        <v/>
      </c>
    </row>
    <row r="1090" ht="45.0" customHeight="1">
      <c r="A1090" s="10" t="s">
        <v>1124</v>
      </c>
      <c r="B1090" s="4" t="str">
        <f t="shared" si="20"/>
        <v>morpeko</v>
      </c>
      <c r="C1090" s="5" t="str">
        <f t="shared" si="2"/>
        <v/>
      </c>
    </row>
    <row r="1091" ht="45.0" customHeight="1">
      <c r="A1091" s="10" t="s">
        <v>1125</v>
      </c>
      <c r="B1091" s="4" t="str">
        <f t="shared" si="20"/>
        <v>cufant</v>
      </c>
      <c r="C1091" s="5" t="str">
        <f t="shared" si="2"/>
        <v/>
      </c>
    </row>
    <row r="1092" ht="45.0" customHeight="1">
      <c r="A1092" s="10" t="s">
        <v>1126</v>
      </c>
      <c r="B1092" s="4" t="str">
        <f t="shared" si="20"/>
        <v>copperajah</v>
      </c>
      <c r="C1092" s="5" t="str">
        <f t="shared" si="2"/>
        <v/>
      </c>
    </row>
    <row r="1093" ht="45.0" customHeight="1">
      <c r="A1093" s="10" t="s">
        <v>1127</v>
      </c>
      <c r="B1093" s="4" t="str">
        <f t="shared" si="20"/>
        <v>copperajah-gmax</v>
      </c>
      <c r="C1093" s="5" t="str">
        <f t="shared" si="2"/>
        <v/>
      </c>
    </row>
    <row r="1094" ht="45.0" customHeight="1">
      <c r="A1094" s="10" t="s">
        <v>1128</v>
      </c>
      <c r="B1094" s="4" t="str">
        <f t="shared" si="20"/>
        <v>dracozolt</v>
      </c>
      <c r="C1094" s="5" t="str">
        <f t="shared" si="2"/>
        <v/>
      </c>
    </row>
    <row r="1095" ht="45.0" customHeight="1">
      <c r="A1095" s="10" t="s">
        <v>1129</v>
      </c>
      <c r="B1095" s="4" t="str">
        <f t="shared" si="20"/>
        <v>arctozolt</v>
      </c>
      <c r="C1095" s="5" t="str">
        <f t="shared" si="2"/>
        <v/>
      </c>
    </row>
    <row r="1096" ht="45.0" customHeight="1">
      <c r="A1096" s="10" t="s">
        <v>1130</v>
      </c>
      <c r="B1096" s="4" t="str">
        <f t="shared" si="20"/>
        <v>dracovish</v>
      </c>
      <c r="C1096" s="5" t="str">
        <f t="shared" si="2"/>
        <v/>
      </c>
    </row>
    <row r="1097" ht="45.0" customHeight="1">
      <c r="A1097" s="10" t="s">
        <v>1131</v>
      </c>
      <c r="B1097" s="4" t="str">
        <f t="shared" si="20"/>
        <v>arctovish</v>
      </c>
      <c r="C1097" s="5" t="str">
        <f t="shared" si="2"/>
        <v/>
      </c>
    </row>
    <row r="1098" ht="45.0" customHeight="1">
      <c r="A1098" s="10" t="s">
        <v>1132</v>
      </c>
      <c r="B1098" s="4" t="str">
        <f t="shared" si="20"/>
        <v>duraludon</v>
      </c>
      <c r="C1098" s="5" t="str">
        <f t="shared" si="2"/>
        <v/>
      </c>
    </row>
    <row r="1099" ht="45.0" customHeight="1">
      <c r="A1099" s="10" t="s">
        <v>1133</v>
      </c>
      <c r="B1099" s="4" t="str">
        <f t="shared" si="20"/>
        <v>duraludon-gmax</v>
      </c>
      <c r="C1099" s="5" t="str">
        <f t="shared" si="2"/>
        <v/>
      </c>
    </row>
    <row r="1100" ht="45.0" customHeight="1">
      <c r="A1100" s="10" t="s">
        <v>1134</v>
      </c>
      <c r="B1100" s="4" t="str">
        <f t="shared" si="20"/>
        <v>dreepy</v>
      </c>
      <c r="C1100" s="5" t="str">
        <f t="shared" si="2"/>
        <v/>
      </c>
    </row>
    <row r="1101" ht="45.0" customHeight="1">
      <c r="A1101" s="10" t="s">
        <v>1135</v>
      </c>
      <c r="B1101" s="4" t="str">
        <f t="shared" si="20"/>
        <v>drakloak</v>
      </c>
      <c r="C1101" s="5" t="str">
        <f t="shared" si="2"/>
        <v/>
      </c>
    </row>
    <row r="1102" ht="45.0" customHeight="1">
      <c r="A1102" s="10" t="s">
        <v>1136</v>
      </c>
      <c r="B1102" s="4" t="str">
        <f t="shared" si="20"/>
        <v>dragapult</v>
      </c>
      <c r="C1102" s="5" t="str">
        <f t="shared" si="2"/>
        <v/>
      </c>
    </row>
    <row r="1103" ht="45.0" customHeight="1">
      <c r="A1103" s="10" t="s">
        <v>1137</v>
      </c>
      <c r="B1103" s="4" t="str">
        <f t="shared" si="20"/>
        <v>zacian</v>
      </c>
      <c r="C1103" s="5" t="str">
        <f t="shared" si="2"/>
        <v/>
      </c>
    </row>
    <row r="1104" ht="45.0" customHeight="1">
      <c r="A1104" s="4" t="s">
        <v>1138</v>
      </c>
      <c r="B1104" s="4" t="s">
        <v>1139</v>
      </c>
      <c r="C1104" s="5" t="str">
        <f t="shared" si="2"/>
        <v/>
      </c>
    </row>
    <row r="1105" ht="45.0" customHeight="1">
      <c r="A1105" s="10" t="s">
        <v>1140</v>
      </c>
      <c r="B1105" s="4" t="str">
        <f>LOWER(A1105)</f>
        <v>zamazenta</v>
      </c>
      <c r="C1105" s="5" t="str">
        <f t="shared" si="2"/>
        <v/>
      </c>
    </row>
    <row r="1106" ht="45.0" customHeight="1">
      <c r="A1106" s="4" t="s">
        <v>1141</v>
      </c>
      <c r="B1106" s="4" t="s">
        <v>1142</v>
      </c>
      <c r="C1106" s="5" t="str">
        <f t="shared" si="2"/>
        <v/>
      </c>
    </row>
    <row r="1107" ht="45.0" customHeight="1">
      <c r="A1107" s="10" t="s">
        <v>1143</v>
      </c>
      <c r="B1107" s="4" t="str">
        <f>LOWER(A1107)</f>
        <v>eternatus</v>
      </c>
      <c r="C1107" s="5" t="str">
        <f t="shared" si="2"/>
        <v/>
      </c>
    </row>
    <row r="1108" ht="45.0" customHeight="1">
      <c r="A1108" s="4" t="s">
        <v>1144</v>
      </c>
      <c r="B1108" s="4" t="s">
        <v>1145</v>
      </c>
      <c r="C1108" s="5" t="str">
        <f t="shared" si="2"/>
        <v/>
      </c>
    </row>
    <row r="1109" ht="45.0" customHeight="1">
      <c r="A1109" s="10" t="s">
        <v>1146</v>
      </c>
      <c r="B1109" s="4" t="str">
        <f>LOWER(A1109)</f>
        <v>kubfu</v>
      </c>
      <c r="C1109" s="5" t="str">
        <f t="shared" si="2"/>
        <v/>
      </c>
    </row>
    <row r="1110" ht="45.0" customHeight="1">
      <c r="A1110" s="4" t="s">
        <v>1147</v>
      </c>
      <c r="B1110" s="4" t="s">
        <v>1148</v>
      </c>
      <c r="C1110" s="5" t="str">
        <f t="shared" si="2"/>
        <v/>
      </c>
    </row>
    <row r="1111" ht="45.0" customHeight="1">
      <c r="A1111" s="4" t="s">
        <v>1149</v>
      </c>
      <c r="B1111" s="4" t="s">
        <v>1150</v>
      </c>
      <c r="C1111" s="5" t="str">
        <f t="shared" si="2"/>
        <v/>
      </c>
    </row>
    <row r="1112" ht="45.0" customHeight="1">
      <c r="A1112" s="4" t="s">
        <v>1151</v>
      </c>
      <c r="B1112" s="4" t="s">
        <v>1152</v>
      </c>
      <c r="C1112" s="5" t="str">
        <f t="shared" si="2"/>
        <v/>
      </c>
    </row>
    <row r="1113" ht="45.0" customHeight="1">
      <c r="A1113" s="4" t="s">
        <v>1153</v>
      </c>
      <c r="B1113" s="4" t="s">
        <v>1154</v>
      </c>
      <c r="C1113" s="5" t="str">
        <f t="shared" si="2"/>
        <v/>
      </c>
    </row>
    <row r="1114" ht="45.0" customHeight="1">
      <c r="A1114" s="10" t="s">
        <v>1155</v>
      </c>
      <c r="B1114" s="4" t="str">
        <f t="shared" ref="B1114:B1129" si="21">LOWER(A1114)</f>
        <v>zarude</v>
      </c>
      <c r="C1114" s="5" t="str">
        <f t="shared" si="2"/>
        <v/>
      </c>
    </row>
    <row r="1115" ht="45.0" customHeight="1">
      <c r="A1115" s="9" t="s">
        <v>1156</v>
      </c>
      <c r="B1115" s="4" t="str">
        <f t="shared" si="21"/>
        <v>regieleki</v>
      </c>
      <c r="C1115" s="5" t="str">
        <f t="shared" si="2"/>
        <v/>
      </c>
    </row>
    <row r="1116" ht="45.0" customHeight="1">
      <c r="A1116" s="9" t="s">
        <v>1157</v>
      </c>
      <c r="B1116" s="4" t="str">
        <f t="shared" si="21"/>
        <v>regidrago</v>
      </c>
      <c r="C1116" s="5" t="str">
        <f t="shared" si="2"/>
        <v/>
      </c>
    </row>
    <row r="1117" ht="45.0" customHeight="1">
      <c r="A1117" s="9" t="s">
        <v>1158</v>
      </c>
      <c r="B1117" s="4" t="str">
        <f t="shared" si="21"/>
        <v>glastrier</v>
      </c>
      <c r="C1117" s="5" t="str">
        <f t="shared" si="2"/>
        <v/>
      </c>
    </row>
    <row r="1118" ht="45.0" customHeight="1">
      <c r="A1118" s="9" t="s">
        <v>1159</v>
      </c>
      <c r="B1118" s="4" t="str">
        <f t="shared" si="21"/>
        <v>spectrier</v>
      </c>
      <c r="C1118" s="5" t="str">
        <f t="shared" si="2"/>
        <v/>
      </c>
    </row>
    <row r="1119" ht="45.0" customHeight="1">
      <c r="A1119" s="9" t="s">
        <v>1160</v>
      </c>
      <c r="B1119" s="4" t="str">
        <f t="shared" si="21"/>
        <v>calyrex</v>
      </c>
      <c r="C1119" s="5" t="str">
        <f t="shared" si="2"/>
        <v/>
      </c>
    </row>
    <row r="1120" ht="45.0" customHeight="1">
      <c r="A1120" s="9" t="s">
        <v>1161</v>
      </c>
      <c r="B1120" s="4" t="str">
        <f t="shared" si="21"/>
        <v>calyrex-ice</v>
      </c>
      <c r="C1120" s="5" t="str">
        <f t="shared" si="2"/>
        <v/>
      </c>
    </row>
    <row r="1121" ht="45.0" customHeight="1">
      <c r="A1121" s="9" t="s">
        <v>1162</v>
      </c>
      <c r="B1121" s="4" t="str">
        <f t="shared" si="21"/>
        <v>calyrex-shadow</v>
      </c>
      <c r="C1121" s="5" t="str">
        <f t="shared" si="2"/>
        <v/>
      </c>
    </row>
    <row r="1122" ht="45.0" customHeight="1">
      <c r="A1122" s="9" t="s">
        <v>1163</v>
      </c>
      <c r="B1122" s="4" t="str">
        <f t="shared" si="21"/>
        <v>wyrdeer</v>
      </c>
      <c r="C1122" s="5" t="str">
        <f t="shared" si="2"/>
        <v/>
      </c>
    </row>
    <row r="1123" ht="45.0" customHeight="1">
      <c r="A1123" s="9" t="s">
        <v>1164</v>
      </c>
      <c r="B1123" s="4" t="str">
        <f t="shared" si="21"/>
        <v>kleavor</v>
      </c>
      <c r="C1123" s="5" t="str">
        <f t="shared" si="2"/>
        <v/>
      </c>
    </row>
    <row r="1124" ht="45.0" customHeight="1">
      <c r="A1124" s="9" t="s">
        <v>1165</v>
      </c>
      <c r="B1124" s="4" t="str">
        <f t="shared" si="21"/>
        <v>ursaluna</v>
      </c>
      <c r="C1124" s="5" t="str">
        <f t="shared" si="2"/>
        <v/>
      </c>
    </row>
    <row r="1125" ht="45.0" customHeight="1">
      <c r="A1125" s="9" t="s">
        <v>1166</v>
      </c>
      <c r="B1125" s="4" t="str">
        <f t="shared" si="21"/>
        <v>basculegion</v>
      </c>
      <c r="C1125" s="5" t="str">
        <f t="shared" si="2"/>
        <v/>
      </c>
    </row>
    <row r="1126" ht="45.0" customHeight="1">
      <c r="A1126" s="9" t="s">
        <v>1167</v>
      </c>
      <c r="B1126" s="4" t="str">
        <f t="shared" si="21"/>
        <v>basculegion-f</v>
      </c>
      <c r="C1126" s="5" t="str">
        <f t="shared" si="2"/>
        <v/>
      </c>
    </row>
    <row r="1127" ht="45.0" customHeight="1">
      <c r="A1127" s="9" t="s">
        <v>1168</v>
      </c>
      <c r="B1127" s="4" t="str">
        <f t="shared" si="21"/>
        <v>sneasler</v>
      </c>
      <c r="C1127" s="5" t="str">
        <f t="shared" si="2"/>
        <v/>
      </c>
    </row>
    <row r="1128" ht="45.0" customHeight="1">
      <c r="A1128" s="9" t="s">
        <v>1169</v>
      </c>
      <c r="B1128" s="4" t="str">
        <f t="shared" si="21"/>
        <v>overqwil</v>
      </c>
      <c r="C1128" s="5" t="str">
        <f t="shared" si="2"/>
        <v/>
      </c>
    </row>
    <row r="1129" ht="45.0" customHeight="1">
      <c r="A1129" s="9" t="s">
        <v>1170</v>
      </c>
      <c r="B1129" s="4" t="str">
        <f t="shared" si="21"/>
        <v>enamorus</v>
      </c>
      <c r="C1129" s="5" t="str">
        <f t="shared" si="2"/>
        <v/>
      </c>
    </row>
    <row r="1130" ht="45.0" customHeight="1">
      <c r="A1130" s="9" t="s">
        <v>1171</v>
      </c>
      <c r="B1130" s="4" t="s">
        <v>1172</v>
      </c>
      <c r="C1130" s="5" t="str">
        <f t="shared" si="2"/>
        <v/>
      </c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7" width="17.0"/>
    <col customWidth="1" min="9" max="9" width="1.0"/>
  </cols>
  <sheetData>
    <row r="1">
      <c r="A1" s="12"/>
      <c r="B1" s="13" t="s">
        <v>1173</v>
      </c>
      <c r="C1" s="14"/>
      <c r="D1" s="14"/>
      <c r="E1" s="14"/>
      <c r="F1" s="14"/>
      <c r="G1" s="14"/>
      <c r="H1" s="14"/>
      <c r="I1" s="15"/>
    </row>
    <row r="2">
      <c r="A2" s="16" t="s">
        <v>1174</v>
      </c>
      <c r="B2" s="17" t="s">
        <v>1175</v>
      </c>
      <c r="C2" s="18"/>
      <c r="D2" s="18"/>
      <c r="E2" s="18"/>
      <c r="F2" s="18"/>
      <c r="G2" s="18"/>
      <c r="H2" s="18"/>
      <c r="I2" s="19"/>
    </row>
    <row r="3" ht="60.0" customHeight="1">
      <c r="A3" s="20" t="s">
        <v>1176</v>
      </c>
      <c r="B3" s="21" t="str">
        <f t="array" ref="B3">iferror(VLOOKUP(INDIRECT(ADDRESS(ROW()+1,COLUMN(), 4)),Dex!$A$2:$C293,3,false),"")</f>
        <v/>
      </c>
      <c r="C3" s="21" t="str">
        <f t="array" ref="C3">iferror(VLOOKUP(INDIRECT(ADDRESS(ROW()+1,COLUMN(), 4)),Dex!$A$2:$C293,3,false),"")</f>
        <v/>
      </c>
      <c r="D3" s="21" t="str">
        <f t="array" ref="D3">iferror(VLOOKUP(INDIRECT(ADDRESS(ROW()+1,COLUMN(), 4)),Dex!$A$2:$C293,3,false),"")</f>
        <v/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iferror(VLOOKUP("TRAINER_PIC_YOUNGSTER",Sprites!$A$1:$B293,2,false),"")</f>
        <v/>
      </c>
      <c r="I3" s="23"/>
    </row>
    <row r="4">
      <c r="A4" s="24"/>
      <c r="B4" s="25" t="s">
        <v>352</v>
      </c>
      <c r="C4" s="25" t="s">
        <v>657</v>
      </c>
      <c r="D4" s="25" t="s">
        <v>1052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1179</v>
      </c>
      <c r="C5" s="27" t="s">
        <v>1180</v>
      </c>
      <c r="D5" s="27" t="s">
        <v>1180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1177</v>
      </c>
      <c r="C6" s="28" t="s">
        <v>1177</v>
      </c>
      <c r="D6" s="28" t="s">
        <v>1177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1183</v>
      </c>
      <c r="C7" s="21" t="s">
        <v>1184</v>
      </c>
      <c r="D7" s="21" t="s">
        <v>1185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1187</v>
      </c>
      <c r="C8" s="28" t="s">
        <v>1187</v>
      </c>
      <c r="D8" s="28" t="s">
        <v>1187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1189</v>
      </c>
      <c r="C9" s="21" t="s">
        <v>1190</v>
      </c>
      <c r="D9" s="21" t="s">
        <v>1191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1192</v>
      </c>
      <c r="C10" s="21" t="s">
        <v>1189</v>
      </c>
      <c r="D10" s="21" t="s">
        <v>1193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1193</v>
      </c>
      <c r="C11" s="21" t="s">
        <v>1193</v>
      </c>
      <c r="D11" s="21" t="s">
        <v>1194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1177</v>
      </c>
      <c r="C12" s="21" t="s">
        <v>1177</v>
      </c>
      <c r="D12" s="21" t="s">
        <v>1177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1195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4)),Dex!$A$2:$C293,3,false),"")</f>
        <v/>
      </c>
      <c r="C14" s="21" t="str">
        <f t="array" ref="C14">iferror(VLOOKUP(INDIRECT(ADDRESS(ROW()+1,COLUMN(), 4)),Dex!$A$2:$C293,3,false),"")</f>
        <v/>
      </c>
      <c r="D14" s="21" t="str">
        <f t="array" ref="D14">iferror(VLOOKUP(INDIRECT(ADDRESS(ROW()+1,COLUMN(), 4)),Dex!$A$2:$C293,3,false),"")</f>
        <v/>
      </c>
      <c r="E14" s="21" t="s">
        <v>1177</v>
      </c>
      <c r="F14" s="21" t="s">
        <v>1177</v>
      </c>
      <c r="G14" s="21" t="s">
        <v>1177</v>
      </c>
      <c r="H14" s="22" t="str">
        <f t="array" ref="H14">iferror(VLOOKUP("TRAINER_PIC_BUG_CATCHER",Sprites!$A$1:$B293,2,false),"")</f>
        <v/>
      </c>
      <c r="I14" s="23"/>
    </row>
    <row r="15">
      <c r="A15" s="24"/>
      <c r="B15" s="25" t="s">
        <v>923</v>
      </c>
      <c r="C15" s="25" t="s">
        <v>283</v>
      </c>
      <c r="D15" s="25" t="s">
        <v>1089</v>
      </c>
      <c r="E15" s="25" t="s">
        <v>1177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1180</v>
      </c>
      <c r="C16" s="27" t="s">
        <v>1180</v>
      </c>
      <c r="D16" s="27" t="s">
        <v>1196</v>
      </c>
      <c r="E16" s="21" t="s">
        <v>1177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1197</v>
      </c>
      <c r="C17" s="28" t="s">
        <v>1197</v>
      </c>
      <c r="D17" s="28" t="s">
        <v>1197</v>
      </c>
      <c r="E17" s="28" t="s">
        <v>1177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1198</v>
      </c>
      <c r="C18" s="21" t="s">
        <v>1199</v>
      </c>
      <c r="D18" s="21" t="s">
        <v>1200</v>
      </c>
      <c r="E18" s="21" t="s">
        <v>1177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1187</v>
      </c>
      <c r="C19" s="28" t="s">
        <v>1187</v>
      </c>
      <c r="D19" s="28" t="s">
        <v>1187</v>
      </c>
      <c r="E19" s="28" t="s">
        <v>1177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1201</v>
      </c>
      <c r="C20" s="21" t="s">
        <v>1202</v>
      </c>
      <c r="D20" s="21" t="s">
        <v>1201</v>
      </c>
      <c r="E20" s="21" t="s">
        <v>1177</v>
      </c>
      <c r="F20" s="21" t="s">
        <v>1177</v>
      </c>
      <c r="G20" s="21" t="s">
        <v>1177</v>
      </c>
      <c r="H20" s="26"/>
    </row>
    <row r="21">
      <c r="A21" s="29"/>
      <c r="B21" s="21" t="s">
        <v>1203</v>
      </c>
      <c r="C21" s="21" t="s">
        <v>1204</v>
      </c>
      <c r="D21" s="21" t="s">
        <v>1205</v>
      </c>
      <c r="E21" s="21" t="s">
        <v>1177</v>
      </c>
      <c r="F21" s="21" t="s">
        <v>1177</v>
      </c>
      <c r="G21" s="21" t="s">
        <v>1177</v>
      </c>
      <c r="H21" s="26"/>
    </row>
    <row r="22">
      <c r="A22" s="29"/>
      <c r="B22" s="21" t="s">
        <v>1206</v>
      </c>
      <c r="C22" s="21" t="s">
        <v>1177</v>
      </c>
      <c r="D22" s="21" t="s">
        <v>1207</v>
      </c>
      <c r="E22" s="21" t="s">
        <v>1177</v>
      </c>
      <c r="F22" s="21" t="s">
        <v>1177</v>
      </c>
      <c r="G22" s="21" t="s">
        <v>1177</v>
      </c>
      <c r="H22" s="26"/>
    </row>
    <row r="23">
      <c r="A23" s="24"/>
      <c r="B23" s="21" t="s">
        <v>1177</v>
      </c>
      <c r="C23" s="21" t="s">
        <v>1177</v>
      </c>
      <c r="D23" s="21" t="s">
        <v>1177</v>
      </c>
      <c r="E23" s="21" t="s">
        <v>1177</v>
      </c>
      <c r="F23" s="21" t="s">
        <v>1177</v>
      </c>
      <c r="G23" s="21" t="s">
        <v>1177</v>
      </c>
      <c r="H23" s="30"/>
      <c r="I23" s="14"/>
    </row>
    <row r="24">
      <c r="A24" s="16" t="s">
        <v>1174</v>
      </c>
      <c r="B24" s="17" t="s">
        <v>1208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4)),Dex!$A$2:$C293,3,false),"")</f>
        <v/>
      </c>
      <c r="C25" s="21" t="str">
        <f t="array" ref="C25">iferror(VLOOKUP(INDIRECT(ADDRESS(ROW()+1,COLUMN(), 4)),Dex!$A$2:$C293,3,false),"")</f>
        <v/>
      </c>
      <c r="D25" s="21" t="str">
        <f t="array" ref="D25">iferror(VLOOKUP(INDIRECT(ADDRESS(ROW()+1,COLUMN(), 4)),Dex!$A$2:$C293,3,false),"")</f>
        <v/>
      </c>
      <c r="E25" s="21" t="s">
        <v>1177</v>
      </c>
      <c r="F25" s="21" t="s">
        <v>1177</v>
      </c>
      <c r="G25" s="21" t="s">
        <v>1177</v>
      </c>
      <c r="H25" s="22" t="str">
        <f t="array" ref="H25">iferror(VLOOKUP("TRAINER_PIC_YOUNGSTER",Sprites!$A$1:$B293,2,false),"")</f>
        <v/>
      </c>
      <c r="I25" s="23"/>
    </row>
    <row r="26">
      <c r="A26" s="24"/>
      <c r="B26" s="25" t="s">
        <v>844</v>
      </c>
      <c r="C26" s="25" t="s">
        <v>838</v>
      </c>
      <c r="D26" s="25" t="s">
        <v>84</v>
      </c>
      <c r="E26" s="25" t="s">
        <v>1177</v>
      </c>
      <c r="F26" s="25" t="s">
        <v>1177</v>
      </c>
      <c r="G26" s="25" t="s">
        <v>1177</v>
      </c>
      <c r="H26" s="26"/>
    </row>
    <row r="27">
      <c r="A27" s="16" t="s">
        <v>1178</v>
      </c>
      <c r="B27" s="27" t="s">
        <v>1196</v>
      </c>
      <c r="C27" s="27" t="s">
        <v>1180</v>
      </c>
      <c r="D27" s="27" t="s">
        <v>1196</v>
      </c>
      <c r="E27" s="21" t="s">
        <v>1177</v>
      </c>
      <c r="F27" s="21" t="s">
        <v>1177</v>
      </c>
      <c r="G27" s="21" t="s">
        <v>1177</v>
      </c>
      <c r="H27" s="26"/>
    </row>
    <row r="28">
      <c r="A28" s="16" t="s">
        <v>1181</v>
      </c>
      <c r="B28" s="28" t="s">
        <v>1209</v>
      </c>
      <c r="C28" s="28" t="s">
        <v>1197</v>
      </c>
      <c r="D28" s="28" t="s">
        <v>1197</v>
      </c>
      <c r="E28" s="28" t="s">
        <v>1177</v>
      </c>
      <c r="F28" s="28" t="s">
        <v>1177</v>
      </c>
      <c r="G28" s="28" t="s">
        <v>1177</v>
      </c>
      <c r="H28" s="26"/>
    </row>
    <row r="29">
      <c r="A29" s="16" t="s">
        <v>1182</v>
      </c>
      <c r="B29" s="21" t="s">
        <v>1210</v>
      </c>
      <c r="C29" s="21" t="s">
        <v>1211</v>
      </c>
      <c r="D29" s="21" t="s">
        <v>1212</v>
      </c>
      <c r="E29" s="21" t="s">
        <v>1177</v>
      </c>
      <c r="F29" s="21" t="s">
        <v>1177</v>
      </c>
      <c r="G29" s="21" t="s">
        <v>1177</v>
      </c>
      <c r="H29" s="26"/>
    </row>
    <row r="30">
      <c r="A30" s="16" t="s">
        <v>1186</v>
      </c>
      <c r="B30" s="28" t="s">
        <v>1187</v>
      </c>
      <c r="C30" s="28" t="s">
        <v>1187</v>
      </c>
      <c r="D30" s="28" t="s">
        <v>1187</v>
      </c>
      <c r="E30" s="28" t="s">
        <v>1177</v>
      </c>
      <c r="F30" s="28" t="s">
        <v>1177</v>
      </c>
      <c r="G30" s="28" t="s">
        <v>1177</v>
      </c>
      <c r="H30" s="26"/>
    </row>
    <row r="31">
      <c r="A31" s="20" t="s">
        <v>1188</v>
      </c>
      <c r="B31" s="21" t="s">
        <v>1213</v>
      </c>
      <c r="C31" s="21" t="s">
        <v>1214</v>
      </c>
      <c r="D31" s="21" t="s">
        <v>1215</v>
      </c>
      <c r="E31" s="21" t="s">
        <v>1177</v>
      </c>
      <c r="F31" s="21" t="s">
        <v>1177</v>
      </c>
      <c r="G31" s="21" t="s">
        <v>1177</v>
      </c>
      <c r="H31" s="26"/>
    </row>
    <row r="32">
      <c r="A32" s="29"/>
      <c r="B32" s="21" t="s">
        <v>1190</v>
      </c>
      <c r="C32" s="21" t="s">
        <v>1205</v>
      </c>
      <c r="D32" s="21" t="s">
        <v>1216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1217</v>
      </c>
      <c r="C33" s="21" t="s">
        <v>1218</v>
      </c>
      <c r="D33" s="21" t="s">
        <v>1177</v>
      </c>
      <c r="E33" s="21" t="s">
        <v>1177</v>
      </c>
      <c r="F33" s="21" t="s">
        <v>1177</v>
      </c>
      <c r="G33" s="21" t="s">
        <v>1177</v>
      </c>
      <c r="H33" s="26"/>
    </row>
    <row r="34">
      <c r="A34" s="24"/>
      <c r="B34" s="21" t="s">
        <v>1177</v>
      </c>
      <c r="C34" s="21" t="s">
        <v>1177</v>
      </c>
      <c r="D34" s="21" t="s">
        <v>1177</v>
      </c>
      <c r="E34" s="21" t="s">
        <v>1177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1219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4)),Dex!$A$2:$C293,3,false),"")</f>
        <v/>
      </c>
      <c r="C36" s="21" t="str">
        <f t="array" ref="C36">iferror(VLOOKUP(INDIRECT(ADDRESS(ROW()+1,COLUMN(), 4)),Dex!$A$2:$C293,3,false),"")</f>
        <v/>
      </c>
      <c r="D36" s="21" t="s">
        <v>1177</v>
      </c>
      <c r="E36" s="21" t="s">
        <v>1177</v>
      </c>
      <c r="F36" s="21" t="s">
        <v>1177</v>
      </c>
      <c r="G36" s="21" t="s">
        <v>1177</v>
      </c>
      <c r="H36" s="22" t="str">
        <f t="array" ref="H36">iferror(VLOOKUP("TRAINER_PIC_LASS",Sprites!$A$1:$B293,2,false),"")</f>
        <v/>
      </c>
      <c r="I36" s="23"/>
    </row>
    <row r="37">
      <c r="A37" s="24"/>
      <c r="B37" s="25" t="s">
        <v>858</v>
      </c>
      <c r="C37" s="25" t="s">
        <v>428</v>
      </c>
      <c r="D37" s="25" t="s">
        <v>1177</v>
      </c>
      <c r="E37" s="25" t="s">
        <v>1177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1196</v>
      </c>
      <c r="C38" s="27" t="s">
        <v>1220</v>
      </c>
      <c r="D38" s="21" t="s">
        <v>1177</v>
      </c>
      <c r="E38" s="21" t="s">
        <v>1177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1221</v>
      </c>
      <c r="C39" s="28" t="s">
        <v>1221</v>
      </c>
      <c r="D39" s="28" t="s">
        <v>1177</v>
      </c>
      <c r="E39" s="28" t="s">
        <v>1177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1222</v>
      </c>
      <c r="C40" s="21" t="s">
        <v>1223</v>
      </c>
      <c r="D40" s="21" t="s">
        <v>1177</v>
      </c>
      <c r="E40" s="21" t="s">
        <v>1177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1187</v>
      </c>
      <c r="C41" s="28" t="s">
        <v>1187</v>
      </c>
      <c r="D41" s="28" t="s">
        <v>1177</v>
      </c>
      <c r="E41" s="28" t="s">
        <v>1177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1224</v>
      </c>
      <c r="C42" s="21" t="s">
        <v>1225</v>
      </c>
      <c r="D42" s="21" t="s">
        <v>1177</v>
      </c>
      <c r="E42" s="21" t="s">
        <v>1177</v>
      </c>
      <c r="F42" s="21" t="s">
        <v>1177</v>
      </c>
      <c r="G42" s="21" t="s">
        <v>1177</v>
      </c>
      <c r="H42" s="26"/>
    </row>
    <row r="43">
      <c r="A43" s="29"/>
      <c r="B43" s="21" t="s">
        <v>1226</v>
      </c>
      <c r="C43" s="21" t="s">
        <v>1226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1177</v>
      </c>
      <c r="C44" s="21" t="s">
        <v>1177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4"/>
      <c r="B45" s="21" t="s">
        <v>1177</v>
      </c>
      <c r="C45" s="21" t="s">
        <v>1177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30"/>
      <c r="I45" s="14"/>
    </row>
    <row r="46">
      <c r="A46" s="31"/>
      <c r="B46" s="32" t="s">
        <v>1227</v>
      </c>
      <c r="C46" s="18"/>
      <c r="D46" s="18"/>
      <c r="E46" s="18"/>
      <c r="F46" s="18"/>
      <c r="G46" s="18"/>
      <c r="H46" s="18"/>
      <c r="I46" s="33"/>
    </row>
    <row r="47">
      <c r="A47" s="16" t="s">
        <v>1174</v>
      </c>
      <c r="B47" s="17" t="s">
        <v>1228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4)),Dex!$A$2:$C293,3,false),"")</f>
        <v/>
      </c>
      <c r="C48" s="21" t="str">
        <f t="array" ref="C48">iferror(VLOOKUP(INDIRECT(ADDRESS(ROW()+1,COLUMN(), 4)),Dex!$A$2:$C293,3,false),"")</f>
        <v/>
      </c>
      <c r="D48" s="21" t="str">
        <f t="array" ref="D48">iferror(VLOOKUP(INDIRECT(ADDRESS(ROW()+1,COLUMN(), 4)),Dex!$A$2:$C293,3,false),"")</f>
        <v/>
      </c>
      <c r="E48" s="21" t="s">
        <v>1177</v>
      </c>
      <c r="F48" s="21" t="s">
        <v>1177</v>
      </c>
      <c r="G48" s="21" t="s">
        <v>1177</v>
      </c>
      <c r="H48" s="22" t="str">
        <f t="array" ref="H48">iferror(VLOOKUP("TRAINER_PIC_RUNNING_TRIATHLETE_M",Sprites!$A$1:$B293,2,false),"")</f>
        <v/>
      </c>
      <c r="I48" s="23"/>
    </row>
    <row r="49">
      <c r="A49" s="24"/>
      <c r="B49" s="25" t="s">
        <v>147</v>
      </c>
      <c r="C49" s="25" t="s">
        <v>1092</v>
      </c>
      <c r="D49" s="25" t="s">
        <v>270</v>
      </c>
      <c r="E49" s="25" t="s">
        <v>1177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1229</v>
      </c>
      <c r="C50" s="27" t="s">
        <v>1229</v>
      </c>
      <c r="D50" s="27" t="s">
        <v>1229</v>
      </c>
      <c r="E50" s="21" t="s">
        <v>1177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1197</v>
      </c>
      <c r="C51" s="28" t="s">
        <v>1197</v>
      </c>
      <c r="D51" s="28" t="s">
        <v>1230</v>
      </c>
      <c r="E51" s="28" t="s">
        <v>1177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1231</v>
      </c>
      <c r="C52" s="21" t="s">
        <v>1232</v>
      </c>
      <c r="D52" s="21" t="s">
        <v>1233</v>
      </c>
      <c r="E52" s="21" t="s">
        <v>1177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1234</v>
      </c>
      <c r="C53" s="28" t="s">
        <v>1235</v>
      </c>
      <c r="D53" s="28" t="s">
        <v>1235</v>
      </c>
      <c r="E53" s="28" t="s">
        <v>1177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1236</v>
      </c>
      <c r="C54" s="21" t="s">
        <v>1237</v>
      </c>
      <c r="D54" s="21" t="s">
        <v>1238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1239</v>
      </c>
      <c r="C55" s="21" t="s">
        <v>1240</v>
      </c>
      <c r="D55" s="21" t="s">
        <v>1241</v>
      </c>
      <c r="E55" s="21" t="s">
        <v>1177</v>
      </c>
      <c r="F55" s="21" t="s">
        <v>1177</v>
      </c>
      <c r="G55" s="21" t="s">
        <v>1177</v>
      </c>
      <c r="H55" s="26"/>
    </row>
    <row r="56">
      <c r="A56" s="29"/>
      <c r="B56" s="21" t="s">
        <v>1242</v>
      </c>
      <c r="C56" s="21" t="s">
        <v>1243</v>
      </c>
      <c r="D56" s="21" t="s">
        <v>1177</v>
      </c>
      <c r="E56" s="21" t="s">
        <v>1177</v>
      </c>
      <c r="F56" s="21" t="s">
        <v>1177</v>
      </c>
      <c r="G56" s="21" t="s">
        <v>1177</v>
      </c>
      <c r="H56" s="26"/>
    </row>
    <row r="57">
      <c r="A57" s="24"/>
      <c r="B57" s="21" t="s">
        <v>1177</v>
      </c>
      <c r="C57" s="21" t="s">
        <v>1177</v>
      </c>
      <c r="D57" s="21" t="s">
        <v>1177</v>
      </c>
      <c r="E57" s="21" t="s">
        <v>1177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1244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4)),Dex!$A$2:$C293,3,false),"")</f>
        <v/>
      </c>
      <c r="C59" s="21" t="str">
        <f t="array" ref="C59">iferror(VLOOKUP(INDIRECT(ADDRESS(ROW()+1,COLUMN(), 4)),Dex!$A$2:$C293,3,false),"")</f>
        <v/>
      </c>
      <c r="D59" s="21" t="s">
        <v>1177</v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iferror(VLOOKUP("TRAINER_PIC_FISHERMAN",Sprites!$A$1:$B293,2,false),"")</f>
        <v/>
      </c>
      <c r="I59" s="23"/>
    </row>
    <row r="60">
      <c r="A60" s="24"/>
      <c r="B60" s="25" t="s">
        <v>192</v>
      </c>
      <c r="C60" s="25" t="s">
        <v>192</v>
      </c>
      <c r="D60" s="25" t="s">
        <v>1177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1245</v>
      </c>
      <c r="C61" s="27" t="s">
        <v>1245</v>
      </c>
      <c r="D61" s="21" t="s">
        <v>1177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1246</v>
      </c>
      <c r="C62" s="28" t="s">
        <v>1247</v>
      </c>
      <c r="D62" s="28" t="s">
        <v>1177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1183</v>
      </c>
      <c r="C63" s="21" t="s">
        <v>1183</v>
      </c>
      <c r="D63" s="21" t="s">
        <v>1177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1248</v>
      </c>
      <c r="C64" s="28" t="s">
        <v>1249</v>
      </c>
      <c r="D64" s="28" t="s">
        <v>1177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1250</v>
      </c>
      <c r="C65" s="21" t="s">
        <v>1251</v>
      </c>
      <c r="D65" s="21" t="s">
        <v>1177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1177</v>
      </c>
      <c r="C66" s="21" t="s">
        <v>1190</v>
      </c>
      <c r="D66" s="21" t="s">
        <v>1177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1177</v>
      </c>
      <c r="C67" s="21" t="s">
        <v>1252</v>
      </c>
      <c r="D67" s="21" t="s">
        <v>1177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1177</v>
      </c>
      <c r="C68" s="21" t="s">
        <v>1177</v>
      </c>
      <c r="D68" s="21" t="s">
        <v>1177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1253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4)),Dex!$A$2:$C293,3,false),"")</f>
        <v/>
      </c>
      <c r="C70" s="21" t="str">
        <f t="array" ref="C70">iferror(VLOOKUP(INDIRECT(ADDRESS(ROW()+1,COLUMN(), 4)),Dex!$A$2:$C293,3,false),"")</f>
        <v/>
      </c>
      <c r="D70" s="21" t="str">
        <f t="array" ref="D70">iferror(VLOOKUP(INDIRECT(ADDRESS(ROW()+1,COLUMN(), 4)),Dex!$A$2:$C293,3,false),"")</f>
        <v/>
      </c>
      <c r="E70" s="21" t="s">
        <v>1177</v>
      </c>
      <c r="F70" s="21" t="s">
        <v>1177</v>
      </c>
      <c r="G70" s="21" t="s">
        <v>1177</v>
      </c>
      <c r="H70" s="22" t="str">
        <f t="array" ref="H70">iferror(VLOOKUP("TRAINER_PIC_LADY",Sprites!$A$1:$B293,2,false),"")</f>
        <v/>
      </c>
      <c r="I70" s="23"/>
    </row>
    <row r="71">
      <c r="A71" s="24"/>
      <c r="B71" s="25" t="s">
        <v>731</v>
      </c>
      <c r="C71" s="25" t="s">
        <v>63</v>
      </c>
      <c r="D71" s="25" t="s">
        <v>317</v>
      </c>
      <c r="E71" s="25" t="s">
        <v>1177</v>
      </c>
      <c r="F71" s="25" t="s">
        <v>1177</v>
      </c>
      <c r="G71" s="25" t="s">
        <v>1177</v>
      </c>
      <c r="H71" s="26"/>
    </row>
    <row r="72">
      <c r="A72" s="16" t="s">
        <v>1178</v>
      </c>
      <c r="B72" s="27" t="s">
        <v>1254</v>
      </c>
      <c r="C72" s="27" t="s">
        <v>1254</v>
      </c>
      <c r="D72" s="27" t="s">
        <v>1254</v>
      </c>
      <c r="E72" s="21" t="s">
        <v>1177</v>
      </c>
      <c r="F72" s="21" t="s">
        <v>1177</v>
      </c>
      <c r="G72" s="21" t="s">
        <v>1177</v>
      </c>
      <c r="H72" s="26"/>
    </row>
    <row r="73">
      <c r="A73" s="16" t="s">
        <v>1181</v>
      </c>
      <c r="B73" s="28" t="s">
        <v>1197</v>
      </c>
      <c r="C73" s="28" t="s">
        <v>1197</v>
      </c>
      <c r="D73" s="28" t="s">
        <v>1197</v>
      </c>
      <c r="E73" s="28" t="s">
        <v>1177</v>
      </c>
      <c r="F73" s="28" t="s">
        <v>1177</v>
      </c>
      <c r="G73" s="28" t="s">
        <v>1177</v>
      </c>
      <c r="H73" s="26"/>
    </row>
    <row r="74">
      <c r="A74" s="16" t="s">
        <v>1182</v>
      </c>
      <c r="B74" s="21" t="s">
        <v>1255</v>
      </c>
      <c r="C74" s="21" t="s">
        <v>1255</v>
      </c>
      <c r="D74" s="21" t="s">
        <v>1255</v>
      </c>
      <c r="E74" s="21" t="s">
        <v>1177</v>
      </c>
      <c r="F74" s="21" t="s">
        <v>1177</v>
      </c>
      <c r="G74" s="21" t="s">
        <v>1177</v>
      </c>
      <c r="H74" s="26"/>
    </row>
    <row r="75">
      <c r="A75" s="16" t="s">
        <v>1186</v>
      </c>
      <c r="B75" s="28" t="s">
        <v>1256</v>
      </c>
      <c r="C75" s="28" t="s">
        <v>1257</v>
      </c>
      <c r="D75" s="28" t="s">
        <v>1235</v>
      </c>
      <c r="E75" s="28" t="s">
        <v>1177</v>
      </c>
      <c r="F75" s="28" t="s">
        <v>1177</v>
      </c>
      <c r="G75" s="28" t="s">
        <v>1177</v>
      </c>
      <c r="H75" s="26"/>
    </row>
    <row r="76">
      <c r="A76" s="20" t="s">
        <v>1188</v>
      </c>
      <c r="B76" s="21" t="s">
        <v>1258</v>
      </c>
      <c r="C76" s="21" t="s">
        <v>1259</v>
      </c>
      <c r="D76" s="21" t="s">
        <v>1239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1260</v>
      </c>
      <c r="C77" s="21" t="s">
        <v>1261</v>
      </c>
      <c r="D77" s="21" t="s">
        <v>1260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1262</v>
      </c>
      <c r="C78" s="21" t="s">
        <v>1260</v>
      </c>
      <c r="D78" s="21" t="s">
        <v>1177</v>
      </c>
      <c r="E78" s="21" t="s">
        <v>1177</v>
      </c>
      <c r="F78" s="21" t="s">
        <v>1177</v>
      </c>
      <c r="G78" s="21" t="s">
        <v>1177</v>
      </c>
      <c r="H78" s="26"/>
    </row>
    <row r="79">
      <c r="A79" s="24"/>
      <c r="B79" s="21" t="s">
        <v>1177</v>
      </c>
      <c r="C79" s="21" t="s">
        <v>1262</v>
      </c>
      <c r="D79" s="21" t="s">
        <v>1177</v>
      </c>
      <c r="E79" s="21" t="s">
        <v>1177</v>
      </c>
      <c r="F79" s="21" t="s">
        <v>1177</v>
      </c>
      <c r="G79" s="21" t="s">
        <v>1177</v>
      </c>
      <c r="H79" s="30"/>
      <c r="I79" s="14"/>
    </row>
    <row r="80">
      <c r="A80" s="16" t="s">
        <v>1174</v>
      </c>
      <c r="B80" s="17" t="s">
        <v>1263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4)),Dex!$A$2:$C293,3,false),"")</f>
        <v/>
      </c>
      <c r="C81" s="21" t="str">
        <f t="array" ref="C81">iferror(VLOOKUP(INDIRECT(ADDRESS(ROW()+1,COLUMN(), 4)),Dex!$A$2:$C293,3,false),"")</f>
        <v/>
      </c>
      <c r="D81" s="21" t="str">
        <f t="array" ref="D81">iferror(VLOOKUP(INDIRECT(ADDRESS(ROW()+1,COLUMN(), 4)),Dex!$A$2:$C293,3,false),"")</f>
        <v/>
      </c>
      <c r="E81" s="21" t="s">
        <v>1177</v>
      </c>
      <c r="F81" s="21" t="s">
        <v>1177</v>
      </c>
      <c r="G81" s="21" t="s">
        <v>1177</v>
      </c>
      <c r="H81" s="22" t="str">
        <f t="array" ref="H81">iferror(VLOOKUP("TRAINER_PIC_AQUA_GRUNT_M",Sprites!$A$1:$B293,2,false),"")</f>
        <v/>
      </c>
      <c r="I81" s="23"/>
    </row>
    <row r="82">
      <c r="A82" s="24"/>
      <c r="B82" s="25" t="s">
        <v>417</v>
      </c>
      <c r="C82" s="25" t="s">
        <v>574</v>
      </c>
      <c r="D82" s="25" t="s">
        <v>154</v>
      </c>
      <c r="E82" s="25" t="s">
        <v>1177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1264</v>
      </c>
      <c r="C83" s="27" t="s">
        <v>1245</v>
      </c>
      <c r="D83" s="27" t="s">
        <v>1264</v>
      </c>
      <c r="E83" s="21" t="s">
        <v>1177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1197</v>
      </c>
      <c r="C84" s="28" t="s">
        <v>1265</v>
      </c>
      <c r="D84" s="28" t="s">
        <v>1197</v>
      </c>
      <c r="E84" s="28" t="s">
        <v>1177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1266</v>
      </c>
      <c r="C85" s="21" t="s">
        <v>1267</v>
      </c>
      <c r="D85" s="21" t="s">
        <v>1268</v>
      </c>
      <c r="E85" s="21" t="s">
        <v>1177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1269</v>
      </c>
      <c r="C86" s="28" t="s">
        <v>1249</v>
      </c>
      <c r="D86" s="28" t="s">
        <v>1234</v>
      </c>
      <c r="E86" s="28" t="s">
        <v>1177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1189</v>
      </c>
      <c r="C87" s="21" t="s">
        <v>1270</v>
      </c>
      <c r="D87" s="21" t="s">
        <v>1271</v>
      </c>
      <c r="E87" s="21" t="s">
        <v>1177</v>
      </c>
      <c r="F87" s="21" t="s">
        <v>1177</v>
      </c>
      <c r="G87" s="21" t="s">
        <v>1177</v>
      </c>
      <c r="H87" s="26"/>
    </row>
    <row r="88">
      <c r="A88" s="29"/>
      <c r="B88" s="21" t="s">
        <v>1272</v>
      </c>
      <c r="C88" s="21" t="s">
        <v>1237</v>
      </c>
      <c r="D88" s="21" t="s">
        <v>1273</v>
      </c>
      <c r="E88" s="21" t="s">
        <v>1177</v>
      </c>
      <c r="F88" s="21" t="s">
        <v>1177</v>
      </c>
      <c r="G88" s="21" t="s">
        <v>1177</v>
      </c>
      <c r="H88" s="26"/>
    </row>
    <row r="89">
      <c r="A89" s="29"/>
      <c r="B89" s="21" t="s">
        <v>1236</v>
      </c>
      <c r="C89" s="21" t="s">
        <v>1274</v>
      </c>
      <c r="D89" s="21" t="s">
        <v>1275</v>
      </c>
      <c r="E89" s="21" t="s">
        <v>1177</v>
      </c>
      <c r="F89" s="21" t="s">
        <v>1177</v>
      </c>
      <c r="G89" s="21" t="s">
        <v>1177</v>
      </c>
      <c r="H89" s="26"/>
    </row>
    <row r="90">
      <c r="A90" s="24"/>
      <c r="B90" s="21" t="s">
        <v>1276</v>
      </c>
      <c r="C90" s="21" t="s">
        <v>1225</v>
      </c>
      <c r="D90" s="21" t="s">
        <v>1277</v>
      </c>
      <c r="E90" s="21" t="s">
        <v>1177</v>
      </c>
      <c r="F90" s="21" t="s">
        <v>1177</v>
      </c>
      <c r="G90" s="21" t="s">
        <v>1177</v>
      </c>
      <c r="H90" s="30"/>
      <c r="I90" s="14"/>
    </row>
    <row r="91">
      <c r="A91" s="31"/>
      <c r="B91" s="32" t="s">
        <v>1278</v>
      </c>
      <c r="C91" s="18"/>
      <c r="D91" s="18"/>
      <c r="E91" s="18"/>
      <c r="F91" s="18"/>
      <c r="G91" s="18"/>
      <c r="H91" s="18"/>
      <c r="I91" s="33"/>
    </row>
    <row r="92">
      <c r="A92" s="16" t="s">
        <v>1174</v>
      </c>
      <c r="B92" s="17" t="s">
        <v>1279</v>
      </c>
      <c r="C92" s="18"/>
      <c r="D92" s="18"/>
      <c r="E92" s="18"/>
      <c r="F92" s="18"/>
      <c r="G92" s="18"/>
      <c r="H92" s="18"/>
      <c r="I92" s="16"/>
    </row>
    <row r="93" ht="60.0" customHeight="1">
      <c r="A93" s="20" t="s">
        <v>1176</v>
      </c>
      <c r="B93" s="21" t="str">
        <f t="array" ref="B93">iferror(VLOOKUP(INDIRECT(ADDRESS(ROW()+1,COLUMN(), 4)),Dex!$A$2:$C293,3,false),"")</f>
        <v/>
      </c>
      <c r="C93" s="21" t="str">
        <f t="array" ref="C93">iferror(VLOOKUP(INDIRECT(ADDRESS(ROW()+1,COLUMN(), 4)),Dex!$A$2:$C293,3,false),"")</f>
        <v/>
      </c>
      <c r="D93" s="21" t="str">
        <f t="array" ref="D93">iferror(VLOOKUP(INDIRECT(ADDRESS(ROW()+1,COLUMN(), 4)),Dex!$A$2:$C293,3,false),"")</f>
        <v/>
      </c>
      <c r="E93" s="21" t="s">
        <v>1177</v>
      </c>
      <c r="F93" s="21" t="s">
        <v>1177</v>
      </c>
      <c r="G93" s="21" t="s">
        <v>1177</v>
      </c>
      <c r="H93" s="22" t="str">
        <f t="array" ref="H93">iferror(VLOOKUP("TRAINER_PIC_FISHERMAN",Sprites!$A$1:$B293,2,false),"")</f>
        <v/>
      </c>
      <c r="I93" s="23"/>
    </row>
    <row r="94">
      <c r="A94" s="24"/>
      <c r="B94" s="25" t="s">
        <v>176</v>
      </c>
      <c r="C94" s="25" t="s">
        <v>364</v>
      </c>
      <c r="D94" s="25" t="s">
        <v>1084</v>
      </c>
      <c r="E94" s="25" t="s">
        <v>1177</v>
      </c>
      <c r="F94" s="25" t="s">
        <v>1177</v>
      </c>
      <c r="G94" s="25" t="s">
        <v>1177</v>
      </c>
      <c r="H94" s="26"/>
    </row>
    <row r="95">
      <c r="A95" s="16" t="s">
        <v>1178</v>
      </c>
      <c r="B95" s="27" t="s">
        <v>1280</v>
      </c>
      <c r="C95" s="27" t="s">
        <v>1280</v>
      </c>
      <c r="D95" s="27" t="s">
        <v>1280</v>
      </c>
      <c r="E95" s="21" t="s">
        <v>1177</v>
      </c>
      <c r="F95" s="21" t="s">
        <v>1177</v>
      </c>
      <c r="G95" s="21" t="s">
        <v>1177</v>
      </c>
      <c r="H95" s="26"/>
    </row>
    <row r="96">
      <c r="A96" s="16" t="s">
        <v>1181</v>
      </c>
      <c r="B96" s="28" t="s">
        <v>1281</v>
      </c>
      <c r="C96" s="28" t="s">
        <v>1209</v>
      </c>
      <c r="D96" s="28" t="s">
        <v>1282</v>
      </c>
      <c r="E96" s="28" t="s">
        <v>1177</v>
      </c>
      <c r="F96" s="28" t="s">
        <v>1177</v>
      </c>
      <c r="G96" s="28" t="s">
        <v>1177</v>
      </c>
      <c r="H96" s="26"/>
    </row>
    <row r="97">
      <c r="A97" s="16" t="s">
        <v>1182</v>
      </c>
      <c r="B97" s="21" t="s">
        <v>1283</v>
      </c>
      <c r="C97" s="21" t="s">
        <v>1212</v>
      </c>
      <c r="D97" s="21" t="s">
        <v>1212</v>
      </c>
      <c r="E97" s="21" t="s">
        <v>1177</v>
      </c>
      <c r="F97" s="21" t="s">
        <v>1177</v>
      </c>
      <c r="G97" s="21" t="s">
        <v>1177</v>
      </c>
      <c r="H97" s="26"/>
    </row>
    <row r="98">
      <c r="A98" s="16" t="s">
        <v>1186</v>
      </c>
      <c r="B98" s="28" t="s">
        <v>1284</v>
      </c>
      <c r="C98" s="28" t="s">
        <v>1284</v>
      </c>
      <c r="D98" s="28" t="s">
        <v>1248</v>
      </c>
      <c r="E98" s="28" t="s">
        <v>1177</v>
      </c>
      <c r="F98" s="28" t="s">
        <v>1177</v>
      </c>
      <c r="G98" s="28" t="s">
        <v>1177</v>
      </c>
      <c r="H98" s="26"/>
    </row>
    <row r="99">
      <c r="A99" s="20" t="s">
        <v>1188</v>
      </c>
      <c r="B99" s="21" t="s">
        <v>1272</v>
      </c>
      <c r="C99" s="21" t="s">
        <v>1285</v>
      </c>
      <c r="D99" s="21" t="s">
        <v>1236</v>
      </c>
      <c r="E99" s="21" t="s">
        <v>1177</v>
      </c>
      <c r="F99" s="21" t="s">
        <v>1177</v>
      </c>
      <c r="G99" s="21" t="s">
        <v>1177</v>
      </c>
      <c r="H99" s="26"/>
    </row>
    <row r="100">
      <c r="A100" s="29"/>
      <c r="B100" s="21" t="s">
        <v>1286</v>
      </c>
      <c r="C100" s="21" t="s">
        <v>1215</v>
      </c>
      <c r="D100" s="21" t="s">
        <v>1189</v>
      </c>
      <c r="E100" s="21" t="s">
        <v>1177</v>
      </c>
      <c r="F100" s="21" t="s">
        <v>1177</v>
      </c>
      <c r="G100" s="21" t="s">
        <v>1177</v>
      </c>
      <c r="H100" s="26"/>
    </row>
    <row r="101">
      <c r="A101" s="29"/>
      <c r="B101" s="21" t="s">
        <v>1287</v>
      </c>
      <c r="C101" s="21" t="s">
        <v>1288</v>
      </c>
      <c r="D101" s="21" t="s">
        <v>1289</v>
      </c>
      <c r="E101" s="21" t="s">
        <v>1177</v>
      </c>
      <c r="F101" s="21" t="s">
        <v>1177</v>
      </c>
      <c r="G101" s="21" t="s">
        <v>1177</v>
      </c>
      <c r="H101" s="26"/>
    </row>
    <row r="102">
      <c r="A102" s="24"/>
      <c r="B102" s="21" t="s">
        <v>1290</v>
      </c>
      <c r="C102" s="21" t="s">
        <v>1291</v>
      </c>
      <c r="D102" s="21" t="s">
        <v>1292</v>
      </c>
      <c r="E102" s="21" t="s">
        <v>1177</v>
      </c>
      <c r="F102" s="21" t="s">
        <v>1177</v>
      </c>
      <c r="G102" s="21" t="s">
        <v>1177</v>
      </c>
      <c r="H102" s="30"/>
      <c r="I102" s="14"/>
    </row>
    <row r="103">
      <c r="A103" s="16" t="s">
        <v>1174</v>
      </c>
      <c r="B103" s="17" t="s">
        <v>1293</v>
      </c>
      <c r="C103" s="18"/>
      <c r="D103" s="18"/>
      <c r="E103" s="18"/>
      <c r="F103" s="18"/>
      <c r="G103" s="18"/>
      <c r="H103" s="18"/>
      <c r="I103" s="16"/>
    </row>
    <row r="104" ht="60.0" customHeight="1">
      <c r="A104" s="20" t="s">
        <v>1176</v>
      </c>
      <c r="B104" s="21" t="str">
        <f t="array" ref="B104">iferror(VLOOKUP(INDIRECT(ADDRESS(ROW()+1,COLUMN(), 4)),Dex!$A$2:$C293,3,false),"")</f>
        <v/>
      </c>
      <c r="C104" s="21" t="str">
        <f t="array" ref="C104">iferror(VLOOKUP(INDIRECT(ADDRESS(ROW()+1,COLUMN(), 4)),Dex!$A$2:$C293,3,false),"")</f>
        <v/>
      </c>
      <c r="D104" s="21" t="str">
        <f t="array" ref="D104">iferror(VLOOKUP(INDIRECT(ADDRESS(ROW()+1,COLUMN(), 4)),Dex!$A$2:$C293,3,false),"")</f>
        <v/>
      </c>
      <c r="E104" s="21" t="str">
        <f t="array" ref="E104">iferror(VLOOKUP(INDIRECT(ADDRESS(ROW()+1,COLUMN(), 4)),Dex!$A$2:$C293,3,false),"")</f>
        <v/>
      </c>
      <c r="F104" s="21" t="s">
        <v>1177</v>
      </c>
      <c r="G104" s="21" t="s">
        <v>1177</v>
      </c>
      <c r="H104" s="22" t="str">
        <f t="array" ref="H104">iferror(VLOOKUP("TRAINER_PIC_RUIN_MANIAC",Sprites!$A$1:$B293,2,false),"")</f>
        <v/>
      </c>
      <c r="I104" s="23"/>
    </row>
    <row r="105">
      <c r="A105" s="24"/>
      <c r="B105" s="25" t="s">
        <v>712</v>
      </c>
      <c r="C105" s="25" t="s">
        <v>964</v>
      </c>
      <c r="D105" s="25" t="s">
        <v>398</v>
      </c>
      <c r="E105" s="25" t="s">
        <v>566</v>
      </c>
      <c r="F105" s="25" t="s">
        <v>1177</v>
      </c>
      <c r="G105" s="25" t="s">
        <v>1177</v>
      </c>
      <c r="H105" s="26"/>
    </row>
    <row r="106">
      <c r="A106" s="16" t="s">
        <v>1178</v>
      </c>
      <c r="B106" s="27" t="s">
        <v>1280</v>
      </c>
      <c r="C106" s="27" t="s">
        <v>1294</v>
      </c>
      <c r="D106" s="27" t="s">
        <v>1280</v>
      </c>
      <c r="E106" s="27" t="s">
        <v>1280</v>
      </c>
      <c r="F106" s="21" t="s">
        <v>1177</v>
      </c>
      <c r="G106" s="21" t="s">
        <v>1177</v>
      </c>
      <c r="H106" s="26"/>
    </row>
    <row r="107">
      <c r="A107" s="16" t="s">
        <v>1181</v>
      </c>
      <c r="B107" s="28" t="s">
        <v>1221</v>
      </c>
      <c r="C107" s="28" t="s">
        <v>1209</v>
      </c>
      <c r="D107" s="28" t="s">
        <v>1295</v>
      </c>
      <c r="E107" s="28" t="s">
        <v>1265</v>
      </c>
      <c r="F107" s="28" t="s">
        <v>1177</v>
      </c>
      <c r="G107" s="28" t="s">
        <v>1177</v>
      </c>
      <c r="H107" s="26"/>
    </row>
    <row r="108">
      <c r="A108" s="16" t="s">
        <v>1182</v>
      </c>
      <c r="B108" s="21" t="s">
        <v>1296</v>
      </c>
      <c r="C108" s="21" t="s">
        <v>1297</v>
      </c>
      <c r="D108" s="21" t="s">
        <v>1298</v>
      </c>
      <c r="E108" s="21" t="s">
        <v>1299</v>
      </c>
      <c r="F108" s="21" t="s">
        <v>1177</v>
      </c>
      <c r="G108" s="21" t="s">
        <v>1177</v>
      </c>
      <c r="H108" s="26"/>
    </row>
    <row r="109">
      <c r="A109" s="16" t="s">
        <v>1186</v>
      </c>
      <c r="B109" s="28" t="s">
        <v>1248</v>
      </c>
      <c r="C109" s="28" t="s">
        <v>1300</v>
      </c>
      <c r="D109" s="28" t="s">
        <v>1248</v>
      </c>
      <c r="E109" s="28" t="s">
        <v>1235</v>
      </c>
      <c r="F109" s="28" t="s">
        <v>1177</v>
      </c>
      <c r="G109" s="28" t="s">
        <v>1177</v>
      </c>
      <c r="H109" s="26"/>
    </row>
    <row r="110">
      <c r="A110" s="20" t="s">
        <v>1188</v>
      </c>
      <c r="B110" s="21" t="s">
        <v>1201</v>
      </c>
      <c r="C110" s="21" t="s">
        <v>1301</v>
      </c>
      <c r="D110" s="21" t="s">
        <v>1302</v>
      </c>
      <c r="E110" s="21" t="s">
        <v>1214</v>
      </c>
      <c r="F110" s="21" t="s">
        <v>1177</v>
      </c>
      <c r="G110" s="21" t="s">
        <v>1177</v>
      </c>
      <c r="H110" s="26"/>
    </row>
    <row r="111">
      <c r="A111" s="29"/>
      <c r="B111" s="21" t="s">
        <v>1303</v>
      </c>
      <c r="C111" s="21" t="s">
        <v>1304</v>
      </c>
      <c r="D111" s="21" t="s">
        <v>1305</v>
      </c>
      <c r="E111" s="21" t="s">
        <v>1306</v>
      </c>
      <c r="F111" s="21" t="s">
        <v>1177</v>
      </c>
      <c r="G111" s="21" t="s">
        <v>1177</v>
      </c>
      <c r="H111" s="26"/>
    </row>
    <row r="112">
      <c r="A112" s="29"/>
      <c r="B112" s="21" t="s">
        <v>1307</v>
      </c>
      <c r="C112" s="21" t="s">
        <v>1308</v>
      </c>
      <c r="D112" s="21" t="s">
        <v>1309</v>
      </c>
      <c r="E112" s="21" t="s">
        <v>1177</v>
      </c>
      <c r="F112" s="21" t="s">
        <v>1177</v>
      </c>
      <c r="G112" s="21" t="s">
        <v>1177</v>
      </c>
      <c r="H112" s="26"/>
    </row>
    <row r="113">
      <c r="A113" s="24"/>
      <c r="B113" s="21" t="s">
        <v>1310</v>
      </c>
      <c r="C113" s="21" t="s">
        <v>1311</v>
      </c>
      <c r="D113" s="21" t="s">
        <v>1177</v>
      </c>
      <c r="E113" s="21" t="s">
        <v>1177</v>
      </c>
      <c r="F113" s="21" t="s">
        <v>1177</v>
      </c>
      <c r="G113" s="21" t="s">
        <v>1177</v>
      </c>
      <c r="H113" s="30"/>
      <c r="I113" s="14"/>
    </row>
    <row r="114">
      <c r="A114" s="31"/>
      <c r="B114" s="32" t="s">
        <v>1312</v>
      </c>
      <c r="C114" s="18"/>
      <c r="D114" s="18"/>
      <c r="E114" s="18"/>
      <c r="F114" s="18"/>
      <c r="G114" s="18"/>
      <c r="H114" s="18"/>
      <c r="I114" s="33"/>
    </row>
    <row r="115">
      <c r="A115" s="16" t="s">
        <v>1174</v>
      </c>
      <c r="B115" s="17" t="s">
        <v>1313</v>
      </c>
      <c r="C115" s="18"/>
      <c r="D115" s="18"/>
      <c r="E115" s="18"/>
      <c r="F115" s="18"/>
      <c r="G115" s="18"/>
      <c r="H115" s="18"/>
      <c r="I115" s="16"/>
    </row>
    <row r="116" ht="60.0" customHeight="1">
      <c r="A116" s="20" t="s">
        <v>1176</v>
      </c>
      <c r="B116" s="21" t="str">
        <f t="array" ref="B116">iferror(VLOOKUP(INDIRECT(ADDRESS(ROW()+1,COLUMN(), 4)),Dex!$A$2:$C293,3,false),"")</f>
        <v/>
      </c>
      <c r="C116" s="21" t="str">
        <f t="array" ref="C116">iferror(VLOOKUP(INDIRECT(ADDRESS(ROW()+1,COLUMN(), 4)),Dex!$A$2:$C293,3,false),"")</f>
        <v/>
      </c>
      <c r="D116" s="21" t="str">
        <f t="array" ref="D116">iferror(VLOOKUP(INDIRECT(ADDRESS(ROW()+1,COLUMN(), 4)),Dex!$A$2:$C293,3,false),"")</f>
        <v/>
      </c>
      <c r="E116" s="21" t="s">
        <v>1177</v>
      </c>
      <c r="F116" s="21" t="s">
        <v>1177</v>
      </c>
      <c r="G116" s="21" t="s">
        <v>1177</v>
      </c>
      <c r="H116" s="22" t="str">
        <f t="array" ref="H116">iferror(VLOOKUP("TRAINER_PIC_TUBER_M",Sprites!$A$1:$B293,2,false),"")</f>
        <v/>
      </c>
      <c r="I116" s="23"/>
    </row>
    <row r="117">
      <c r="A117" s="24"/>
      <c r="B117" s="25" t="s">
        <v>324</v>
      </c>
      <c r="C117" s="25" t="s">
        <v>325</v>
      </c>
      <c r="D117" s="25" t="s">
        <v>326</v>
      </c>
      <c r="E117" s="25" t="s">
        <v>1177</v>
      </c>
      <c r="F117" s="25" t="s">
        <v>1177</v>
      </c>
      <c r="G117" s="25" t="s">
        <v>1177</v>
      </c>
      <c r="H117" s="26"/>
    </row>
    <row r="118">
      <c r="A118" s="16" t="s">
        <v>1178</v>
      </c>
      <c r="B118" s="27" t="s">
        <v>1294</v>
      </c>
      <c r="C118" s="27" t="s">
        <v>1294</v>
      </c>
      <c r="D118" s="27" t="s">
        <v>1294</v>
      </c>
      <c r="E118" s="21" t="s">
        <v>1177</v>
      </c>
      <c r="F118" s="21" t="s">
        <v>1177</v>
      </c>
      <c r="G118" s="21" t="s">
        <v>1177</v>
      </c>
      <c r="H118" s="26"/>
    </row>
    <row r="119">
      <c r="A119" s="16" t="s">
        <v>1181</v>
      </c>
      <c r="B119" s="28" t="s">
        <v>1314</v>
      </c>
      <c r="C119" s="28" t="s">
        <v>1315</v>
      </c>
      <c r="D119" s="28" t="s">
        <v>1316</v>
      </c>
      <c r="E119" s="28" t="s">
        <v>1177</v>
      </c>
      <c r="F119" s="28" t="s">
        <v>1177</v>
      </c>
      <c r="G119" s="28" t="s">
        <v>1177</v>
      </c>
      <c r="H119" s="26"/>
    </row>
    <row r="120">
      <c r="A120" s="16" t="s">
        <v>1182</v>
      </c>
      <c r="B120" s="21" t="s">
        <v>1317</v>
      </c>
      <c r="C120" s="21" t="s">
        <v>1184</v>
      </c>
      <c r="D120" s="21" t="s">
        <v>1318</v>
      </c>
      <c r="E120" s="21" t="s">
        <v>1177</v>
      </c>
      <c r="F120" s="21" t="s">
        <v>1177</v>
      </c>
      <c r="G120" s="21" t="s">
        <v>1177</v>
      </c>
      <c r="H120" s="26"/>
    </row>
    <row r="121">
      <c r="A121" s="16" t="s">
        <v>1186</v>
      </c>
      <c r="B121" s="28" t="s">
        <v>1284</v>
      </c>
      <c r="C121" s="28" t="s">
        <v>1269</v>
      </c>
      <c r="D121" s="28" t="s">
        <v>1269</v>
      </c>
      <c r="E121" s="28" t="s">
        <v>1177</v>
      </c>
      <c r="F121" s="28" t="s">
        <v>1177</v>
      </c>
      <c r="G121" s="28" t="s">
        <v>1177</v>
      </c>
      <c r="H121" s="26"/>
    </row>
    <row r="122">
      <c r="A122" s="20" t="s">
        <v>1188</v>
      </c>
      <c r="B122" s="21" t="s">
        <v>1286</v>
      </c>
      <c r="C122" s="21" t="s">
        <v>1290</v>
      </c>
      <c r="D122" s="21" t="s">
        <v>1319</v>
      </c>
      <c r="E122" s="21" t="s">
        <v>1177</v>
      </c>
      <c r="F122" s="21" t="s">
        <v>1177</v>
      </c>
      <c r="G122" s="21" t="s">
        <v>1177</v>
      </c>
      <c r="H122" s="26"/>
    </row>
    <row r="123">
      <c r="A123" s="29"/>
      <c r="B123" s="21" t="s">
        <v>1287</v>
      </c>
      <c r="C123" s="21" t="s">
        <v>1320</v>
      </c>
      <c r="D123" s="21" t="s">
        <v>1321</v>
      </c>
      <c r="E123" s="21" t="s">
        <v>1177</v>
      </c>
      <c r="F123" s="21" t="s">
        <v>1177</v>
      </c>
      <c r="G123" s="21" t="s">
        <v>1177</v>
      </c>
      <c r="H123" s="26"/>
    </row>
    <row r="124">
      <c r="A124" s="29"/>
      <c r="B124" s="21" t="s">
        <v>1322</v>
      </c>
      <c r="C124" s="21" t="s">
        <v>1323</v>
      </c>
      <c r="D124" s="21" t="s">
        <v>1324</v>
      </c>
      <c r="E124" s="21" t="s">
        <v>1177</v>
      </c>
      <c r="F124" s="21" t="s">
        <v>1177</v>
      </c>
      <c r="G124" s="21" t="s">
        <v>1177</v>
      </c>
      <c r="H124" s="26"/>
    </row>
    <row r="125">
      <c r="A125" s="24"/>
      <c r="B125" s="21" t="s">
        <v>1177</v>
      </c>
      <c r="C125" s="21" t="s">
        <v>1192</v>
      </c>
      <c r="D125" s="21" t="s">
        <v>1325</v>
      </c>
      <c r="E125" s="21" t="s">
        <v>1177</v>
      </c>
      <c r="F125" s="21" t="s">
        <v>1177</v>
      </c>
      <c r="G125" s="21" t="s">
        <v>1177</v>
      </c>
      <c r="H125" s="30"/>
      <c r="I125" s="14"/>
    </row>
    <row r="126">
      <c r="A126" s="16" t="s">
        <v>1174</v>
      </c>
      <c r="B126" s="17" t="s">
        <v>1326</v>
      </c>
      <c r="C126" s="18"/>
      <c r="D126" s="18"/>
      <c r="E126" s="18"/>
      <c r="F126" s="18"/>
      <c r="G126" s="18"/>
      <c r="H126" s="18"/>
      <c r="I126" s="16"/>
    </row>
    <row r="127" ht="60.0" customHeight="1">
      <c r="A127" s="20" t="s">
        <v>1176</v>
      </c>
      <c r="B127" s="21" t="str">
        <f t="array" ref="B127">iferror(VLOOKUP(INDIRECT(ADDRESS(ROW()+1,COLUMN(), 4)),Dex!$A$2:$C293,3,false),"")</f>
        <v/>
      </c>
      <c r="C127" s="21" t="str">
        <f t="array" ref="C127">iferror(VLOOKUP(INDIRECT(ADDRESS(ROW()+1,COLUMN(), 4)),Dex!$A$2:$C293,3,false),"")</f>
        <v/>
      </c>
      <c r="D127" s="21" t="s">
        <v>1177</v>
      </c>
      <c r="E127" s="21" t="s">
        <v>1177</v>
      </c>
      <c r="F127" s="21" t="s">
        <v>1177</v>
      </c>
      <c r="G127" s="21" t="s">
        <v>1177</v>
      </c>
      <c r="H127" s="22" t="str">
        <f t="array" ref="H127">iferror(VLOOKUP("TRAINER_PIC_TUBER_F",Sprites!$A$1:$B293,2,false),"")</f>
        <v/>
      </c>
      <c r="I127" s="23"/>
    </row>
    <row r="128">
      <c r="A128" s="24"/>
      <c r="B128" s="25" t="s">
        <v>833</v>
      </c>
      <c r="C128" s="25" t="s">
        <v>658</v>
      </c>
      <c r="D128" s="25" t="s">
        <v>1177</v>
      </c>
      <c r="E128" s="25" t="s">
        <v>1177</v>
      </c>
      <c r="F128" s="25" t="s">
        <v>1177</v>
      </c>
      <c r="G128" s="25" t="s">
        <v>1177</v>
      </c>
      <c r="H128" s="26"/>
    </row>
    <row r="129">
      <c r="A129" s="16" t="s">
        <v>1178</v>
      </c>
      <c r="B129" s="27" t="s">
        <v>1294</v>
      </c>
      <c r="C129" s="27" t="s">
        <v>1294</v>
      </c>
      <c r="D129" s="21" t="s">
        <v>1177</v>
      </c>
      <c r="E129" s="21" t="s">
        <v>1177</v>
      </c>
      <c r="F129" s="21" t="s">
        <v>1177</v>
      </c>
      <c r="G129" s="21" t="s">
        <v>1177</v>
      </c>
      <c r="H129" s="26"/>
    </row>
    <row r="130">
      <c r="A130" s="16" t="s">
        <v>1181</v>
      </c>
      <c r="B130" s="28" t="s">
        <v>1209</v>
      </c>
      <c r="C130" s="28" t="s">
        <v>1209</v>
      </c>
      <c r="D130" s="28" t="s">
        <v>1177</v>
      </c>
      <c r="E130" s="28" t="s">
        <v>1177</v>
      </c>
      <c r="F130" s="28" t="s">
        <v>1177</v>
      </c>
      <c r="G130" s="28" t="s">
        <v>1177</v>
      </c>
      <c r="H130" s="26"/>
    </row>
    <row r="131">
      <c r="A131" s="16" t="s">
        <v>1182</v>
      </c>
      <c r="B131" s="21" t="s">
        <v>1318</v>
      </c>
      <c r="C131" s="21" t="s">
        <v>1298</v>
      </c>
      <c r="D131" s="21" t="s">
        <v>1177</v>
      </c>
      <c r="E131" s="21" t="s">
        <v>1177</v>
      </c>
      <c r="F131" s="21" t="s">
        <v>1177</v>
      </c>
      <c r="G131" s="21" t="s">
        <v>1177</v>
      </c>
      <c r="H131" s="26"/>
    </row>
    <row r="132">
      <c r="A132" s="16" t="s">
        <v>1186</v>
      </c>
      <c r="B132" s="28" t="s">
        <v>1235</v>
      </c>
      <c r="C132" s="28" t="s">
        <v>1235</v>
      </c>
      <c r="D132" s="28" t="s">
        <v>1177</v>
      </c>
      <c r="E132" s="28" t="s">
        <v>1177</v>
      </c>
      <c r="F132" s="28" t="s">
        <v>1177</v>
      </c>
      <c r="G132" s="28" t="s">
        <v>1177</v>
      </c>
      <c r="H132" s="26"/>
    </row>
    <row r="133">
      <c r="A133" s="20" t="s">
        <v>1188</v>
      </c>
      <c r="B133" s="21" t="s">
        <v>1327</v>
      </c>
      <c r="C133" s="21" t="s">
        <v>1214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1328</v>
      </c>
      <c r="C134" s="21" t="s">
        <v>1189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9"/>
      <c r="B135" s="21" t="s">
        <v>1329</v>
      </c>
      <c r="C135" s="21" t="s">
        <v>1330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26"/>
    </row>
    <row r="136">
      <c r="A136" s="24"/>
      <c r="B136" s="21" t="s">
        <v>1177</v>
      </c>
      <c r="C136" s="21" t="s">
        <v>1237</v>
      </c>
      <c r="D136" s="21" t="s">
        <v>1177</v>
      </c>
      <c r="E136" s="21" t="s">
        <v>1177</v>
      </c>
      <c r="F136" s="21" t="s">
        <v>1177</v>
      </c>
      <c r="G136" s="21" t="s">
        <v>1177</v>
      </c>
      <c r="H136" s="30"/>
      <c r="I136" s="14"/>
    </row>
    <row r="137">
      <c r="A137" s="16" t="s">
        <v>1174</v>
      </c>
      <c r="B137" s="17" t="s">
        <v>1331</v>
      </c>
      <c r="C137" s="18"/>
      <c r="D137" s="18"/>
      <c r="E137" s="18"/>
      <c r="F137" s="18"/>
      <c r="G137" s="18"/>
      <c r="H137" s="18"/>
      <c r="I137" s="16"/>
    </row>
    <row r="138" ht="60.0" customHeight="1">
      <c r="A138" s="20" t="s">
        <v>1176</v>
      </c>
      <c r="B138" s="21" t="str">
        <f t="array" ref="B138">iferror(VLOOKUP(INDIRECT(ADDRESS(ROW()+1,COLUMN(), 4)),Dex!$A$2:$C293,3,false),"")</f>
        <v/>
      </c>
      <c r="C138" s="21" t="str">
        <f t="array" ref="C138">iferror(VLOOKUP(INDIRECT(ADDRESS(ROW()+1,COLUMN(), 4)),Dex!$A$2:$C293,3,false),"")</f>
        <v/>
      </c>
      <c r="D138" s="21" t="str">
        <f t="array" ref="D138">iferror(VLOOKUP(INDIRECT(ADDRESS(ROW()+1,COLUMN(), 4)),Dex!$A$2:$C293,3,false),"")</f>
        <v/>
      </c>
      <c r="E138" s="21" t="s">
        <v>1177</v>
      </c>
      <c r="F138" s="21" t="s">
        <v>1177</v>
      </c>
      <c r="G138" s="21" t="s">
        <v>1177</v>
      </c>
      <c r="H138" s="22" t="str">
        <f t="array" ref="H138">iferror(VLOOKUP("TRAINER_PIC_SAILOR",Sprites!$A$1:$B293,2,false),"")</f>
        <v/>
      </c>
      <c r="I138" s="23"/>
    </row>
    <row r="139">
      <c r="A139" s="24"/>
      <c r="B139" s="25" t="s">
        <v>371</v>
      </c>
      <c r="C139" s="25" t="s">
        <v>535</v>
      </c>
      <c r="D139" s="25" t="s">
        <v>688</v>
      </c>
      <c r="E139" s="25" t="s">
        <v>1177</v>
      </c>
      <c r="F139" s="25" t="s">
        <v>1177</v>
      </c>
      <c r="G139" s="25" t="s">
        <v>1177</v>
      </c>
      <c r="H139" s="26"/>
    </row>
    <row r="140">
      <c r="A140" s="16" t="s">
        <v>1178</v>
      </c>
      <c r="B140" s="27" t="s">
        <v>1280</v>
      </c>
      <c r="C140" s="27" t="s">
        <v>1332</v>
      </c>
      <c r="D140" s="27" t="s">
        <v>1294</v>
      </c>
      <c r="E140" s="21" t="s">
        <v>1177</v>
      </c>
      <c r="F140" s="21" t="s">
        <v>1177</v>
      </c>
      <c r="G140" s="21" t="s">
        <v>1177</v>
      </c>
      <c r="H140" s="26"/>
    </row>
    <row r="141">
      <c r="A141" s="16" t="s">
        <v>1181</v>
      </c>
      <c r="B141" s="28" t="s">
        <v>1197</v>
      </c>
      <c r="C141" s="28" t="s">
        <v>1333</v>
      </c>
      <c r="D141" s="28" t="s">
        <v>1209</v>
      </c>
      <c r="E141" s="28" t="s">
        <v>1177</v>
      </c>
      <c r="F141" s="28" t="s">
        <v>1177</v>
      </c>
      <c r="G141" s="28" t="s">
        <v>1177</v>
      </c>
      <c r="H141" s="26"/>
    </row>
    <row r="142">
      <c r="A142" s="16" t="s">
        <v>1182</v>
      </c>
      <c r="B142" s="21" t="s">
        <v>1317</v>
      </c>
      <c r="C142" s="21" t="s">
        <v>1212</v>
      </c>
      <c r="D142" s="21" t="s">
        <v>1212</v>
      </c>
      <c r="E142" s="21" t="s">
        <v>1177</v>
      </c>
      <c r="F142" s="21" t="s">
        <v>1177</v>
      </c>
      <c r="G142" s="21" t="s">
        <v>1177</v>
      </c>
      <c r="H142" s="26"/>
    </row>
    <row r="143">
      <c r="A143" s="16" t="s">
        <v>1186</v>
      </c>
      <c r="B143" s="28" t="s">
        <v>1284</v>
      </c>
      <c r="C143" s="28" t="s">
        <v>1334</v>
      </c>
      <c r="D143" s="28" t="s">
        <v>1256</v>
      </c>
      <c r="E143" s="28" t="s">
        <v>1177</v>
      </c>
      <c r="F143" s="28" t="s">
        <v>1177</v>
      </c>
      <c r="G143" s="28" t="s">
        <v>1177</v>
      </c>
      <c r="H143" s="26"/>
    </row>
    <row r="144">
      <c r="A144" s="20" t="s">
        <v>1188</v>
      </c>
      <c r="B144" s="21" t="s">
        <v>1272</v>
      </c>
      <c r="C144" s="21" t="s">
        <v>1272</v>
      </c>
      <c r="D144" s="21" t="s">
        <v>1215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1335</v>
      </c>
      <c r="C145" s="21" t="s">
        <v>1236</v>
      </c>
      <c r="D145" s="21" t="s">
        <v>1242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9"/>
      <c r="B146" s="21" t="s">
        <v>1290</v>
      </c>
      <c r="C146" s="21" t="s">
        <v>1336</v>
      </c>
      <c r="D146" s="21" t="s">
        <v>1337</v>
      </c>
      <c r="E146" s="21" t="s">
        <v>1177</v>
      </c>
      <c r="F146" s="21" t="s">
        <v>1177</v>
      </c>
      <c r="G146" s="21" t="s">
        <v>1177</v>
      </c>
      <c r="H146" s="26"/>
    </row>
    <row r="147">
      <c r="A147" s="24"/>
      <c r="B147" s="21" t="s">
        <v>1338</v>
      </c>
      <c r="C147" s="21" t="s">
        <v>1241</v>
      </c>
      <c r="D147" s="21" t="s">
        <v>1338</v>
      </c>
      <c r="E147" s="21" t="s">
        <v>1177</v>
      </c>
      <c r="F147" s="21" t="s">
        <v>1177</v>
      </c>
      <c r="G147" s="21" t="s">
        <v>1177</v>
      </c>
      <c r="H147" s="30"/>
      <c r="I147" s="14"/>
    </row>
    <row r="148">
      <c r="A148" s="16" t="s">
        <v>1174</v>
      </c>
      <c r="B148" s="17" t="s">
        <v>1339</v>
      </c>
      <c r="C148" s="18"/>
      <c r="D148" s="18"/>
      <c r="E148" s="18"/>
      <c r="F148" s="18"/>
      <c r="G148" s="18"/>
      <c r="H148" s="18"/>
      <c r="I148" s="16"/>
    </row>
    <row r="149" ht="60.0" customHeight="1">
      <c r="A149" s="20" t="s">
        <v>1176</v>
      </c>
      <c r="B149" s="21" t="str">
        <f t="array" ref="B149">iferror(VLOOKUP(INDIRECT(ADDRESS(ROW()+1,COLUMN(), 4)),Dex!$A$2:$C293,3,false),"")</f>
        <v/>
      </c>
      <c r="C149" s="21" t="str">
        <f t="array" ref="C149">iferror(VLOOKUP(INDIRECT(ADDRESS(ROW()+1,COLUMN(), 4)),Dex!$A$2:$C293,3,false),"")</f>
        <v/>
      </c>
      <c r="D149" s="21" t="str">
        <f t="array" ref="D149">iferror(VLOOKUP(INDIRECT(ADDRESS(ROW()+1,COLUMN(), 4)),Dex!$A$2:$C293,3,false),"")</f>
        <v/>
      </c>
      <c r="E149" s="21" t="str">
        <f t="array" ref="E149">iferror(VLOOKUP(INDIRECT(ADDRESS(ROW()+1,COLUMN(), 4)),Dex!$A$2:$C293,3,false),"")</f>
        <v/>
      </c>
      <c r="F149" s="21" t="str">
        <f t="array" ref="F149">iferror(VLOOKUP(INDIRECT(ADDRESS(ROW()+1,COLUMN(), 4)),Dex!$A$2:$C293,3,false),"")</f>
        <v/>
      </c>
      <c r="G149" s="21" t="s">
        <v>1177</v>
      </c>
      <c r="H149" s="22" t="str">
        <f t="array" ref="H149">iferror(VLOOKUP("TRAINER_PIC_FISHERMAN",Sprites!$A$1:$B293,2,false),"")</f>
        <v/>
      </c>
      <c r="I149" s="23"/>
    </row>
    <row r="150">
      <c r="A150" s="24"/>
      <c r="B150" s="25" t="s">
        <v>21</v>
      </c>
      <c r="C150" s="25" t="s">
        <v>25</v>
      </c>
      <c r="D150" s="25" t="s">
        <v>358</v>
      </c>
      <c r="E150" s="25" t="s">
        <v>835</v>
      </c>
      <c r="F150" s="25" t="s">
        <v>1056</v>
      </c>
      <c r="G150" s="25" t="s">
        <v>1177</v>
      </c>
      <c r="H150" s="26"/>
    </row>
    <row r="151">
      <c r="A151" s="16" t="s">
        <v>1178</v>
      </c>
      <c r="B151" s="27" t="s">
        <v>1332</v>
      </c>
      <c r="C151" s="27" t="s">
        <v>1340</v>
      </c>
      <c r="D151" s="27" t="s">
        <v>1332</v>
      </c>
      <c r="E151" s="27" t="s">
        <v>1340</v>
      </c>
      <c r="F151" s="27" t="s">
        <v>1340</v>
      </c>
      <c r="G151" s="21" t="s">
        <v>1177</v>
      </c>
      <c r="H151" s="26"/>
    </row>
    <row r="152">
      <c r="A152" s="16" t="s">
        <v>1181</v>
      </c>
      <c r="B152" s="28" t="s">
        <v>1246</v>
      </c>
      <c r="C152" s="28" t="s">
        <v>1246</v>
      </c>
      <c r="D152" s="28" t="s">
        <v>1246</v>
      </c>
      <c r="E152" s="28" t="s">
        <v>1246</v>
      </c>
      <c r="F152" s="28" t="s">
        <v>1341</v>
      </c>
      <c r="G152" s="28" t="s">
        <v>1177</v>
      </c>
      <c r="H152" s="26"/>
    </row>
    <row r="153">
      <c r="A153" s="16" t="s">
        <v>1182</v>
      </c>
      <c r="B153" s="21" t="s">
        <v>1342</v>
      </c>
      <c r="C153" s="21" t="s">
        <v>1342</v>
      </c>
      <c r="D153" s="21" t="s">
        <v>1342</v>
      </c>
      <c r="E153" s="21" t="s">
        <v>1342</v>
      </c>
      <c r="F153" s="21" t="s">
        <v>1198</v>
      </c>
      <c r="G153" s="21" t="s">
        <v>1177</v>
      </c>
      <c r="H153" s="26"/>
    </row>
    <row r="154">
      <c r="A154" s="16" t="s">
        <v>1186</v>
      </c>
      <c r="B154" s="28" t="s">
        <v>1248</v>
      </c>
      <c r="C154" s="28" t="s">
        <v>1248</v>
      </c>
      <c r="D154" s="28" t="s">
        <v>1248</v>
      </c>
      <c r="E154" s="28" t="s">
        <v>1248</v>
      </c>
      <c r="F154" s="28" t="s">
        <v>1256</v>
      </c>
      <c r="G154" s="28" t="s">
        <v>1177</v>
      </c>
      <c r="H154" s="26"/>
    </row>
    <row r="155">
      <c r="A155" s="20" t="s">
        <v>1188</v>
      </c>
      <c r="B155" s="21" t="s">
        <v>1201</v>
      </c>
      <c r="C155" s="21" t="s">
        <v>1201</v>
      </c>
      <c r="D155" s="21" t="s">
        <v>1201</v>
      </c>
      <c r="E155" s="21" t="s">
        <v>1201</v>
      </c>
      <c r="F155" s="21" t="s">
        <v>1343</v>
      </c>
      <c r="G155" s="21" t="s">
        <v>1177</v>
      </c>
      <c r="H155" s="26"/>
    </row>
    <row r="156">
      <c r="A156" s="29"/>
      <c r="B156" s="21" t="s">
        <v>1177</v>
      </c>
      <c r="C156" s="21" t="s">
        <v>1177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9"/>
      <c r="B157" s="21" t="s">
        <v>1177</v>
      </c>
      <c r="C157" s="21" t="s">
        <v>1177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26"/>
    </row>
    <row r="158">
      <c r="A158" s="24"/>
      <c r="B158" s="21" t="s">
        <v>1177</v>
      </c>
      <c r="C158" s="21" t="s">
        <v>1177</v>
      </c>
      <c r="D158" s="21" t="s">
        <v>1177</v>
      </c>
      <c r="E158" s="21" t="s">
        <v>1177</v>
      </c>
      <c r="F158" s="21" t="s">
        <v>1177</v>
      </c>
      <c r="G158" s="21" t="s">
        <v>1177</v>
      </c>
      <c r="H158" s="30"/>
      <c r="I158" s="14"/>
    </row>
    <row r="159">
      <c r="A159" s="16" t="s">
        <v>1174</v>
      </c>
      <c r="B159" s="17" t="s">
        <v>1344</v>
      </c>
      <c r="C159" s="18"/>
      <c r="D159" s="18"/>
      <c r="E159" s="18"/>
      <c r="F159" s="18"/>
      <c r="G159" s="18"/>
      <c r="H159" s="18"/>
      <c r="I159" s="16"/>
    </row>
    <row r="160" ht="60.0" customHeight="1">
      <c r="A160" s="20" t="s">
        <v>1176</v>
      </c>
      <c r="B160" s="21" t="str">
        <f t="array" ref="B160">iferror(VLOOKUP(INDIRECT(ADDRESS(ROW()+1,COLUMN(), 4)),Dex!$A$2:$C293,3,false),"")</f>
        <v/>
      </c>
      <c r="C160" s="21" t="str">
        <f t="array" ref="C160">iferror(VLOOKUP(INDIRECT(ADDRESS(ROW()+1,COLUMN(), 4)),Dex!$A$2:$C293,3,false),"")</f>
        <v/>
      </c>
      <c r="D160" s="21" t="str">
        <f t="array" ref="D160">iferror(VLOOKUP(INDIRECT(ADDRESS(ROW()+1,COLUMN(), 4)),Dex!$A$2:$C293,3,false),"")</f>
        <v/>
      </c>
      <c r="E160" s="21" t="s">
        <v>1177</v>
      </c>
      <c r="F160" s="21" t="s">
        <v>1177</v>
      </c>
      <c r="G160" s="21" t="s">
        <v>1177</v>
      </c>
      <c r="H160" s="22" t="str">
        <f t="array" ref="H160">iferror(VLOOKUP("TRAINER_PIC_TUBER_M",Sprites!$A$1:$B293,2,false),"")</f>
        <v/>
      </c>
      <c r="I160" s="23"/>
    </row>
    <row r="161">
      <c r="A161" s="24"/>
      <c r="B161" s="25" t="s">
        <v>267</v>
      </c>
      <c r="C161" s="25" t="s">
        <v>55</v>
      </c>
      <c r="D161" s="25" t="s">
        <v>519</v>
      </c>
      <c r="E161" s="25" t="s">
        <v>1177</v>
      </c>
      <c r="F161" s="25" t="s">
        <v>1177</v>
      </c>
      <c r="G161" s="25" t="s">
        <v>1177</v>
      </c>
      <c r="H161" s="26"/>
    </row>
    <row r="162">
      <c r="A162" s="16" t="s">
        <v>1178</v>
      </c>
      <c r="B162" s="27" t="s">
        <v>1294</v>
      </c>
      <c r="C162" s="27" t="s">
        <v>1332</v>
      </c>
      <c r="D162" s="27" t="s">
        <v>1294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1181</v>
      </c>
      <c r="B163" s="28" t="s">
        <v>1345</v>
      </c>
      <c r="C163" s="28" t="s">
        <v>1346</v>
      </c>
      <c r="D163" s="28" t="s">
        <v>1209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16" t="s">
        <v>1182</v>
      </c>
      <c r="B164" s="21" t="s">
        <v>1347</v>
      </c>
      <c r="C164" s="21" t="s">
        <v>1348</v>
      </c>
      <c r="D164" s="21" t="s">
        <v>1298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16" t="s">
        <v>1186</v>
      </c>
      <c r="B165" s="28" t="s">
        <v>1235</v>
      </c>
      <c r="C165" s="28" t="s">
        <v>1235</v>
      </c>
      <c r="D165" s="28" t="s">
        <v>1235</v>
      </c>
      <c r="E165" s="28" t="s">
        <v>1177</v>
      </c>
      <c r="F165" s="28" t="s">
        <v>1177</v>
      </c>
      <c r="G165" s="28" t="s">
        <v>1177</v>
      </c>
      <c r="H165" s="26"/>
    </row>
    <row r="166">
      <c r="A166" s="20" t="s">
        <v>1188</v>
      </c>
      <c r="B166" s="21" t="s">
        <v>1349</v>
      </c>
      <c r="C166" s="21" t="s">
        <v>1350</v>
      </c>
      <c r="D166" s="21" t="s">
        <v>1203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1225</v>
      </c>
      <c r="C167" s="21" t="s">
        <v>1351</v>
      </c>
      <c r="D167" s="21" t="s">
        <v>1352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9"/>
      <c r="B168" s="21" t="s">
        <v>1327</v>
      </c>
      <c r="C168" s="21" t="s">
        <v>1352</v>
      </c>
      <c r="D168" s="21" t="s">
        <v>1189</v>
      </c>
      <c r="E168" s="21" t="s">
        <v>1177</v>
      </c>
      <c r="F168" s="21" t="s">
        <v>1177</v>
      </c>
      <c r="G168" s="21" t="s">
        <v>1177</v>
      </c>
      <c r="H168" s="26"/>
    </row>
    <row r="169">
      <c r="A169" s="24"/>
      <c r="B169" s="21" t="s">
        <v>1193</v>
      </c>
      <c r="C169" s="21" t="s">
        <v>1193</v>
      </c>
      <c r="D169" s="21" t="s">
        <v>1353</v>
      </c>
      <c r="E169" s="21" t="s">
        <v>1177</v>
      </c>
      <c r="F169" s="21" t="s">
        <v>1177</v>
      </c>
      <c r="G169" s="21" t="s">
        <v>1177</v>
      </c>
      <c r="H169" s="30"/>
      <c r="I169" s="14"/>
    </row>
    <row r="170">
      <c r="A170" s="16" t="s">
        <v>1174</v>
      </c>
      <c r="B170" s="17" t="s">
        <v>1354</v>
      </c>
      <c r="C170" s="18"/>
      <c r="D170" s="18"/>
      <c r="E170" s="18"/>
      <c r="F170" s="18"/>
      <c r="G170" s="18"/>
      <c r="H170" s="18"/>
      <c r="I170" s="16"/>
    </row>
    <row r="171" ht="60.0" customHeight="1">
      <c r="A171" s="20" t="s">
        <v>1176</v>
      </c>
      <c r="B171" s="21" t="str">
        <f t="array" ref="B171">iferror(VLOOKUP(INDIRECT(ADDRESS(ROW()+1,COLUMN(), 4)),Dex!$A$2:$C293,3,false),"")</f>
        <v/>
      </c>
      <c r="C171" s="21" t="str">
        <f t="array" ref="C171">iferror(VLOOKUP(INDIRECT(ADDRESS(ROW()+1,COLUMN(), 4)),Dex!$A$2:$C293,3,false),"")</f>
        <v/>
      </c>
      <c r="D171" s="21" t="str">
        <f t="array" ref="D171">iferror(VLOOKUP(INDIRECT(ADDRESS(ROW()+1,COLUMN(), 4)),Dex!$A$2:$C293,3,false),"")</f>
        <v/>
      </c>
      <c r="E171" s="21" t="s">
        <v>1177</v>
      </c>
      <c r="F171" s="21" t="s">
        <v>1177</v>
      </c>
      <c r="G171" s="21" t="s">
        <v>1177</v>
      </c>
      <c r="H171" s="22" t="str">
        <f t="array" ref="H171">iferror(VLOOKUP("TRAINER_PIC_TUBER_F",Sprites!$A$1:$B293,2,false),"")</f>
        <v/>
      </c>
      <c r="I171" s="23"/>
    </row>
    <row r="172">
      <c r="A172" s="24"/>
      <c r="B172" s="25" t="s">
        <v>779</v>
      </c>
      <c r="C172" s="25" t="s">
        <v>51</v>
      </c>
      <c r="D172" s="25" t="s">
        <v>256</v>
      </c>
      <c r="E172" s="25" t="s">
        <v>1177</v>
      </c>
      <c r="F172" s="25" t="s">
        <v>1177</v>
      </c>
      <c r="G172" s="25" t="s">
        <v>1177</v>
      </c>
      <c r="H172" s="26"/>
    </row>
    <row r="173">
      <c r="A173" s="16" t="s">
        <v>1178</v>
      </c>
      <c r="B173" s="27" t="s">
        <v>1294</v>
      </c>
      <c r="C173" s="27" t="s">
        <v>1332</v>
      </c>
      <c r="D173" s="27" t="s">
        <v>1294</v>
      </c>
      <c r="E173" s="21" t="s">
        <v>1177</v>
      </c>
      <c r="F173" s="21" t="s">
        <v>1177</v>
      </c>
      <c r="G173" s="21" t="s">
        <v>1177</v>
      </c>
      <c r="H173" s="26"/>
    </row>
    <row r="174">
      <c r="A174" s="16" t="s">
        <v>1181</v>
      </c>
      <c r="B174" s="28" t="s">
        <v>1355</v>
      </c>
      <c r="C174" s="28" t="s">
        <v>1209</v>
      </c>
      <c r="D174" s="28" t="s">
        <v>1315</v>
      </c>
      <c r="E174" s="28" t="s">
        <v>1177</v>
      </c>
      <c r="F174" s="28" t="s">
        <v>1177</v>
      </c>
      <c r="G174" s="28" t="s">
        <v>1177</v>
      </c>
      <c r="H174" s="26"/>
    </row>
    <row r="175">
      <c r="A175" s="16" t="s">
        <v>1182</v>
      </c>
      <c r="B175" s="21" t="s">
        <v>1356</v>
      </c>
      <c r="C175" s="21" t="s">
        <v>1348</v>
      </c>
      <c r="D175" s="21" t="s">
        <v>1357</v>
      </c>
      <c r="E175" s="21" t="s">
        <v>1177</v>
      </c>
      <c r="F175" s="21" t="s">
        <v>1177</v>
      </c>
      <c r="G175" s="21" t="s">
        <v>1177</v>
      </c>
      <c r="H175" s="26"/>
    </row>
    <row r="176">
      <c r="A176" s="16" t="s">
        <v>1186</v>
      </c>
      <c r="B176" s="28" t="s">
        <v>1235</v>
      </c>
      <c r="C176" s="28" t="s">
        <v>1284</v>
      </c>
      <c r="D176" s="28" t="s">
        <v>1234</v>
      </c>
      <c r="E176" s="28" t="s">
        <v>1177</v>
      </c>
      <c r="F176" s="28" t="s">
        <v>1177</v>
      </c>
      <c r="G176" s="28" t="s">
        <v>1177</v>
      </c>
      <c r="H176" s="26"/>
    </row>
    <row r="177">
      <c r="A177" s="20" t="s">
        <v>1188</v>
      </c>
      <c r="B177" s="21" t="s">
        <v>1358</v>
      </c>
      <c r="C177" s="21" t="s">
        <v>1350</v>
      </c>
      <c r="D177" s="21" t="s">
        <v>1290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1359</v>
      </c>
      <c r="C178" s="21" t="s">
        <v>1272</v>
      </c>
      <c r="D178" s="21" t="s">
        <v>1320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1360</v>
      </c>
      <c r="C179" s="21" t="s">
        <v>1290</v>
      </c>
      <c r="D179" s="21" t="s">
        <v>1325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4"/>
      <c r="B180" s="21" t="s">
        <v>1361</v>
      </c>
      <c r="C180" s="21" t="s">
        <v>1362</v>
      </c>
      <c r="D180" s="21" t="s">
        <v>1262</v>
      </c>
      <c r="E180" s="21" t="s">
        <v>1177</v>
      </c>
      <c r="F180" s="21" t="s">
        <v>1177</v>
      </c>
      <c r="G180" s="21" t="s">
        <v>1177</v>
      </c>
      <c r="H180" s="30"/>
      <c r="I180" s="14"/>
    </row>
    <row r="181">
      <c r="A181" s="31"/>
      <c r="B181" s="32" t="s">
        <v>1363</v>
      </c>
      <c r="C181" s="18"/>
      <c r="D181" s="18"/>
      <c r="E181" s="18"/>
      <c r="F181" s="18"/>
      <c r="G181" s="18"/>
      <c r="H181" s="18"/>
      <c r="I181" s="33"/>
    </row>
    <row r="182">
      <c r="A182" s="16" t="s">
        <v>1174</v>
      </c>
      <c r="B182" s="17" t="s">
        <v>1364</v>
      </c>
      <c r="C182" s="18"/>
      <c r="D182" s="18"/>
      <c r="E182" s="18"/>
      <c r="F182" s="18"/>
      <c r="G182" s="18"/>
      <c r="H182" s="18"/>
      <c r="I182" s="19"/>
    </row>
    <row r="183" ht="60.0" customHeight="1">
      <c r="A183" s="20" t="s">
        <v>1176</v>
      </c>
      <c r="B183" s="21" t="str">
        <f t="array" ref="B183">iferror(VLOOKUP(INDIRECT(ADDRESS(ROW()+1,COLUMN(), 4)),Dex!$A$2:$C293,3,false),"")</f>
        <v/>
      </c>
      <c r="C183" s="21" t="str">
        <f t="array" ref="C183">iferror(VLOOKUP(INDIRECT(ADDRESS(ROW()+1,COLUMN(), 4)),Dex!$A$2:$C293,3,false),"")</f>
        <v/>
      </c>
      <c r="D183" s="21" t="str">
        <f t="array" ref="D183">iferror(VLOOKUP(INDIRECT(ADDRESS(ROW()+1,COLUMN(), 4)),Dex!$A$2:$C293,3,false),"")</f>
        <v/>
      </c>
      <c r="E183" s="21" t="str">
        <f t="array" ref="E183">iferror(VLOOKUP(INDIRECT(ADDRESS(ROW()+1,COLUMN(), 4)),Dex!$A$2:$C293,3,false),"")</f>
        <v/>
      </c>
      <c r="F183" s="21" t="str">
        <f t="array" ref="F183">iferror(VLOOKUP(INDIRECT(ADDRESS(ROW()+1,COLUMN(), 4)),Dex!$A$2:$C293,3,false),"")</f>
        <v/>
      </c>
      <c r="G183" s="21" t="s">
        <v>1177</v>
      </c>
      <c r="H183" s="22" t="str">
        <f t="array" ref="H183">iferror(VLOOKUP("TRAINER_PIC_CAMPER",Sprites!$A$1:$B293,2,false),"")</f>
        <v/>
      </c>
      <c r="I183" s="23"/>
    </row>
    <row r="184">
      <c r="A184" s="24"/>
      <c r="B184" s="25" t="s">
        <v>515</v>
      </c>
      <c r="C184" s="25" t="s">
        <v>114</v>
      </c>
      <c r="D184" s="25" t="s">
        <v>762</v>
      </c>
      <c r="E184" s="25" t="s">
        <v>269</v>
      </c>
      <c r="F184" s="25" t="s">
        <v>362</v>
      </c>
      <c r="G184" s="25" t="s">
        <v>1177</v>
      </c>
      <c r="H184" s="26"/>
    </row>
    <row r="185">
      <c r="A185" s="16" t="s">
        <v>1178</v>
      </c>
      <c r="B185" s="27" t="s">
        <v>1340</v>
      </c>
      <c r="C185" s="27" t="s">
        <v>1365</v>
      </c>
      <c r="D185" s="27" t="s">
        <v>1365</v>
      </c>
      <c r="E185" s="27" t="s">
        <v>1340</v>
      </c>
      <c r="F185" s="27" t="s">
        <v>1365</v>
      </c>
      <c r="G185" s="21" t="s">
        <v>1177</v>
      </c>
      <c r="H185" s="26"/>
    </row>
    <row r="186">
      <c r="A186" s="16" t="s">
        <v>1181</v>
      </c>
      <c r="B186" s="28" t="s">
        <v>1209</v>
      </c>
      <c r="C186" s="28" t="s">
        <v>1366</v>
      </c>
      <c r="D186" s="28" t="s">
        <v>1366</v>
      </c>
      <c r="E186" s="28" t="s">
        <v>1209</v>
      </c>
      <c r="F186" s="28" t="s">
        <v>1346</v>
      </c>
      <c r="G186" s="28" t="s">
        <v>1177</v>
      </c>
      <c r="H186" s="26"/>
    </row>
    <row r="187">
      <c r="A187" s="16" t="s">
        <v>1182</v>
      </c>
      <c r="B187" s="21" t="s">
        <v>1367</v>
      </c>
      <c r="C187" s="21" t="s">
        <v>1318</v>
      </c>
      <c r="D187" s="21" t="s">
        <v>1368</v>
      </c>
      <c r="E187" s="21" t="s">
        <v>1369</v>
      </c>
      <c r="F187" s="21" t="s">
        <v>1342</v>
      </c>
      <c r="G187" s="21" t="s">
        <v>1177</v>
      </c>
      <c r="H187" s="26"/>
    </row>
    <row r="188">
      <c r="A188" s="16" t="s">
        <v>1186</v>
      </c>
      <c r="B188" s="28" t="s">
        <v>1235</v>
      </c>
      <c r="C188" s="28" t="s">
        <v>1235</v>
      </c>
      <c r="D188" s="28" t="s">
        <v>1284</v>
      </c>
      <c r="E188" s="28" t="s">
        <v>1257</v>
      </c>
      <c r="F188" s="28" t="s">
        <v>1257</v>
      </c>
      <c r="G188" s="28" t="s">
        <v>1177</v>
      </c>
      <c r="H188" s="26"/>
    </row>
    <row r="189">
      <c r="A189" s="20" t="s">
        <v>1188</v>
      </c>
      <c r="B189" s="21" t="s">
        <v>1214</v>
      </c>
      <c r="C189" s="21" t="s">
        <v>1370</v>
      </c>
      <c r="D189" s="21" t="s">
        <v>1290</v>
      </c>
      <c r="E189" s="21" t="s">
        <v>1371</v>
      </c>
      <c r="F189" s="21" t="s">
        <v>1350</v>
      </c>
      <c r="G189" s="21" t="s">
        <v>1177</v>
      </c>
      <c r="H189" s="26"/>
    </row>
    <row r="190">
      <c r="A190" s="29"/>
      <c r="B190" s="21" t="s">
        <v>1236</v>
      </c>
      <c r="C190" s="21" t="s">
        <v>1372</v>
      </c>
      <c r="D190" s="21" t="s">
        <v>1308</v>
      </c>
      <c r="E190" s="21" t="s">
        <v>1373</v>
      </c>
      <c r="F190" s="21" t="s">
        <v>1374</v>
      </c>
      <c r="G190" s="21" t="s">
        <v>1177</v>
      </c>
      <c r="H190" s="26"/>
    </row>
    <row r="191">
      <c r="A191" s="29"/>
      <c r="B191" s="21" t="s">
        <v>1375</v>
      </c>
      <c r="C191" s="21" t="s">
        <v>1352</v>
      </c>
      <c r="D191" s="21" t="s">
        <v>1376</v>
      </c>
      <c r="E191" s="21" t="s">
        <v>1275</v>
      </c>
      <c r="F191" s="21" t="s">
        <v>1377</v>
      </c>
      <c r="G191" s="21" t="s">
        <v>1177</v>
      </c>
      <c r="H191" s="26"/>
    </row>
    <row r="192">
      <c r="A192" s="24"/>
      <c r="B192" s="21" t="s">
        <v>1376</v>
      </c>
      <c r="C192" s="21" t="s">
        <v>1177</v>
      </c>
      <c r="D192" s="21" t="s">
        <v>1362</v>
      </c>
      <c r="E192" s="21" t="s">
        <v>1378</v>
      </c>
      <c r="F192" s="21" t="s">
        <v>1362</v>
      </c>
      <c r="G192" s="21" t="s">
        <v>1177</v>
      </c>
      <c r="H192" s="30"/>
      <c r="I192" s="14"/>
    </row>
    <row r="193">
      <c r="A193" s="31"/>
      <c r="B193" s="32" t="s">
        <v>1379</v>
      </c>
      <c r="C193" s="18"/>
      <c r="D193" s="18"/>
      <c r="E193" s="18"/>
      <c r="F193" s="18"/>
      <c r="G193" s="18"/>
      <c r="H193" s="18"/>
      <c r="I193" s="33"/>
    </row>
    <row r="194">
      <c r="A194" s="16" t="s">
        <v>1174</v>
      </c>
      <c r="B194" s="17" t="s">
        <v>1380</v>
      </c>
      <c r="C194" s="18"/>
      <c r="D194" s="18"/>
      <c r="E194" s="18"/>
      <c r="F194" s="18"/>
      <c r="G194" s="18"/>
      <c r="H194" s="18"/>
      <c r="I194" s="19"/>
    </row>
    <row r="195" ht="60.0" customHeight="1">
      <c r="A195" s="20" t="s">
        <v>1176</v>
      </c>
      <c r="B195" s="21" t="str">
        <f t="array" ref="B195">iferror(VLOOKUP(INDIRECT(ADDRESS(ROW()+1,COLUMN(), 4)),Dex!$A$2:$C293,3,false),"")</f>
        <v/>
      </c>
      <c r="C195" s="21" t="str">
        <f t="array" ref="C195">iferror(VLOOKUP(INDIRECT(ADDRESS(ROW()+1,COLUMN(), 4)),Dex!$A$2:$C293,3,false),"")</f>
        <v/>
      </c>
      <c r="D195" s="21" t="str">
        <f t="array" ref="D195">iferror(VLOOKUP(INDIRECT(ADDRESS(ROW()+1,COLUMN(), 4)),Dex!$A$2:$C293,3,false),"")</f>
        <v/>
      </c>
      <c r="E195" s="21" t="s">
        <v>1177</v>
      </c>
      <c r="F195" s="21" t="s">
        <v>1177</v>
      </c>
      <c r="G195" s="21" t="s">
        <v>1177</v>
      </c>
      <c r="H195" s="22" t="str">
        <f t="array" ref="H195">iferror(VLOOKUP("TRAINER_PIC_AQUA_GRUNT_M",Sprites!$A$1:$B293,2,false),"")</f>
        <v/>
      </c>
      <c r="I195" s="23"/>
    </row>
    <row r="196">
      <c r="A196" s="24"/>
      <c r="B196" s="25" t="s">
        <v>276</v>
      </c>
      <c r="C196" s="25" t="s">
        <v>864</v>
      </c>
      <c r="D196" s="25" t="s">
        <v>720</v>
      </c>
      <c r="E196" s="25" t="s">
        <v>1177</v>
      </c>
      <c r="F196" s="25" t="s">
        <v>1177</v>
      </c>
      <c r="G196" s="25" t="s">
        <v>1177</v>
      </c>
      <c r="H196" s="26"/>
    </row>
    <row r="197">
      <c r="A197" s="16" t="s">
        <v>1178</v>
      </c>
      <c r="B197" s="27" t="s">
        <v>1332</v>
      </c>
      <c r="C197" s="27" t="s">
        <v>1340</v>
      </c>
      <c r="D197" s="27" t="s">
        <v>1340</v>
      </c>
      <c r="E197" s="21" t="s">
        <v>1177</v>
      </c>
      <c r="F197" s="21" t="s">
        <v>1177</v>
      </c>
      <c r="G197" s="21" t="s">
        <v>1177</v>
      </c>
      <c r="H197" s="26"/>
    </row>
    <row r="198">
      <c r="A198" s="16" t="s">
        <v>1181</v>
      </c>
      <c r="B198" s="28" t="s">
        <v>1209</v>
      </c>
      <c r="C198" s="28" t="s">
        <v>1346</v>
      </c>
      <c r="D198" s="28" t="s">
        <v>1333</v>
      </c>
      <c r="E198" s="28" t="s">
        <v>1177</v>
      </c>
      <c r="F198" s="28" t="s">
        <v>1177</v>
      </c>
      <c r="G198" s="28" t="s">
        <v>1177</v>
      </c>
      <c r="H198" s="26"/>
    </row>
    <row r="199">
      <c r="A199" s="16" t="s">
        <v>1182</v>
      </c>
      <c r="B199" s="21" t="s">
        <v>1381</v>
      </c>
      <c r="C199" s="21" t="s">
        <v>1348</v>
      </c>
      <c r="D199" s="21" t="s">
        <v>1382</v>
      </c>
      <c r="E199" s="21" t="s">
        <v>1177</v>
      </c>
      <c r="F199" s="21" t="s">
        <v>1177</v>
      </c>
      <c r="G199" s="21" t="s">
        <v>1177</v>
      </c>
      <c r="H199" s="26"/>
    </row>
    <row r="200">
      <c r="A200" s="16" t="s">
        <v>1186</v>
      </c>
      <c r="B200" s="28" t="s">
        <v>1235</v>
      </c>
      <c r="C200" s="28" t="s">
        <v>1284</v>
      </c>
      <c r="D200" s="28" t="s">
        <v>1383</v>
      </c>
      <c r="E200" s="28" t="s">
        <v>1177</v>
      </c>
      <c r="F200" s="28" t="s">
        <v>1177</v>
      </c>
      <c r="G200" s="28" t="s">
        <v>1177</v>
      </c>
      <c r="H200" s="26"/>
    </row>
    <row r="201">
      <c r="A201" s="20" t="s">
        <v>1188</v>
      </c>
      <c r="B201" s="21" t="s">
        <v>1191</v>
      </c>
      <c r="C201" s="21" t="s">
        <v>1272</v>
      </c>
      <c r="D201" s="21" t="s">
        <v>1384</v>
      </c>
      <c r="E201" s="21" t="s">
        <v>1177</v>
      </c>
      <c r="F201" s="21" t="s">
        <v>1177</v>
      </c>
      <c r="G201" s="21" t="s">
        <v>1177</v>
      </c>
      <c r="H201" s="26"/>
    </row>
    <row r="202">
      <c r="A202" s="29"/>
      <c r="B202" s="21" t="s">
        <v>1385</v>
      </c>
      <c r="C202" s="21" t="s">
        <v>1386</v>
      </c>
      <c r="D202" s="21" t="s">
        <v>1387</v>
      </c>
      <c r="E202" s="21" t="s">
        <v>1177</v>
      </c>
      <c r="F202" s="21" t="s">
        <v>1177</v>
      </c>
      <c r="G202" s="21" t="s">
        <v>1177</v>
      </c>
      <c r="H202" s="26"/>
    </row>
    <row r="203">
      <c r="A203" s="29"/>
      <c r="B203" s="21" t="s">
        <v>1388</v>
      </c>
      <c r="C203" s="21" t="s">
        <v>1389</v>
      </c>
      <c r="D203" s="21" t="s">
        <v>1236</v>
      </c>
      <c r="E203" s="21" t="s">
        <v>1177</v>
      </c>
      <c r="F203" s="21" t="s">
        <v>1177</v>
      </c>
      <c r="G203" s="21" t="s">
        <v>1177</v>
      </c>
      <c r="H203" s="26"/>
    </row>
    <row r="204">
      <c r="A204" s="24"/>
      <c r="B204" s="21" t="s">
        <v>1177</v>
      </c>
      <c r="C204" s="21" t="s">
        <v>1362</v>
      </c>
      <c r="D204" s="21" t="s">
        <v>1242</v>
      </c>
      <c r="E204" s="21" t="s">
        <v>1177</v>
      </c>
      <c r="F204" s="21" t="s">
        <v>1177</v>
      </c>
      <c r="G204" s="21" t="s">
        <v>1177</v>
      </c>
      <c r="H204" s="30"/>
      <c r="I204" s="14"/>
    </row>
    <row r="205">
      <c r="A205" s="16" t="s">
        <v>1174</v>
      </c>
      <c r="B205" s="17" t="s">
        <v>1390</v>
      </c>
      <c r="C205" s="18"/>
      <c r="D205" s="18"/>
      <c r="E205" s="18"/>
      <c r="F205" s="18"/>
      <c r="G205" s="18"/>
      <c r="H205" s="18"/>
      <c r="I205" s="16"/>
    </row>
    <row r="206" ht="60.0" customHeight="1">
      <c r="A206" s="20" t="s">
        <v>1176</v>
      </c>
      <c r="B206" s="21" t="str">
        <f t="array" ref="B206">iferror(VLOOKUP(INDIRECT(ADDRESS(ROW()+1,COLUMN(), 4)),Dex!$A$2:$C293,3,false),"")</f>
        <v/>
      </c>
      <c r="C206" s="21" t="str">
        <f t="array" ref="C206">iferror(VLOOKUP(INDIRECT(ADDRESS(ROW()+1,COLUMN(), 4)),Dex!$A$2:$C293,3,false),"")</f>
        <v/>
      </c>
      <c r="D206" s="21" t="str">
        <f t="array" ref="D206">iferror(VLOOKUP(INDIRECT(ADDRESS(ROW()+1,COLUMN(), 4)),Dex!$A$2:$C293,3,false),"")</f>
        <v/>
      </c>
      <c r="E206" s="21" t="s">
        <v>1177</v>
      </c>
      <c r="F206" s="21" t="s">
        <v>1177</v>
      </c>
      <c r="G206" s="21" t="s">
        <v>1177</v>
      </c>
      <c r="H206" s="22" t="str">
        <f t="array" ref="H206">iferror(VLOOKUP("TRAINER_PIC_AQUA_GRUNT_M",Sprites!$A$1:$B293,2,false),"")</f>
        <v/>
      </c>
      <c r="I206" s="23"/>
    </row>
    <row r="207">
      <c r="A207" s="24"/>
      <c r="B207" s="25" t="s">
        <v>942</v>
      </c>
      <c r="C207" s="25" t="s">
        <v>751</v>
      </c>
      <c r="D207" s="25" t="s">
        <v>696</v>
      </c>
      <c r="E207" s="25" t="s">
        <v>1177</v>
      </c>
      <c r="F207" s="25" t="s">
        <v>1177</v>
      </c>
      <c r="G207" s="25" t="s">
        <v>1177</v>
      </c>
      <c r="H207" s="26"/>
    </row>
    <row r="208">
      <c r="A208" s="16" t="s">
        <v>1178</v>
      </c>
      <c r="B208" s="27" t="s">
        <v>1340</v>
      </c>
      <c r="C208" s="27" t="s">
        <v>1332</v>
      </c>
      <c r="D208" s="27" t="s">
        <v>1340</v>
      </c>
      <c r="E208" s="21" t="s">
        <v>1177</v>
      </c>
      <c r="F208" s="21" t="s">
        <v>1177</v>
      </c>
      <c r="G208" s="21" t="s">
        <v>1177</v>
      </c>
      <c r="H208" s="26"/>
    </row>
    <row r="209">
      <c r="A209" s="16" t="s">
        <v>1181</v>
      </c>
      <c r="B209" s="28" t="s">
        <v>1346</v>
      </c>
      <c r="C209" s="28" t="s">
        <v>1209</v>
      </c>
      <c r="D209" s="28" t="s">
        <v>1391</v>
      </c>
      <c r="E209" s="28" t="s">
        <v>1177</v>
      </c>
      <c r="F209" s="28" t="s">
        <v>1177</v>
      </c>
      <c r="G209" s="28" t="s">
        <v>1177</v>
      </c>
      <c r="H209" s="26"/>
    </row>
    <row r="210">
      <c r="A210" s="16" t="s">
        <v>1182</v>
      </c>
      <c r="B210" s="21" t="s">
        <v>1392</v>
      </c>
      <c r="C210" s="21" t="s">
        <v>1393</v>
      </c>
      <c r="D210" s="21" t="s">
        <v>1233</v>
      </c>
      <c r="E210" s="21" t="s">
        <v>1177</v>
      </c>
      <c r="F210" s="21" t="s">
        <v>1177</v>
      </c>
      <c r="G210" s="21" t="s">
        <v>1177</v>
      </c>
      <c r="H210" s="26"/>
    </row>
    <row r="211">
      <c r="A211" s="16" t="s">
        <v>1186</v>
      </c>
      <c r="B211" s="28" t="s">
        <v>1394</v>
      </c>
      <c r="C211" s="28" t="s">
        <v>1257</v>
      </c>
      <c r="D211" s="28" t="s">
        <v>1383</v>
      </c>
      <c r="E211" s="28" t="s">
        <v>1177</v>
      </c>
      <c r="F211" s="28" t="s">
        <v>1177</v>
      </c>
      <c r="G211" s="28" t="s">
        <v>1177</v>
      </c>
      <c r="H211" s="26"/>
    </row>
    <row r="212">
      <c r="A212" s="20" t="s">
        <v>1188</v>
      </c>
      <c r="B212" s="21" t="s">
        <v>1350</v>
      </c>
      <c r="C212" s="21" t="s">
        <v>1395</v>
      </c>
      <c r="D212" s="21" t="s">
        <v>1350</v>
      </c>
      <c r="E212" s="21" t="s">
        <v>1177</v>
      </c>
      <c r="F212" s="21" t="s">
        <v>1177</v>
      </c>
      <c r="G212" s="21" t="s">
        <v>1177</v>
      </c>
      <c r="H212" s="26"/>
    </row>
    <row r="213">
      <c r="A213" s="29"/>
      <c r="B213" s="21" t="s">
        <v>1396</v>
      </c>
      <c r="C213" s="21" t="s">
        <v>1272</v>
      </c>
      <c r="D213" s="21" t="s">
        <v>1351</v>
      </c>
      <c r="E213" s="21" t="s">
        <v>1177</v>
      </c>
      <c r="F213" s="21" t="s">
        <v>1177</v>
      </c>
      <c r="G213" s="21" t="s">
        <v>1177</v>
      </c>
      <c r="H213" s="26"/>
    </row>
    <row r="214">
      <c r="A214" s="29"/>
      <c r="B214" s="21" t="s">
        <v>1397</v>
      </c>
      <c r="C214" s="21" t="s">
        <v>1290</v>
      </c>
      <c r="D214" s="21" t="s">
        <v>1202</v>
      </c>
      <c r="E214" s="21" t="s">
        <v>1177</v>
      </c>
      <c r="F214" s="21" t="s">
        <v>1177</v>
      </c>
      <c r="G214" s="21" t="s">
        <v>1177</v>
      </c>
      <c r="H214" s="26"/>
    </row>
    <row r="215">
      <c r="A215" s="24"/>
      <c r="B215" s="21" t="s">
        <v>1362</v>
      </c>
      <c r="C215" s="21" t="s">
        <v>1398</v>
      </c>
      <c r="D215" s="21" t="s">
        <v>1399</v>
      </c>
      <c r="E215" s="21" t="s">
        <v>1177</v>
      </c>
      <c r="F215" s="21" t="s">
        <v>1177</v>
      </c>
      <c r="G215" s="21" t="s">
        <v>1177</v>
      </c>
      <c r="H215" s="30"/>
      <c r="I215" s="14"/>
    </row>
    <row r="216">
      <c r="A216" s="31"/>
      <c r="B216" s="32" t="s">
        <v>1400</v>
      </c>
      <c r="C216" s="18"/>
      <c r="D216" s="18"/>
      <c r="E216" s="18"/>
      <c r="F216" s="18"/>
      <c r="G216" s="18"/>
      <c r="H216" s="18"/>
      <c r="I216" s="33"/>
    </row>
    <row r="217">
      <c r="A217" s="16" t="s">
        <v>1174</v>
      </c>
      <c r="B217" s="17" t="s">
        <v>1401</v>
      </c>
      <c r="C217" s="18"/>
      <c r="D217" s="18"/>
      <c r="E217" s="18"/>
      <c r="F217" s="18"/>
      <c r="G217" s="18"/>
      <c r="H217" s="18"/>
      <c r="I217" s="16"/>
    </row>
    <row r="218" ht="60.0" customHeight="1">
      <c r="A218" s="20" t="s">
        <v>1176</v>
      </c>
      <c r="B218" s="21" t="str">
        <f t="array" ref="B218">iferror(VLOOKUP(INDIRECT(ADDRESS(ROW()+1,COLUMN(), 4)),Dex!$A$2:$C293,3,false),"")</f>
        <v/>
      </c>
      <c r="C218" s="21" t="str">
        <f t="array" ref="C218">iferror(VLOOKUP(INDIRECT(ADDRESS(ROW()+1,COLUMN(), 4)),Dex!$A$2:$C293,3,false),"")</f>
        <v/>
      </c>
      <c r="D218" s="21" t="str">
        <f t="array" ref="D218">iferror(VLOOKUP(INDIRECT(ADDRESS(ROW()+1,COLUMN(), 4)),Dex!$A$2:$C293,3,false),"")</f>
        <v/>
      </c>
      <c r="E218" s="21" t="s">
        <v>1177</v>
      </c>
      <c r="F218" s="21" t="s">
        <v>1177</v>
      </c>
      <c r="G218" s="21" t="s">
        <v>1177</v>
      </c>
      <c r="H218" s="22" t="str">
        <f t="array" ref="H218">iferror(VLOOKUP("TRAINER_PIC_BATTLE_GIRL",Sprites!$A$1:$B293,2,false),"")</f>
        <v/>
      </c>
      <c r="I218" s="23"/>
    </row>
    <row r="219">
      <c r="A219" s="24"/>
      <c r="B219" s="25" t="s">
        <v>567</v>
      </c>
      <c r="C219" s="25" t="s">
        <v>954</v>
      </c>
      <c r="D219" s="25" t="s">
        <v>86</v>
      </c>
      <c r="E219" s="25" t="s">
        <v>1177</v>
      </c>
      <c r="F219" s="25" t="s">
        <v>1177</v>
      </c>
      <c r="G219" s="25" t="s">
        <v>1177</v>
      </c>
      <c r="H219" s="26"/>
    </row>
    <row r="220">
      <c r="A220" s="16" t="s">
        <v>1178</v>
      </c>
      <c r="B220" s="27" t="s">
        <v>1402</v>
      </c>
      <c r="C220" s="27" t="s">
        <v>1365</v>
      </c>
      <c r="D220" s="27" t="s">
        <v>1365</v>
      </c>
      <c r="E220" s="21" t="s">
        <v>1177</v>
      </c>
      <c r="F220" s="21" t="s">
        <v>1177</v>
      </c>
      <c r="G220" s="21" t="s">
        <v>1177</v>
      </c>
      <c r="H220" s="26"/>
    </row>
    <row r="221">
      <c r="A221" s="16" t="s">
        <v>1181</v>
      </c>
      <c r="B221" s="28" t="s">
        <v>1403</v>
      </c>
      <c r="C221" s="28" t="s">
        <v>1366</v>
      </c>
      <c r="D221" s="28" t="s">
        <v>1209</v>
      </c>
      <c r="E221" s="28" t="s">
        <v>1177</v>
      </c>
      <c r="F221" s="28" t="s">
        <v>1177</v>
      </c>
      <c r="G221" s="28" t="s">
        <v>1177</v>
      </c>
      <c r="H221" s="26"/>
    </row>
    <row r="222">
      <c r="A222" s="16" t="s">
        <v>1182</v>
      </c>
      <c r="B222" s="21" t="s">
        <v>1356</v>
      </c>
      <c r="C222" s="21" t="s">
        <v>1404</v>
      </c>
      <c r="D222" s="21" t="s">
        <v>1405</v>
      </c>
      <c r="E222" s="21" t="s">
        <v>1177</v>
      </c>
      <c r="F222" s="21" t="s">
        <v>1177</v>
      </c>
      <c r="G222" s="21" t="s">
        <v>1177</v>
      </c>
      <c r="H222" s="26"/>
    </row>
    <row r="223">
      <c r="A223" s="16" t="s">
        <v>1186</v>
      </c>
      <c r="B223" s="28" t="s">
        <v>1235</v>
      </c>
      <c r="C223" s="28" t="s">
        <v>1406</v>
      </c>
      <c r="D223" s="28" t="s">
        <v>1235</v>
      </c>
      <c r="E223" s="28" t="s">
        <v>1177</v>
      </c>
      <c r="F223" s="28" t="s">
        <v>1177</v>
      </c>
      <c r="G223" s="28" t="s">
        <v>1177</v>
      </c>
      <c r="H223" s="26"/>
    </row>
    <row r="224">
      <c r="A224" s="20" t="s">
        <v>1188</v>
      </c>
      <c r="B224" s="21" t="s">
        <v>1358</v>
      </c>
      <c r="C224" s="21" t="s">
        <v>1407</v>
      </c>
      <c r="D224" s="21" t="s">
        <v>1408</v>
      </c>
      <c r="E224" s="21" t="s">
        <v>1177</v>
      </c>
      <c r="F224" s="21" t="s">
        <v>1177</v>
      </c>
      <c r="G224" s="21" t="s">
        <v>1177</v>
      </c>
      <c r="H224" s="26"/>
    </row>
    <row r="225">
      <c r="A225" s="29"/>
      <c r="B225" s="21" t="s">
        <v>1407</v>
      </c>
      <c r="C225" s="21" t="s">
        <v>1358</v>
      </c>
      <c r="D225" s="21" t="s">
        <v>1409</v>
      </c>
      <c r="E225" s="21" t="s">
        <v>1177</v>
      </c>
      <c r="F225" s="21" t="s">
        <v>1177</v>
      </c>
      <c r="G225" s="21" t="s">
        <v>1177</v>
      </c>
      <c r="H225" s="26"/>
    </row>
    <row r="226">
      <c r="A226" s="29"/>
      <c r="B226" s="21" t="s">
        <v>1177</v>
      </c>
      <c r="C226" s="21" t="s">
        <v>1410</v>
      </c>
      <c r="D226" s="21" t="s">
        <v>1411</v>
      </c>
      <c r="E226" s="21" t="s">
        <v>1177</v>
      </c>
      <c r="F226" s="21" t="s">
        <v>1177</v>
      </c>
      <c r="G226" s="21" t="s">
        <v>1177</v>
      </c>
      <c r="H226" s="26"/>
    </row>
    <row r="227">
      <c r="A227" s="24"/>
      <c r="B227" s="21" t="s">
        <v>1177</v>
      </c>
      <c r="C227" s="21" t="s">
        <v>1177</v>
      </c>
      <c r="D227" s="21" t="s">
        <v>1412</v>
      </c>
      <c r="E227" s="21" t="s">
        <v>1177</v>
      </c>
      <c r="F227" s="21" t="s">
        <v>1177</v>
      </c>
      <c r="G227" s="21" t="s">
        <v>1177</v>
      </c>
      <c r="H227" s="30"/>
      <c r="I227" s="14"/>
    </row>
    <row r="228">
      <c r="A228" s="16" t="s">
        <v>1174</v>
      </c>
      <c r="B228" s="17" t="s">
        <v>1413</v>
      </c>
      <c r="C228" s="18"/>
      <c r="D228" s="18"/>
      <c r="E228" s="18"/>
      <c r="F228" s="18"/>
      <c r="G228" s="18"/>
      <c r="H228" s="18"/>
      <c r="I228" s="16"/>
    </row>
    <row r="229" ht="60.0" customHeight="1">
      <c r="A229" s="20" t="s">
        <v>1176</v>
      </c>
      <c r="B229" s="21" t="str">
        <f t="array" ref="B229">iferror(VLOOKUP(INDIRECT(ADDRESS(ROW()+1,COLUMN(), 4)),Dex!$A$2:$C293,3,false),"")</f>
        <v/>
      </c>
      <c r="C229" s="21" t="str">
        <f t="array" ref="C229">iferror(VLOOKUP(INDIRECT(ADDRESS(ROW()+1,COLUMN(), 4)),Dex!$A$2:$C293,3,false),"")</f>
        <v/>
      </c>
      <c r="D229" s="21" t="s">
        <v>1177</v>
      </c>
      <c r="E229" s="21" t="s">
        <v>1177</v>
      </c>
      <c r="F229" s="21" t="s">
        <v>1177</v>
      </c>
      <c r="G229" s="21" t="s">
        <v>1177</v>
      </c>
      <c r="H229" s="22" t="str">
        <f t="array" ref="H229">iferror(VLOOKUP("TRAINER_PIC_SAILOR",Sprites!$A$1:$B293,2,false),"")</f>
        <v/>
      </c>
      <c r="I229" s="23"/>
    </row>
    <row r="230">
      <c r="A230" s="24"/>
      <c r="B230" s="25" t="s">
        <v>127</v>
      </c>
      <c r="C230" s="25" t="s">
        <v>296</v>
      </c>
      <c r="D230" s="25" t="s">
        <v>1177</v>
      </c>
      <c r="E230" s="25" t="s">
        <v>1177</v>
      </c>
      <c r="F230" s="25" t="s">
        <v>1177</v>
      </c>
      <c r="G230" s="25" t="s">
        <v>1177</v>
      </c>
      <c r="H230" s="26"/>
    </row>
    <row r="231">
      <c r="A231" s="16" t="s">
        <v>1178</v>
      </c>
      <c r="B231" s="27" t="s">
        <v>1402</v>
      </c>
      <c r="C231" s="27" t="s">
        <v>1414</v>
      </c>
      <c r="D231" s="21" t="s">
        <v>1177</v>
      </c>
      <c r="E231" s="21" t="s">
        <v>1177</v>
      </c>
      <c r="F231" s="21" t="s">
        <v>1177</v>
      </c>
      <c r="G231" s="21" t="s">
        <v>1177</v>
      </c>
      <c r="H231" s="26"/>
    </row>
    <row r="232">
      <c r="A232" s="16" t="s">
        <v>1181</v>
      </c>
      <c r="B232" s="28" t="s">
        <v>1366</v>
      </c>
      <c r="C232" s="28" t="s">
        <v>1209</v>
      </c>
      <c r="D232" s="28" t="s">
        <v>1177</v>
      </c>
      <c r="E232" s="28" t="s">
        <v>1177</v>
      </c>
      <c r="F232" s="28" t="s">
        <v>1177</v>
      </c>
      <c r="G232" s="28" t="s">
        <v>1177</v>
      </c>
      <c r="H232" s="26"/>
    </row>
    <row r="233">
      <c r="A233" s="16" t="s">
        <v>1182</v>
      </c>
      <c r="B233" s="21" t="s">
        <v>1356</v>
      </c>
      <c r="C233" s="21" t="s">
        <v>1198</v>
      </c>
      <c r="D233" s="21" t="s">
        <v>1177</v>
      </c>
      <c r="E233" s="21" t="s">
        <v>1177</v>
      </c>
      <c r="F233" s="21" t="s">
        <v>1177</v>
      </c>
      <c r="G233" s="21" t="s">
        <v>1177</v>
      </c>
      <c r="H233" s="26"/>
    </row>
    <row r="234">
      <c r="A234" s="16" t="s">
        <v>1186</v>
      </c>
      <c r="B234" s="28" t="s">
        <v>1248</v>
      </c>
      <c r="C234" s="28" t="s">
        <v>1235</v>
      </c>
      <c r="D234" s="28" t="s">
        <v>1177</v>
      </c>
      <c r="E234" s="28" t="s">
        <v>1177</v>
      </c>
      <c r="F234" s="28" t="s">
        <v>1177</v>
      </c>
      <c r="G234" s="28" t="s">
        <v>1177</v>
      </c>
      <c r="H234" s="26"/>
    </row>
    <row r="235">
      <c r="A235" s="20" t="s">
        <v>1188</v>
      </c>
      <c r="B235" s="21" t="s">
        <v>1237</v>
      </c>
      <c r="C235" s="21" t="s">
        <v>1202</v>
      </c>
      <c r="D235" s="21" t="s">
        <v>1177</v>
      </c>
      <c r="E235" s="21" t="s">
        <v>1177</v>
      </c>
      <c r="F235" s="21" t="s">
        <v>1177</v>
      </c>
      <c r="G235" s="21" t="s">
        <v>1177</v>
      </c>
      <c r="H235" s="26"/>
    </row>
    <row r="236">
      <c r="A236" s="29"/>
      <c r="B236" s="21" t="s">
        <v>1307</v>
      </c>
      <c r="C236" s="21" t="s">
        <v>1237</v>
      </c>
      <c r="D236" s="21" t="s">
        <v>1177</v>
      </c>
      <c r="E236" s="21" t="s">
        <v>1177</v>
      </c>
      <c r="F236" s="21" t="s">
        <v>1177</v>
      </c>
      <c r="G236" s="21" t="s">
        <v>1177</v>
      </c>
      <c r="H236" s="26"/>
    </row>
    <row r="237">
      <c r="A237" s="29"/>
      <c r="B237" s="21" t="s">
        <v>1415</v>
      </c>
      <c r="C237" s="21" t="s">
        <v>1177</v>
      </c>
      <c r="D237" s="21" t="s">
        <v>1177</v>
      </c>
      <c r="E237" s="21" t="s">
        <v>1177</v>
      </c>
      <c r="F237" s="21" t="s">
        <v>1177</v>
      </c>
      <c r="G237" s="21" t="s">
        <v>1177</v>
      </c>
      <c r="H237" s="26"/>
    </row>
    <row r="238">
      <c r="A238" s="24"/>
      <c r="B238" s="21" t="s">
        <v>1192</v>
      </c>
      <c r="C238" s="21" t="s">
        <v>1177</v>
      </c>
      <c r="D238" s="21" t="s">
        <v>1177</v>
      </c>
      <c r="E238" s="21" t="s">
        <v>1177</v>
      </c>
      <c r="F238" s="21" t="s">
        <v>1177</v>
      </c>
      <c r="G238" s="21" t="s">
        <v>1177</v>
      </c>
      <c r="H238" s="30"/>
      <c r="I238" s="14"/>
    </row>
    <row r="239">
      <c r="A239" s="16" t="s">
        <v>1174</v>
      </c>
      <c r="B239" s="17" t="s">
        <v>1416</v>
      </c>
      <c r="C239" s="18"/>
      <c r="D239" s="18"/>
      <c r="E239" s="18"/>
      <c r="F239" s="18"/>
      <c r="G239" s="18"/>
      <c r="H239" s="18"/>
      <c r="I239" s="16"/>
    </row>
    <row r="240" ht="60.0" customHeight="1">
      <c r="A240" s="20" t="s">
        <v>1176</v>
      </c>
      <c r="B240" s="21" t="str">
        <f t="array" ref="B240">iferror(VLOOKUP(INDIRECT(ADDRESS(ROW()+1,COLUMN(), 4)),Dex!$A$2:$C293,3,false),"")</f>
        <v/>
      </c>
      <c r="C240" s="21" t="str">
        <f t="array" ref="C240">iferror(VLOOKUP(INDIRECT(ADDRESS(ROW()+1,COLUMN(), 4)),Dex!$A$2:$C293,3,false),"")</f>
        <v/>
      </c>
      <c r="D240" s="21" t="str">
        <f t="array" ref="D240">iferror(VLOOKUP(INDIRECT(ADDRESS(ROW()+1,COLUMN(), 4)),Dex!$A$2:$C293,3,false),"")</f>
        <v/>
      </c>
      <c r="E240" s="21" t="s">
        <v>1177</v>
      </c>
      <c r="F240" s="21" t="s">
        <v>1177</v>
      </c>
      <c r="G240" s="21" t="s">
        <v>1177</v>
      </c>
      <c r="H240" s="22" t="str">
        <f t="array" ref="H240">iferror(VLOOKUP("TRAINER_PIC_BATTLE_GIRL",Sprites!$A$1:$B293,2,false),"")</f>
        <v/>
      </c>
      <c r="I240" s="23"/>
    </row>
    <row r="241">
      <c r="A241" s="24"/>
      <c r="B241" s="25" t="s">
        <v>390</v>
      </c>
      <c r="C241" s="25" t="s">
        <v>86</v>
      </c>
      <c r="D241" s="25" t="s">
        <v>242</v>
      </c>
      <c r="E241" s="25" t="s">
        <v>1177</v>
      </c>
      <c r="F241" s="25" t="s">
        <v>1177</v>
      </c>
      <c r="G241" s="25" t="s">
        <v>1177</v>
      </c>
      <c r="H241" s="26"/>
    </row>
    <row r="242">
      <c r="A242" s="16" t="s">
        <v>1178</v>
      </c>
      <c r="B242" s="27" t="s">
        <v>1402</v>
      </c>
      <c r="C242" s="27" t="s">
        <v>1414</v>
      </c>
      <c r="D242" s="27" t="s">
        <v>1414</v>
      </c>
      <c r="E242" s="21" t="s">
        <v>1177</v>
      </c>
      <c r="F242" s="21" t="s">
        <v>1177</v>
      </c>
      <c r="G242" s="21" t="s">
        <v>1177</v>
      </c>
      <c r="H242" s="26"/>
    </row>
    <row r="243">
      <c r="A243" s="16" t="s">
        <v>1181</v>
      </c>
      <c r="B243" s="28" t="s">
        <v>1417</v>
      </c>
      <c r="C243" s="28" t="s">
        <v>1247</v>
      </c>
      <c r="D243" s="28" t="s">
        <v>1418</v>
      </c>
      <c r="E243" s="28" t="s">
        <v>1177</v>
      </c>
      <c r="F243" s="28" t="s">
        <v>1177</v>
      </c>
      <c r="G243" s="28" t="s">
        <v>1177</v>
      </c>
      <c r="H243" s="26"/>
    </row>
    <row r="244">
      <c r="A244" s="16" t="s">
        <v>1182</v>
      </c>
      <c r="B244" s="21" t="s">
        <v>1419</v>
      </c>
      <c r="C244" s="21" t="s">
        <v>1405</v>
      </c>
      <c r="D244" s="21" t="s">
        <v>1420</v>
      </c>
      <c r="E244" s="21" t="s">
        <v>1177</v>
      </c>
      <c r="F244" s="21" t="s">
        <v>1177</v>
      </c>
      <c r="G244" s="21" t="s">
        <v>1177</v>
      </c>
      <c r="H244" s="26"/>
    </row>
    <row r="245">
      <c r="A245" s="16" t="s">
        <v>1186</v>
      </c>
      <c r="B245" s="28" t="s">
        <v>1248</v>
      </c>
      <c r="C245" s="28" t="s">
        <v>1235</v>
      </c>
      <c r="D245" s="28" t="s">
        <v>1248</v>
      </c>
      <c r="E245" s="28" t="s">
        <v>1177</v>
      </c>
      <c r="F245" s="28" t="s">
        <v>1177</v>
      </c>
      <c r="G245" s="28" t="s">
        <v>1177</v>
      </c>
      <c r="H245" s="26"/>
    </row>
    <row r="246">
      <c r="A246" s="20" t="s">
        <v>1188</v>
      </c>
      <c r="B246" s="21" t="s">
        <v>1421</v>
      </c>
      <c r="C246" s="21" t="s">
        <v>1422</v>
      </c>
      <c r="D246" s="21" t="s">
        <v>1423</v>
      </c>
      <c r="E246" s="21" t="s">
        <v>1177</v>
      </c>
      <c r="F246" s="21" t="s">
        <v>1177</v>
      </c>
      <c r="G246" s="21" t="s">
        <v>1177</v>
      </c>
      <c r="H246" s="26"/>
    </row>
    <row r="247">
      <c r="A247" s="29"/>
      <c r="B247" s="21" t="s">
        <v>1424</v>
      </c>
      <c r="C247" s="21" t="s">
        <v>1359</v>
      </c>
      <c r="D247" s="21" t="s">
        <v>1425</v>
      </c>
      <c r="E247" s="21" t="s">
        <v>1177</v>
      </c>
      <c r="F247" s="21" t="s">
        <v>1177</v>
      </c>
      <c r="G247" s="21" t="s">
        <v>1177</v>
      </c>
      <c r="H247" s="26"/>
    </row>
    <row r="248">
      <c r="A248" s="29"/>
      <c r="B248" s="21" t="s">
        <v>1426</v>
      </c>
      <c r="C248" s="21" t="s">
        <v>1177</v>
      </c>
      <c r="D248" s="21" t="s">
        <v>1323</v>
      </c>
      <c r="E248" s="21" t="s">
        <v>1177</v>
      </c>
      <c r="F248" s="21" t="s">
        <v>1177</v>
      </c>
      <c r="G248" s="21" t="s">
        <v>1177</v>
      </c>
      <c r="H248" s="26"/>
    </row>
    <row r="249">
      <c r="A249" s="24"/>
      <c r="B249" s="21" t="s">
        <v>1225</v>
      </c>
      <c r="C249" s="21" t="s">
        <v>1177</v>
      </c>
      <c r="D249" s="21" t="s">
        <v>1324</v>
      </c>
      <c r="E249" s="21" t="s">
        <v>1177</v>
      </c>
      <c r="F249" s="21" t="s">
        <v>1177</v>
      </c>
      <c r="G249" s="21" t="s">
        <v>1177</v>
      </c>
      <c r="H249" s="30"/>
      <c r="I249" s="14"/>
    </row>
    <row r="250">
      <c r="A250" s="16" t="s">
        <v>1174</v>
      </c>
      <c r="B250" s="17" t="s">
        <v>1427</v>
      </c>
      <c r="C250" s="18"/>
      <c r="D250" s="18"/>
      <c r="E250" s="18"/>
      <c r="F250" s="18"/>
      <c r="G250" s="18"/>
      <c r="H250" s="18"/>
      <c r="I250" s="16"/>
    </row>
    <row r="251" ht="60.0" customHeight="1">
      <c r="A251" s="20" t="s">
        <v>1176</v>
      </c>
      <c r="B251" s="21" t="str">
        <f t="array" ref="B251">iferror(VLOOKUP(INDIRECT(ADDRESS(ROW()+1,COLUMN(), 4)),Dex!$A$2:$C293,3,false),"")</f>
        <v/>
      </c>
      <c r="C251" s="21" t="str">
        <f t="array" ref="C251">iferror(VLOOKUP(INDIRECT(ADDRESS(ROW()+1,COLUMN(), 4)),Dex!$A$2:$C293,3,false),"")</f>
        <v/>
      </c>
      <c r="D251" s="21" t="str">
        <f t="array" ref="D251">iferror(VLOOKUP(INDIRECT(ADDRESS(ROW()+1,COLUMN(), 4)),Dex!$A$2:$C293,3,false),"")</f>
        <v/>
      </c>
      <c r="E251" s="21" t="s">
        <v>1177</v>
      </c>
      <c r="F251" s="21" t="s">
        <v>1177</v>
      </c>
      <c r="G251" s="21" t="s">
        <v>1177</v>
      </c>
      <c r="H251" s="22" t="str">
        <f t="array" ref="H251">iferror(VLOOKUP("TRAINER_PIC_BLACK_BELT",Sprites!$A$1:$B293,2,false),"")</f>
        <v/>
      </c>
      <c r="I251" s="23"/>
    </row>
    <row r="252">
      <c r="A252" s="24"/>
      <c r="B252" s="25" t="s">
        <v>404</v>
      </c>
      <c r="C252" s="25" t="s">
        <v>100</v>
      </c>
      <c r="D252" s="25" t="s">
        <v>685</v>
      </c>
      <c r="E252" s="25" t="s">
        <v>1177</v>
      </c>
      <c r="F252" s="25" t="s">
        <v>1177</v>
      </c>
      <c r="G252" s="25" t="s">
        <v>1177</v>
      </c>
      <c r="H252" s="26"/>
    </row>
    <row r="253">
      <c r="A253" s="16" t="s">
        <v>1178</v>
      </c>
      <c r="B253" s="27" t="s">
        <v>1414</v>
      </c>
      <c r="C253" s="27" t="s">
        <v>1402</v>
      </c>
      <c r="D253" s="27" t="s">
        <v>1402</v>
      </c>
      <c r="E253" s="21" t="s">
        <v>1177</v>
      </c>
      <c r="F253" s="21" t="s">
        <v>1177</v>
      </c>
      <c r="G253" s="21" t="s">
        <v>1177</v>
      </c>
      <c r="H253" s="26"/>
    </row>
    <row r="254">
      <c r="A254" s="16" t="s">
        <v>1181</v>
      </c>
      <c r="B254" s="28" t="s">
        <v>1428</v>
      </c>
      <c r="C254" s="28" t="s">
        <v>1295</v>
      </c>
      <c r="D254" s="28" t="s">
        <v>1355</v>
      </c>
      <c r="E254" s="28" t="s">
        <v>1177</v>
      </c>
      <c r="F254" s="28" t="s">
        <v>1177</v>
      </c>
      <c r="G254" s="28" t="s">
        <v>1177</v>
      </c>
      <c r="H254" s="26"/>
    </row>
    <row r="255">
      <c r="A255" s="16" t="s">
        <v>1182</v>
      </c>
      <c r="B255" s="21" t="s">
        <v>1429</v>
      </c>
      <c r="C255" s="21" t="s">
        <v>1419</v>
      </c>
      <c r="D255" s="21" t="s">
        <v>1419</v>
      </c>
      <c r="E255" s="21" t="s">
        <v>1177</v>
      </c>
      <c r="F255" s="21" t="s">
        <v>1177</v>
      </c>
      <c r="G255" s="21" t="s">
        <v>1177</v>
      </c>
      <c r="H255" s="26"/>
    </row>
    <row r="256">
      <c r="A256" s="16" t="s">
        <v>1186</v>
      </c>
      <c r="B256" s="28" t="s">
        <v>1235</v>
      </c>
      <c r="C256" s="28" t="s">
        <v>1406</v>
      </c>
      <c r="D256" s="28" t="s">
        <v>1235</v>
      </c>
      <c r="E256" s="28" t="s">
        <v>1177</v>
      </c>
      <c r="F256" s="28" t="s">
        <v>1177</v>
      </c>
      <c r="G256" s="28" t="s">
        <v>1177</v>
      </c>
      <c r="H256" s="26"/>
    </row>
    <row r="257">
      <c r="A257" s="20" t="s">
        <v>1188</v>
      </c>
      <c r="B257" s="21" t="s">
        <v>1321</v>
      </c>
      <c r="C257" s="21" t="s">
        <v>1430</v>
      </c>
      <c r="D257" s="21" t="s">
        <v>1431</v>
      </c>
      <c r="E257" s="21" t="s">
        <v>1177</v>
      </c>
      <c r="F257" s="21" t="s">
        <v>1177</v>
      </c>
      <c r="G257" s="21" t="s">
        <v>1177</v>
      </c>
      <c r="H257" s="26"/>
    </row>
    <row r="258">
      <c r="A258" s="29"/>
      <c r="B258" s="21" t="s">
        <v>1424</v>
      </c>
      <c r="C258" s="21" t="s">
        <v>1432</v>
      </c>
      <c r="D258" s="21" t="s">
        <v>1324</v>
      </c>
      <c r="E258" s="21" t="s">
        <v>1177</v>
      </c>
      <c r="F258" s="21" t="s">
        <v>1177</v>
      </c>
      <c r="G258" s="21" t="s">
        <v>1177</v>
      </c>
      <c r="H258" s="26"/>
    </row>
    <row r="259">
      <c r="A259" s="29"/>
      <c r="B259" s="21" t="s">
        <v>1225</v>
      </c>
      <c r="C259" s="21" t="s">
        <v>1410</v>
      </c>
      <c r="D259" s="21" t="s">
        <v>1301</v>
      </c>
      <c r="E259" s="21" t="s">
        <v>1177</v>
      </c>
      <c r="F259" s="21" t="s">
        <v>1177</v>
      </c>
      <c r="G259" s="21" t="s">
        <v>1177</v>
      </c>
      <c r="H259" s="26"/>
    </row>
    <row r="260">
      <c r="A260" s="24"/>
      <c r="B260" s="21" t="s">
        <v>1243</v>
      </c>
      <c r="C260" s="21" t="s">
        <v>1389</v>
      </c>
      <c r="D260" s="21" t="s">
        <v>1424</v>
      </c>
      <c r="E260" s="21" t="s">
        <v>1177</v>
      </c>
      <c r="F260" s="21" t="s">
        <v>1177</v>
      </c>
      <c r="G260" s="21" t="s">
        <v>1177</v>
      </c>
      <c r="H260" s="30"/>
      <c r="I260" s="14"/>
    </row>
    <row r="261">
      <c r="A261" s="16" t="s">
        <v>1174</v>
      </c>
      <c r="B261" s="17" t="s">
        <v>1433</v>
      </c>
      <c r="C261" s="18"/>
      <c r="D261" s="18"/>
      <c r="E261" s="18"/>
      <c r="F261" s="18"/>
      <c r="G261" s="18"/>
      <c r="H261" s="18"/>
      <c r="I261" s="16"/>
    </row>
    <row r="262" ht="60.0" customHeight="1">
      <c r="A262" s="20" t="s">
        <v>1176</v>
      </c>
      <c r="B262" s="21" t="str">
        <f t="array" ref="B262">iferror(VLOOKUP(INDIRECT(ADDRESS(ROW()+1,COLUMN(), 4)),Dex!$A$2:$C293,3,false),"")</f>
        <v/>
      </c>
      <c r="C262" s="21" t="str">
        <f t="array" ref="C262">iferror(VLOOKUP(INDIRECT(ADDRESS(ROW()+1,COLUMN(), 4)),Dex!$A$2:$C293,3,false),"")</f>
        <v/>
      </c>
      <c r="D262" s="21" t="str">
        <f t="array" ref="D262">iferror(VLOOKUP(INDIRECT(ADDRESS(ROW()+1,COLUMN(), 4)),Dex!$A$2:$C293,3,false),"")</f>
        <v/>
      </c>
      <c r="E262" s="21" t="s">
        <v>1177</v>
      </c>
      <c r="F262" s="21" t="s">
        <v>1177</v>
      </c>
      <c r="G262" s="21" t="s">
        <v>1177</v>
      </c>
      <c r="H262" s="22" t="str">
        <f t="array" ref="H262">iferror(VLOOKUP("TRAINER_PIC_BLACK_BELT",Sprites!$A$1:$B293,2,false),"")</f>
        <v/>
      </c>
      <c r="I262" s="23"/>
    </row>
    <row r="263">
      <c r="A263" s="24"/>
      <c r="B263" s="25" t="s">
        <v>380</v>
      </c>
      <c r="C263" s="25" t="s">
        <v>779</v>
      </c>
      <c r="D263" s="25" t="s">
        <v>544</v>
      </c>
      <c r="E263" s="25" t="s">
        <v>1177</v>
      </c>
      <c r="F263" s="25" t="s">
        <v>1177</v>
      </c>
      <c r="G263" s="25" t="s">
        <v>1177</v>
      </c>
      <c r="H263" s="26"/>
    </row>
    <row r="264">
      <c r="A264" s="16" t="s">
        <v>1178</v>
      </c>
      <c r="B264" s="27" t="s">
        <v>1414</v>
      </c>
      <c r="C264" s="27" t="s">
        <v>1402</v>
      </c>
      <c r="D264" s="27" t="s">
        <v>1414</v>
      </c>
      <c r="E264" s="21" t="s">
        <v>1177</v>
      </c>
      <c r="F264" s="21" t="s">
        <v>1177</v>
      </c>
      <c r="G264" s="21" t="s">
        <v>1177</v>
      </c>
      <c r="H264" s="26"/>
    </row>
    <row r="265">
      <c r="A265" s="16" t="s">
        <v>1181</v>
      </c>
      <c r="B265" s="28" t="s">
        <v>1434</v>
      </c>
      <c r="C265" s="28" t="s">
        <v>1355</v>
      </c>
      <c r="D265" s="28" t="s">
        <v>1435</v>
      </c>
      <c r="E265" s="28" t="s">
        <v>1177</v>
      </c>
      <c r="F265" s="28" t="s">
        <v>1177</v>
      </c>
      <c r="G265" s="28" t="s">
        <v>1177</v>
      </c>
      <c r="H265" s="26"/>
    </row>
    <row r="266">
      <c r="A266" s="16" t="s">
        <v>1182</v>
      </c>
      <c r="B266" s="21" t="s">
        <v>1436</v>
      </c>
      <c r="C266" s="21" t="s">
        <v>1356</v>
      </c>
      <c r="D266" s="21" t="s">
        <v>1255</v>
      </c>
      <c r="E266" s="21" t="s">
        <v>1177</v>
      </c>
      <c r="F266" s="21" t="s">
        <v>1177</v>
      </c>
      <c r="G266" s="21" t="s">
        <v>1177</v>
      </c>
      <c r="H266" s="26"/>
    </row>
    <row r="267">
      <c r="A267" s="16" t="s">
        <v>1186</v>
      </c>
      <c r="B267" s="28" t="s">
        <v>1235</v>
      </c>
      <c r="C267" s="28" t="s">
        <v>1235</v>
      </c>
      <c r="D267" s="28" t="s">
        <v>1235</v>
      </c>
      <c r="E267" s="28" t="s">
        <v>1177</v>
      </c>
      <c r="F267" s="28" t="s">
        <v>1177</v>
      </c>
      <c r="G267" s="28" t="s">
        <v>1177</v>
      </c>
      <c r="H267" s="26"/>
    </row>
    <row r="268">
      <c r="A268" s="20" t="s">
        <v>1188</v>
      </c>
      <c r="B268" s="21" t="s">
        <v>1437</v>
      </c>
      <c r="C268" s="21" t="s">
        <v>1423</v>
      </c>
      <c r="D268" s="21" t="s">
        <v>1225</v>
      </c>
      <c r="E268" s="21" t="s">
        <v>1177</v>
      </c>
      <c r="F268" s="21" t="s">
        <v>1177</v>
      </c>
      <c r="G268" s="21" t="s">
        <v>1177</v>
      </c>
      <c r="H268" s="26"/>
    </row>
    <row r="269">
      <c r="A269" s="29"/>
      <c r="B269" s="21" t="s">
        <v>1273</v>
      </c>
      <c r="C269" s="21" t="s">
        <v>1438</v>
      </c>
      <c r="D269" s="21" t="s">
        <v>1439</v>
      </c>
      <c r="E269" s="21" t="s">
        <v>1177</v>
      </c>
      <c r="F269" s="21" t="s">
        <v>1177</v>
      </c>
      <c r="G269" s="21" t="s">
        <v>1177</v>
      </c>
      <c r="H269" s="26"/>
    </row>
    <row r="270">
      <c r="A270" s="29"/>
      <c r="B270" s="21" t="s">
        <v>1324</v>
      </c>
      <c r="C270" s="21" t="s">
        <v>1225</v>
      </c>
      <c r="D270" s="21" t="s">
        <v>1440</v>
      </c>
      <c r="E270" s="21" t="s">
        <v>1177</v>
      </c>
      <c r="F270" s="21" t="s">
        <v>1177</v>
      </c>
      <c r="G270" s="21" t="s">
        <v>1177</v>
      </c>
      <c r="H270" s="26"/>
    </row>
    <row r="271">
      <c r="A271" s="24"/>
      <c r="B271" s="21" t="s">
        <v>1441</v>
      </c>
      <c r="C271" s="21" t="s">
        <v>1243</v>
      </c>
      <c r="D271" s="21" t="s">
        <v>1177</v>
      </c>
      <c r="E271" s="21" t="s">
        <v>1177</v>
      </c>
      <c r="F271" s="21" t="s">
        <v>1177</v>
      </c>
      <c r="G271" s="21" t="s">
        <v>1177</v>
      </c>
      <c r="H271" s="30"/>
      <c r="I271" s="14"/>
    </row>
    <row r="272">
      <c r="A272" s="16" t="s">
        <v>1174</v>
      </c>
      <c r="B272" s="17" t="s">
        <v>1442</v>
      </c>
      <c r="C272" s="18"/>
      <c r="D272" s="18"/>
      <c r="E272" s="18"/>
      <c r="F272" s="18"/>
      <c r="G272" s="18"/>
      <c r="H272" s="18"/>
      <c r="I272" s="16"/>
    </row>
    <row r="273" ht="60.0" customHeight="1">
      <c r="A273" s="20" t="s">
        <v>1176</v>
      </c>
      <c r="B273" s="21" t="str">
        <f t="array" ref="B273">iferror(VLOOKUP(INDIRECT(ADDRESS(ROW()+1,COLUMN(), 4)),Dex!$A$2:$C293,3,false),"")</f>
        <v/>
      </c>
      <c r="C273" s="21" t="str">
        <f t="array" ref="C273">iferror(VLOOKUP(INDIRECT(ADDRESS(ROW()+1,COLUMN(), 4)),Dex!$A$2:$C293,3,false),"")</f>
        <v/>
      </c>
      <c r="D273" s="21" t="str">
        <f t="array" ref="D273">iferror(VLOOKUP(INDIRECT(ADDRESS(ROW()+1,COLUMN(), 4)),Dex!$A$2:$C293,3,false),"")</f>
        <v/>
      </c>
      <c r="E273" s="21" t="str">
        <f t="array" ref="E273">iferror(VLOOKUP(INDIRECT(ADDRESS(ROW()+1,COLUMN(), 4)),Dex!$A$2:$C293,3,false),"")</f>
        <v/>
      </c>
      <c r="F273" s="21" t="s">
        <v>1177</v>
      </c>
      <c r="G273" s="21" t="s">
        <v>1177</v>
      </c>
      <c r="H273" s="22" t="str">
        <f t="array" ref="H273">iferror(VLOOKUP("TRAINER_PIC_BATTLE_GIRL",Sprites!$A$1:$B293,2,false),"")</f>
        <v/>
      </c>
      <c r="I273" s="23"/>
    </row>
    <row r="274">
      <c r="A274" s="24"/>
      <c r="B274" s="25" t="s">
        <v>454</v>
      </c>
      <c r="C274" s="25" t="s">
        <v>782</v>
      </c>
      <c r="D274" s="25" t="s">
        <v>649</v>
      </c>
      <c r="E274" s="25" t="s">
        <v>999</v>
      </c>
      <c r="F274" s="25" t="s">
        <v>1177</v>
      </c>
      <c r="G274" s="25" t="s">
        <v>1177</v>
      </c>
      <c r="H274" s="26"/>
    </row>
    <row r="275">
      <c r="A275" s="16" t="s">
        <v>1178</v>
      </c>
      <c r="B275" s="27" t="s">
        <v>1365</v>
      </c>
      <c r="C275" s="27" t="s">
        <v>1414</v>
      </c>
      <c r="D275" s="27" t="s">
        <v>1402</v>
      </c>
      <c r="E275" s="27" t="s">
        <v>1402</v>
      </c>
      <c r="F275" s="21" t="s">
        <v>1177</v>
      </c>
      <c r="G275" s="21" t="s">
        <v>1177</v>
      </c>
      <c r="H275" s="26"/>
    </row>
    <row r="276">
      <c r="A276" s="16" t="s">
        <v>1181</v>
      </c>
      <c r="B276" s="28" t="s">
        <v>1209</v>
      </c>
      <c r="C276" s="28" t="s">
        <v>1403</v>
      </c>
      <c r="D276" s="28" t="s">
        <v>1209</v>
      </c>
      <c r="E276" s="28" t="s">
        <v>1366</v>
      </c>
      <c r="F276" s="28" t="s">
        <v>1177</v>
      </c>
      <c r="G276" s="28" t="s">
        <v>1177</v>
      </c>
      <c r="H276" s="26"/>
    </row>
    <row r="277">
      <c r="A277" s="16" t="s">
        <v>1182</v>
      </c>
      <c r="B277" s="21" t="s">
        <v>1443</v>
      </c>
      <c r="C277" s="21" t="s">
        <v>1420</v>
      </c>
      <c r="D277" s="21" t="s">
        <v>1444</v>
      </c>
      <c r="E277" s="21" t="s">
        <v>1445</v>
      </c>
      <c r="F277" s="21" t="s">
        <v>1177</v>
      </c>
      <c r="G277" s="21" t="s">
        <v>1177</v>
      </c>
      <c r="H277" s="26"/>
    </row>
    <row r="278">
      <c r="A278" s="16" t="s">
        <v>1186</v>
      </c>
      <c r="B278" s="28" t="s">
        <v>1446</v>
      </c>
      <c r="C278" s="28" t="s">
        <v>1248</v>
      </c>
      <c r="D278" s="28" t="s">
        <v>1447</v>
      </c>
      <c r="E278" s="28" t="s">
        <v>1383</v>
      </c>
      <c r="F278" s="28" t="s">
        <v>1177</v>
      </c>
      <c r="G278" s="28" t="s">
        <v>1177</v>
      </c>
      <c r="H278" s="26"/>
    </row>
    <row r="279">
      <c r="A279" s="20" t="s">
        <v>1188</v>
      </c>
      <c r="B279" s="21" t="s">
        <v>1423</v>
      </c>
      <c r="C279" s="21" t="s">
        <v>1448</v>
      </c>
      <c r="D279" s="21" t="s">
        <v>1319</v>
      </c>
      <c r="E279" s="21" t="s">
        <v>1449</v>
      </c>
      <c r="F279" s="21" t="s">
        <v>1177</v>
      </c>
      <c r="G279" s="21" t="s">
        <v>1177</v>
      </c>
      <c r="H279" s="26"/>
    </row>
    <row r="280">
      <c r="A280" s="29"/>
      <c r="B280" s="21" t="s">
        <v>1450</v>
      </c>
      <c r="C280" s="21" t="s">
        <v>1451</v>
      </c>
      <c r="D280" s="21" t="s">
        <v>1328</v>
      </c>
      <c r="E280" s="21" t="s">
        <v>1452</v>
      </c>
      <c r="F280" s="21" t="s">
        <v>1177</v>
      </c>
      <c r="G280" s="21" t="s">
        <v>1177</v>
      </c>
      <c r="H280" s="26"/>
    </row>
    <row r="281">
      <c r="A281" s="29"/>
      <c r="B281" s="21" t="s">
        <v>1448</v>
      </c>
      <c r="C281" s="21" t="s">
        <v>1423</v>
      </c>
      <c r="D281" s="21" t="s">
        <v>1421</v>
      </c>
      <c r="E281" s="21" t="s">
        <v>1204</v>
      </c>
      <c r="F281" s="21" t="s">
        <v>1177</v>
      </c>
      <c r="G281" s="21" t="s">
        <v>1177</v>
      </c>
      <c r="H281" s="26"/>
    </row>
    <row r="282">
      <c r="A282" s="24"/>
      <c r="B282" s="21" t="s">
        <v>1262</v>
      </c>
      <c r="C282" s="21" t="s">
        <v>1177</v>
      </c>
      <c r="D282" s="21" t="s">
        <v>1453</v>
      </c>
      <c r="E282" s="21" t="s">
        <v>1389</v>
      </c>
      <c r="F282" s="21" t="s">
        <v>1177</v>
      </c>
      <c r="G282" s="21" t="s">
        <v>1177</v>
      </c>
      <c r="H282" s="30"/>
      <c r="I282" s="14"/>
    </row>
    <row r="283">
      <c r="A283" s="16" t="s">
        <v>1174</v>
      </c>
      <c r="B283" s="17" t="s">
        <v>1454</v>
      </c>
      <c r="C283" s="18"/>
      <c r="D283" s="18"/>
      <c r="E283" s="18"/>
      <c r="F283" s="18"/>
      <c r="G283" s="18"/>
      <c r="H283" s="18"/>
      <c r="I283" s="16"/>
    </row>
    <row r="284" ht="60.0" customHeight="1">
      <c r="A284" s="20" t="s">
        <v>1176</v>
      </c>
      <c r="B284" s="21" t="str">
        <f t="array" ref="B284">iferror(VLOOKUP(INDIRECT(ADDRESS(ROW()+1,COLUMN(), 4)),Dex!$A$2:$C293,3,false),"")</f>
        <v/>
      </c>
      <c r="C284" s="21" t="str">
        <f t="array" ref="C284">iferror(VLOOKUP(INDIRECT(ADDRESS(ROW()+1,COLUMN(), 4)),Dex!$A$2:$C293,3,false),"")</f>
        <v/>
      </c>
      <c r="D284" s="21" t="str">
        <f t="array" ref="D284">iferror(VLOOKUP(INDIRECT(ADDRESS(ROW()+1,COLUMN(), 4)),Dex!$A$2:$C293,3,false),"")</f>
        <v/>
      </c>
      <c r="E284" s="21" t="str">
        <f t="array" ref="E284">iferror(VLOOKUP(INDIRECT(ADDRESS(ROW()+1,COLUMN(), 4)),Dex!$A$2:$C293,3,false),"")</f>
        <v/>
      </c>
      <c r="F284" s="21" t="str">
        <f t="array" ref="F284">iferror(VLOOKUP(INDIRECT(ADDRESS(ROW()+1,COLUMN(), 4)),Dex!$A$2:$C293,3,false),"")</f>
        <v/>
      </c>
      <c r="G284" s="21" t="str">
        <f t="array" ref="G284">iferror(VLOOKUP(INDIRECT(ADDRESS(ROW()+1,COLUMN(), 4)),Dex!$A$2:$C293,3,false),"")</f>
        <v/>
      </c>
      <c r="H284" s="22" t="str">
        <f t="array" ref="H284">iferror(VLOOKUP("TRAINER_PIC_LEADER_BRAWLY",Sprites!$A$1:$B293,2,false),"")</f>
        <v/>
      </c>
      <c r="I284" s="23"/>
    </row>
    <row r="285">
      <c r="A285" s="24"/>
      <c r="B285" s="25" t="s">
        <v>1146</v>
      </c>
      <c r="C285" s="25" t="s">
        <v>545</v>
      </c>
      <c r="D285" s="25" t="s">
        <v>345</v>
      </c>
      <c r="E285" s="25" t="s">
        <v>323</v>
      </c>
      <c r="F285" s="25" t="s">
        <v>93</v>
      </c>
      <c r="G285" s="25" t="s">
        <v>714</v>
      </c>
      <c r="H285" s="26"/>
    </row>
    <row r="286">
      <c r="A286" s="16" t="s">
        <v>1178</v>
      </c>
      <c r="B286" s="27" t="s">
        <v>1455</v>
      </c>
      <c r="C286" s="27" t="s">
        <v>1414</v>
      </c>
      <c r="D286" s="27" t="s">
        <v>1455</v>
      </c>
      <c r="E286" s="27" t="s">
        <v>1455</v>
      </c>
      <c r="F286" s="27" t="s">
        <v>1414</v>
      </c>
      <c r="G286" s="27" t="s">
        <v>1456</v>
      </c>
      <c r="H286" s="26"/>
    </row>
    <row r="287">
      <c r="A287" s="16" t="s">
        <v>1181</v>
      </c>
      <c r="B287" s="28" t="s">
        <v>1457</v>
      </c>
      <c r="C287" s="28" t="s">
        <v>1458</v>
      </c>
      <c r="D287" s="28" t="s">
        <v>1209</v>
      </c>
      <c r="E287" s="28" t="s">
        <v>1459</v>
      </c>
      <c r="F287" s="28" t="s">
        <v>1460</v>
      </c>
      <c r="G287" s="28" t="s">
        <v>1403</v>
      </c>
      <c r="H287" s="26"/>
    </row>
    <row r="288">
      <c r="A288" s="16" t="s">
        <v>1182</v>
      </c>
      <c r="B288" s="21" t="s">
        <v>1356</v>
      </c>
      <c r="C288" s="21" t="s">
        <v>1232</v>
      </c>
      <c r="D288" s="21" t="s">
        <v>1233</v>
      </c>
      <c r="E288" s="21" t="s">
        <v>1461</v>
      </c>
      <c r="F288" s="21" t="s">
        <v>1462</v>
      </c>
      <c r="G288" s="21" t="s">
        <v>1463</v>
      </c>
      <c r="H288" s="26"/>
    </row>
    <row r="289">
      <c r="A289" s="16" t="s">
        <v>1186</v>
      </c>
      <c r="B289" s="28" t="s">
        <v>1235</v>
      </c>
      <c r="C289" s="28" t="s">
        <v>1235</v>
      </c>
      <c r="D289" s="28" t="s">
        <v>1464</v>
      </c>
      <c r="E289" s="28" t="s">
        <v>1248</v>
      </c>
      <c r="F289" s="28" t="s">
        <v>1465</v>
      </c>
      <c r="G289" s="28" t="s">
        <v>1446</v>
      </c>
      <c r="H289" s="26"/>
    </row>
    <row r="290">
      <c r="A290" s="20" t="s">
        <v>1188</v>
      </c>
      <c r="B290" s="21" t="s">
        <v>1321</v>
      </c>
      <c r="C290" s="21" t="s">
        <v>1466</v>
      </c>
      <c r="D290" s="21" t="s">
        <v>1352</v>
      </c>
      <c r="E290" s="21" t="s">
        <v>1324</v>
      </c>
      <c r="F290" s="21" t="s">
        <v>1215</v>
      </c>
      <c r="G290" s="21" t="s">
        <v>1467</v>
      </c>
      <c r="H290" s="26"/>
    </row>
    <row r="291">
      <c r="A291" s="29"/>
      <c r="B291" s="21" t="s">
        <v>1451</v>
      </c>
      <c r="C291" s="21" t="s">
        <v>1214</v>
      </c>
      <c r="D291" s="21" t="s">
        <v>1319</v>
      </c>
      <c r="E291" s="21" t="s">
        <v>1438</v>
      </c>
      <c r="F291" s="21" t="s">
        <v>1468</v>
      </c>
      <c r="G291" s="21" t="s">
        <v>1422</v>
      </c>
      <c r="H291" s="26"/>
    </row>
    <row r="292">
      <c r="A292" s="29"/>
      <c r="B292" s="21" t="s">
        <v>1469</v>
      </c>
      <c r="C292" s="21" t="s">
        <v>1423</v>
      </c>
      <c r="D292" s="21" t="s">
        <v>1425</v>
      </c>
      <c r="E292" s="21" t="s">
        <v>1225</v>
      </c>
      <c r="F292" s="21" t="s">
        <v>1470</v>
      </c>
      <c r="G292" s="21" t="s">
        <v>1360</v>
      </c>
      <c r="H292" s="26"/>
    </row>
    <row r="293">
      <c r="A293" s="24"/>
      <c r="B293" s="21" t="s">
        <v>1471</v>
      </c>
      <c r="C293" s="21" t="s">
        <v>1177</v>
      </c>
      <c r="D293" s="21" t="s">
        <v>1218</v>
      </c>
      <c r="E293" s="21" t="s">
        <v>1336</v>
      </c>
      <c r="F293" s="21" t="s">
        <v>1472</v>
      </c>
      <c r="G293" s="21" t="s">
        <v>1473</v>
      </c>
      <c r="H293" s="30"/>
      <c r="I293" s="14"/>
    </row>
  </sheetData>
  <mergeCells count="111">
    <mergeCell ref="A54:A57"/>
    <mergeCell ref="A59:A60"/>
    <mergeCell ref="A65:A68"/>
    <mergeCell ref="A70:A71"/>
    <mergeCell ref="A76:A79"/>
    <mergeCell ref="A81:A82"/>
    <mergeCell ref="A87:A90"/>
    <mergeCell ref="A93:A94"/>
    <mergeCell ref="A99:A102"/>
    <mergeCell ref="A104:A105"/>
    <mergeCell ref="A110:A113"/>
    <mergeCell ref="A116:A117"/>
    <mergeCell ref="A122:A125"/>
    <mergeCell ref="A127:A128"/>
    <mergeCell ref="A133:A136"/>
    <mergeCell ref="A138:A139"/>
    <mergeCell ref="A144:A147"/>
    <mergeCell ref="A149:A150"/>
    <mergeCell ref="A155:A158"/>
    <mergeCell ref="A160:A161"/>
    <mergeCell ref="A166:A169"/>
    <mergeCell ref="A171:A172"/>
    <mergeCell ref="A177:A180"/>
    <mergeCell ref="A183:A184"/>
    <mergeCell ref="A195:A196"/>
    <mergeCell ref="A206:A207"/>
    <mergeCell ref="A218:A219"/>
    <mergeCell ref="A229:A230"/>
    <mergeCell ref="A273:A274"/>
    <mergeCell ref="A279:A282"/>
    <mergeCell ref="A284:A285"/>
    <mergeCell ref="A290:A293"/>
    <mergeCell ref="A235:A238"/>
    <mergeCell ref="A240:A241"/>
    <mergeCell ref="A246:A249"/>
    <mergeCell ref="A251:A252"/>
    <mergeCell ref="A257:A260"/>
    <mergeCell ref="A262:A263"/>
    <mergeCell ref="A268:A271"/>
    <mergeCell ref="A201:A204"/>
    <mergeCell ref="B205:H205"/>
    <mergeCell ref="B159:H159"/>
    <mergeCell ref="B170:H170"/>
    <mergeCell ref="B181:H181"/>
    <mergeCell ref="B182:H182"/>
    <mergeCell ref="A189:A192"/>
    <mergeCell ref="B193:H193"/>
    <mergeCell ref="B194:H194"/>
    <mergeCell ref="H218:I227"/>
    <mergeCell ref="H229:I238"/>
    <mergeCell ref="H240:I249"/>
    <mergeCell ref="H251:I260"/>
    <mergeCell ref="H262:I271"/>
    <mergeCell ref="H273:I282"/>
    <mergeCell ref="H284:I293"/>
    <mergeCell ref="B239:H239"/>
    <mergeCell ref="B250:H250"/>
    <mergeCell ref="B261:H261"/>
    <mergeCell ref="B272:H272"/>
    <mergeCell ref="B283:H283"/>
    <mergeCell ref="H171:I180"/>
    <mergeCell ref="H183:I192"/>
    <mergeCell ref="H195:I204"/>
    <mergeCell ref="H206:I215"/>
    <mergeCell ref="B216:H216"/>
    <mergeCell ref="B217:H217"/>
    <mergeCell ref="B228:H228"/>
    <mergeCell ref="B1:H1"/>
    <mergeCell ref="B2:H2"/>
    <mergeCell ref="A3:A4"/>
    <mergeCell ref="H3:I12"/>
    <mergeCell ref="A9:A12"/>
    <mergeCell ref="B13:H13"/>
    <mergeCell ref="B24:H24"/>
    <mergeCell ref="B35:H35"/>
    <mergeCell ref="B46:H46"/>
    <mergeCell ref="B47:H47"/>
    <mergeCell ref="B58:H58"/>
    <mergeCell ref="B69:H69"/>
    <mergeCell ref="B80:H80"/>
    <mergeCell ref="B91:H91"/>
    <mergeCell ref="H14:I23"/>
    <mergeCell ref="H25:I34"/>
    <mergeCell ref="H36:I45"/>
    <mergeCell ref="H48:I57"/>
    <mergeCell ref="H59:I68"/>
    <mergeCell ref="H70:I79"/>
    <mergeCell ref="H81:I90"/>
    <mergeCell ref="B92:H92"/>
    <mergeCell ref="B103:H103"/>
    <mergeCell ref="B114:H114"/>
    <mergeCell ref="B115:H115"/>
    <mergeCell ref="B126:H126"/>
    <mergeCell ref="B137:H137"/>
    <mergeCell ref="B148:H148"/>
    <mergeCell ref="H93:I102"/>
    <mergeCell ref="H104:I113"/>
    <mergeCell ref="H116:I125"/>
    <mergeCell ref="H127:I136"/>
    <mergeCell ref="H138:I147"/>
    <mergeCell ref="H149:I158"/>
    <mergeCell ref="H160:I169"/>
    <mergeCell ref="A212:A215"/>
    <mergeCell ref="A224:A227"/>
    <mergeCell ref="A14:A15"/>
    <mergeCell ref="A20:A23"/>
    <mergeCell ref="A25:A26"/>
    <mergeCell ref="A31:A34"/>
    <mergeCell ref="A36:A37"/>
    <mergeCell ref="A42:A45"/>
    <mergeCell ref="A48:A49"/>
  </mergeCells>
  <conditionalFormatting sqref="A1">
    <cfRule type="notContainsBlanks" dxfId="3" priority="1">
      <formula>LEN(TRIM(A1))&gt;0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34" t="s">
        <v>1474</v>
      </c>
      <c r="B1" s="35"/>
    </row>
    <row r="2">
      <c r="A2" s="34" t="s">
        <v>1475</v>
      </c>
      <c r="B2" s="36"/>
    </row>
    <row r="3">
      <c r="A3" s="34" t="s">
        <v>1476</v>
      </c>
      <c r="B3" s="35"/>
    </row>
    <row r="4">
      <c r="A4" s="34" t="s">
        <v>1477</v>
      </c>
      <c r="B4" s="35"/>
    </row>
    <row r="5">
      <c r="A5" s="34" t="s">
        <v>1478</v>
      </c>
      <c r="B5" s="35"/>
    </row>
    <row r="6">
      <c r="A6" s="34" t="s">
        <v>1479</v>
      </c>
      <c r="B6" s="35"/>
    </row>
    <row r="7">
      <c r="A7" s="34" t="s">
        <v>1480</v>
      </c>
      <c r="B7" s="35"/>
    </row>
    <row r="8">
      <c r="A8" s="34" t="s">
        <v>1481</v>
      </c>
      <c r="B8" s="35"/>
    </row>
    <row r="9">
      <c r="A9" s="34" t="s">
        <v>1482</v>
      </c>
      <c r="B9" s="35"/>
    </row>
    <row r="10">
      <c r="A10" s="34" t="s">
        <v>1483</v>
      </c>
      <c r="B10" s="35"/>
    </row>
    <row r="11">
      <c r="A11" s="34" t="s">
        <v>1484</v>
      </c>
      <c r="B11" s="35"/>
    </row>
    <row r="12">
      <c r="A12" s="34" t="s">
        <v>1485</v>
      </c>
      <c r="B12" s="35"/>
    </row>
    <row r="13">
      <c r="A13" s="34" t="s">
        <v>1486</v>
      </c>
      <c r="B13" s="35"/>
    </row>
    <row r="14">
      <c r="A14" s="34" t="s">
        <v>1487</v>
      </c>
      <c r="B14" s="35"/>
    </row>
    <row r="15">
      <c r="A15" s="34" t="s">
        <v>1488</v>
      </c>
      <c r="B15" s="35"/>
    </row>
    <row r="16">
      <c r="A16" s="34" t="s">
        <v>1489</v>
      </c>
      <c r="B16" s="35"/>
    </row>
    <row r="17">
      <c r="A17" s="34" t="s">
        <v>1490</v>
      </c>
      <c r="B17" s="35"/>
    </row>
    <row r="18">
      <c r="A18" s="34" t="s">
        <v>1491</v>
      </c>
      <c r="B18" s="35"/>
    </row>
    <row r="19">
      <c r="A19" s="34" t="s">
        <v>1492</v>
      </c>
      <c r="B19" s="35"/>
    </row>
    <row r="20">
      <c r="A20" s="34" t="s">
        <v>1493</v>
      </c>
      <c r="B20" s="35"/>
    </row>
    <row r="21">
      <c r="A21" s="34" t="s">
        <v>1494</v>
      </c>
      <c r="B21" s="35"/>
    </row>
    <row r="22">
      <c r="A22" s="34" t="s">
        <v>1495</v>
      </c>
      <c r="B22" s="35"/>
    </row>
    <row r="23">
      <c r="A23" s="34" t="s">
        <v>1496</v>
      </c>
      <c r="B23" s="35"/>
    </row>
    <row r="24">
      <c r="A24" s="34" t="s">
        <v>1497</v>
      </c>
      <c r="B24" s="35"/>
    </row>
    <row r="25">
      <c r="A25" s="34" t="s">
        <v>1498</v>
      </c>
      <c r="B25" s="35"/>
    </row>
    <row r="26">
      <c r="A26" s="34" t="s">
        <v>1499</v>
      </c>
      <c r="B26" s="35"/>
    </row>
    <row r="27">
      <c r="A27" s="34" t="s">
        <v>1500</v>
      </c>
      <c r="B27" s="35"/>
    </row>
    <row r="28">
      <c r="A28" s="34" t="s">
        <v>1501</v>
      </c>
      <c r="B28" s="35"/>
    </row>
    <row r="29">
      <c r="A29" s="34" t="s">
        <v>1502</v>
      </c>
      <c r="B29" s="35"/>
    </row>
    <row r="30">
      <c r="A30" s="34" t="s">
        <v>1503</v>
      </c>
      <c r="B30" s="35"/>
    </row>
    <row r="31">
      <c r="A31" s="34" t="s">
        <v>1504</v>
      </c>
      <c r="B31" s="35"/>
    </row>
    <row r="32">
      <c r="A32" s="34" t="s">
        <v>1505</v>
      </c>
      <c r="B32" s="35"/>
    </row>
    <row r="33">
      <c r="A33" s="34" t="s">
        <v>1506</v>
      </c>
      <c r="B33" s="35"/>
    </row>
    <row r="34">
      <c r="A34" s="34" t="s">
        <v>1507</v>
      </c>
      <c r="B34" s="35"/>
    </row>
    <row r="35">
      <c r="A35" s="34" t="s">
        <v>1508</v>
      </c>
      <c r="B35" s="35"/>
    </row>
    <row r="36">
      <c r="A36" s="34" t="s">
        <v>1509</v>
      </c>
      <c r="B36" s="35"/>
    </row>
    <row r="37">
      <c r="A37" s="34" t="s">
        <v>1510</v>
      </c>
      <c r="B37" s="35"/>
    </row>
    <row r="38">
      <c r="A38" s="34" t="s">
        <v>1511</v>
      </c>
      <c r="B38" s="35"/>
    </row>
    <row r="39">
      <c r="A39" s="34" t="s">
        <v>1512</v>
      </c>
      <c r="B39" s="35"/>
    </row>
    <row r="40">
      <c r="A40" s="34" t="s">
        <v>1513</v>
      </c>
      <c r="B40" s="35"/>
    </row>
    <row r="41">
      <c r="A41" s="34" t="s">
        <v>1514</v>
      </c>
      <c r="B41" s="35"/>
    </row>
    <row r="42">
      <c r="A42" s="34" t="s">
        <v>1515</v>
      </c>
      <c r="B42" s="35"/>
    </row>
    <row r="43">
      <c r="A43" s="34" t="s">
        <v>1516</v>
      </c>
      <c r="B43" s="35"/>
    </row>
    <row r="44">
      <c r="A44" s="34" t="s">
        <v>1517</v>
      </c>
      <c r="B44" s="35"/>
    </row>
    <row r="45">
      <c r="A45" s="34" t="s">
        <v>1518</v>
      </c>
      <c r="B45" s="35"/>
    </row>
    <row r="46">
      <c r="A46" s="34" t="s">
        <v>1519</v>
      </c>
      <c r="B46" s="35"/>
    </row>
    <row r="47">
      <c r="A47" s="34" t="s">
        <v>1520</v>
      </c>
      <c r="B47" s="35"/>
    </row>
    <row r="48">
      <c r="A48" s="34" t="s">
        <v>1521</v>
      </c>
      <c r="B48" s="35"/>
    </row>
    <row r="49">
      <c r="A49" s="34" t="s">
        <v>1522</v>
      </c>
      <c r="B49" s="35"/>
    </row>
    <row r="50">
      <c r="A50" s="34" t="s">
        <v>1523</v>
      </c>
      <c r="B50" s="35"/>
    </row>
    <row r="51">
      <c r="A51" s="34" t="s">
        <v>1524</v>
      </c>
      <c r="B51" s="35"/>
    </row>
    <row r="52">
      <c r="A52" s="34" t="s">
        <v>1525</v>
      </c>
      <c r="B52" s="35"/>
    </row>
    <row r="53">
      <c r="A53" s="34" t="s">
        <v>1526</v>
      </c>
      <c r="B53" s="35"/>
    </row>
    <row r="54">
      <c r="A54" s="34" t="s">
        <v>1527</v>
      </c>
      <c r="B54" s="35"/>
    </row>
    <row r="55">
      <c r="A55" s="34" t="s">
        <v>1528</v>
      </c>
      <c r="B55" s="35"/>
    </row>
    <row r="56">
      <c r="A56" s="34" t="s">
        <v>1529</v>
      </c>
      <c r="B56" s="35"/>
    </row>
    <row r="57">
      <c r="A57" s="34" t="s">
        <v>1530</v>
      </c>
      <c r="B57" s="35"/>
    </row>
    <row r="58">
      <c r="A58" s="34" t="s">
        <v>1531</v>
      </c>
      <c r="B58" s="35"/>
    </row>
    <row r="59">
      <c r="A59" s="34" t="s">
        <v>1532</v>
      </c>
      <c r="B59" s="35"/>
    </row>
    <row r="60">
      <c r="A60" s="34" t="s">
        <v>1533</v>
      </c>
      <c r="B60" s="35"/>
    </row>
    <row r="61">
      <c r="A61" s="34" t="s">
        <v>1534</v>
      </c>
      <c r="B61" s="35"/>
    </row>
    <row r="62">
      <c r="A62" s="34" t="s">
        <v>1535</v>
      </c>
      <c r="B62" s="35"/>
    </row>
    <row r="63">
      <c r="A63" s="34" t="s">
        <v>1536</v>
      </c>
      <c r="B63" s="35"/>
    </row>
    <row r="64">
      <c r="A64" s="34" t="s">
        <v>1537</v>
      </c>
      <c r="B64" s="35"/>
    </row>
    <row r="65">
      <c r="A65" s="34" t="s">
        <v>1538</v>
      </c>
      <c r="B65" s="35"/>
    </row>
    <row r="66">
      <c r="A66" s="34" t="s">
        <v>1539</v>
      </c>
      <c r="B66" s="35"/>
    </row>
    <row r="67">
      <c r="A67" s="34" t="s">
        <v>1540</v>
      </c>
      <c r="B67" s="35"/>
    </row>
    <row r="68">
      <c r="A68" s="34" t="s">
        <v>1541</v>
      </c>
      <c r="B68" s="35"/>
    </row>
    <row r="69">
      <c r="A69" s="34" t="s">
        <v>1542</v>
      </c>
      <c r="B69" s="35"/>
    </row>
    <row r="70">
      <c r="A70" s="34" t="s">
        <v>1543</v>
      </c>
      <c r="B70" s="35"/>
    </row>
    <row r="71">
      <c r="A71" s="34" t="s">
        <v>1544</v>
      </c>
      <c r="B71" s="35"/>
    </row>
    <row r="72">
      <c r="A72" s="34" t="s">
        <v>1545</v>
      </c>
      <c r="B72" s="35"/>
    </row>
    <row r="73">
      <c r="A73" s="34" t="s">
        <v>1546</v>
      </c>
      <c r="B73" s="35"/>
    </row>
    <row r="74">
      <c r="A74" s="34" t="s">
        <v>1547</v>
      </c>
      <c r="B74" s="35"/>
    </row>
    <row r="75">
      <c r="A75" s="34" t="s">
        <v>1548</v>
      </c>
      <c r="B75" s="35"/>
    </row>
    <row r="76">
      <c r="A76" s="34" t="s">
        <v>1549</v>
      </c>
      <c r="B76" s="35"/>
    </row>
    <row r="77">
      <c r="A77" s="34" t="s">
        <v>1550</v>
      </c>
      <c r="B77" s="35"/>
    </row>
    <row r="78">
      <c r="A78" s="34" t="s">
        <v>1551</v>
      </c>
      <c r="B78" s="35"/>
    </row>
    <row r="79">
      <c r="A79" s="34" t="s">
        <v>1552</v>
      </c>
      <c r="B79" s="35"/>
    </row>
    <row r="80">
      <c r="A80" s="34" t="s">
        <v>1553</v>
      </c>
      <c r="B80" s="35"/>
    </row>
    <row r="81">
      <c r="A81" s="34" t="s">
        <v>1554</v>
      </c>
      <c r="B81" s="35"/>
    </row>
    <row r="82">
      <c r="A82" s="34" t="s">
        <v>1555</v>
      </c>
      <c r="B82" s="35"/>
    </row>
    <row r="83">
      <c r="A83" s="34" t="s">
        <v>1556</v>
      </c>
      <c r="B83" s="35"/>
    </row>
    <row r="84">
      <c r="A84" s="34" t="s">
        <v>1557</v>
      </c>
      <c r="B84" s="35"/>
    </row>
    <row r="85">
      <c r="A85" s="34" t="s">
        <v>1558</v>
      </c>
      <c r="B85" s="35"/>
    </row>
    <row r="86">
      <c r="A86" s="34" t="s">
        <v>1559</v>
      </c>
      <c r="B86" s="35"/>
    </row>
    <row r="87">
      <c r="A87" s="34" t="s">
        <v>1560</v>
      </c>
      <c r="B87" s="35"/>
    </row>
    <row r="88">
      <c r="A88" s="34" t="s">
        <v>1561</v>
      </c>
      <c r="B88" s="35"/>
    </row>
    <row r="89">
      <c r="A89" s="34" t="s">
        <v>1562</v>
      </c>
      <c r="B89" s="35"/>
    </row>
    <row r="90">
      <c r="A90" s="34" t="s">
        <v>1563</v>
      </c>
      <c r="B90" s="35"/>
    </row>
    <row r="91">
      <c r="A91" s="34" t="s">
        <v>1564</v>
      </c>
      <c r="B91" s="35"/>
    </row>
    <row r="92">
      <c r="A92" s="34" t="s">
        <v>1565</v>
      </c>
      <c r="B92" s="35"/>
    </row>
    <row r="93">
      <c r="A93" s="34" t="s">
        <v>1566</v>
      </c>
      <c r="B93" s="35"/>
    </row>
    <row r="94">
      <c r="A94" s="34" t="s">
        <v>1567</v>
      </c>
      <c r="B94" s="35"/>
    </row>
    <row r="95">
      <c r="A95" s="34" t="s">
        <v>1568</v>
      </c>
      <c r="B95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1569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1570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4)),Dex!$A$2:$C213,3,false),"")</f>
        <v/>
      </c>
      <c r="C3" s="21" t="str">
        <f t="array" ref="C3">iferror(VLOOKUP(INDIRECT(ADDRESS(ROW()+1,COLUMN(), 4)),Dex!$A$2:$C213,3,false),"")</f>
        <v/>
      </c>
      <c r="D3" s="21" t="str">
        <f t="array" ref="D3">iferror(VLOOKUP(INDIRECT(ADDRESS(ROW()+1,COLUMN(), 4)),Dex!$A$2:$C213,3,false),"")</f>
        <v/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iferror(VLOOKUP("TRAINER_PIC_BUG_CATCHER",Sprites!$A$1:$B213,2,false),"")</f>
        <v/>
      </c>
      <c r="I3" s="23"/>
    </row>
    <row r="4">
      <c r="A4" s="24"/>
      <c r="B4" s="25" t="s">
        <v>244</v>
      </c>
      <c r="C4" s="25" t="s">
        <v>517</v>
      </c>
      <c r="D4" s="25" t="s">
        <v>385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1456</v>
      </c>
      <c r="C5" s="27" t="s">
        <v>1456</v>
      </c>
      <c r="D5" s="27" t="s">
        <v>1456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1571</v>
      </c>
      <c r="C6" s="28" t="s">
        <v>1209</v>
      </c>
      <c r="D6" s="28" t="s">
        <v>1572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1573</v>
      </c>
      <c r="C7" s="21" t="s">
        <v>1461</v>
      </c>
      <c r="D7" s="21" t="s">
        <v>1233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1235</v>
      </c>
      <c r="C8" s="28" t="s">
        <v>1235</v>
      </c>
      <c r="D8" s="28" t="s">
        <v>1464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1574</v>
      </c>
      <c r="C9" s="21" t="s">
        <v>1201</v>
      </c>
      <c r="D9" s="21" t="s">
        <v>1575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1202</v>
      </c>
      <c r="C10" s="21" t="s">
        <v>1576</v>
      </c>
      <c r="D10" s="21" t="s">
        <v>1415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1577</v>
      </c>
      <c r="C11" s="21" t="s">
        <v>1237</v>
      </c>
      <c r="D11" s="21" t="s">
        <v>1285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1578</v>
      </c>
      <c r="C12" s="21" t="s">
        <v>1327</v>
      </c>
      <c r="D12" s="21" t="s">
        <v>1177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1579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4)),Dex!$A$2:$C213,3,false),"")</f>
        <v/>
      </c>
      <c r="C14" s="21" t="str">
        <f t="array" ref="C14">iferror(VLOOKUP(INDIRECT(ADDRESS(ROW()+1,COLUMN(), 4)),Dex!$A$2:$C213,3,false),"")</f>
        <v/>
      </c>
      <c r="D14" s="21" t="str">
        <f t="array" ref="D14">iferror(VLOOKUP(INDIRECT(ADDRESS(ROW()+1,COLUMN(), 4)),Dex!$A$2:$C213,3,false),"")</f>
        <v/>
      </c>
      <c r="E14" s="21" t="str">
        <f t="array" ref="E14">iferror(VLOOKUP(INDIRECT(ADDRESS(ROW()+1,COLUMN(), 4)),Dex!$A$2:$C213,3,false),"")</f>
        <v/>
      </c>
      <c r="F14" s="21" t="s">
        <v>1177</v>
      </c>
      <c r="G14" s="21" t="s">
        <v>1177</v>
      </c>
      <c r="H14" s="22" t="str">
        <f t="array" ref="H14">iferror(VLOOKUP("TRAINER_PIC_BUG_MANIAC",Sprites!$A$1:$B213,2,false),"")</f>
        <v/>
      </c>
      <c r="I14" s="23"/>
    </row>
    <row r="15">
      <c r="A15" s="24"/>
      <c r="B15" s="25" t="s">
        <v>797</v>
      </c>
      <c r="C15" s="25" t="s">
        <v>430</v>
      </c>
      <c r="D15" s="25" t="s">
        <v>386</v>
      </c>
      <c r="E15" s="25" t="s">
        <v>935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1456</v>
      </c>
      <c r="C16" s="27" t="s">
        <v>1456</v>
      </c>
      <c r="D16" s="27" t="s">
        <v>1580</v>
      </c>
      <c r="E16" s="27" t="s">
        <v>1456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1403</v>
      </c>
      <c r="C17" s="28" t="s">
        <v>1581</v>
      </c>
      <c r="D17" s="28" t="s">
        <v>1582</v>
      </c>
      <c r="E17" s="28" t="s">
        <v>1583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1318</v>
      </c>
      <c r="C18" s="21" t="s">
        <v>1368</v>
      </c>
      <c r="D18" s="21" t="s">
        <v>1584</v>
      </c>
      <c r="E18" s="21" t="s">
        <v>1342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1406</v>
      </c>
      <c r="C19" s="28" t="s">
        <v>1235</v>
      </c>
      <c r="D19" s="28" t="s">
        <v>1447</v>
      </c>
      <c r="E19" s="28" t="s">
        <v>1284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1585</v>
      </c>
      <c r="C20" s="21" t="s">
        <v>1411</v>
      </c>
      <c r="D20" s="21" t="s">
        <v>1586</v>
      </c>
      <c r="E20" s="21" t="s">
        <v>1587</v>
      </c>
      <c r="F20" s="21" t="s">
        <v>1177</v>
      </c>
      <c r="G20" s="21" t="s">
        <v>1177</v>
      </c>
      <c r="H20" s="26"/>
    </row>
    <row r="21">
      <c r="A21" s="29"/>
      <c r="B21" s="21" t="s">
        <v>1328</v>
      </c>
      <c r="C21" s="21" t="s">
        <v>1588</v>
      </c>
      <c r="D21" s="21" t="s">
        <v>1395</v>
      </c>
      <c r="E21" s="21" t="s">
        <v>1261</v>
      </c>
      <c r="F21" s="21" t="s">
        <v>1177</v>
      </c>
      <c r="G21" s="21" t="s">
        <v>1177</v>
      </c>
      <c r="H21" s="26"/>
    </row>
    <row r="22">
      <c r="A22" s="29"/>
      <c r="B22" s="21" t="s">
        <v>1377</v>
      </c>
      <c r="C22" s="21" t="s">
        <v>1201</v>
      </c>
      <c r="D22" s="21" t="s">
        <v>1578</v>
      </c>
      <c r="E22" s="21" t="s">
        <v>1589</v>
      </c>
      <c r="F22" s="21" t="s">
        <v>1177</v>
      </c>
      <c r="G22" s="21" t="s">
        <v>1177</v>
      </c>
      <c r="H22" s="26"/>
    </row>
    <row r="23">
      <c r="A23" s="24"/>
      <c r="B23" s="21" t="s">
        <v>1590</v>
      </c>
      <c r="C23" s="21" t="s">
        <v>1377</v>
      </c>
      <c r="D23" s="21" t="s">
        <v>1590</v>
      </c>
      <c r="E23" s="21" t="s">
        <v>1591</v>
      </c>
      <c r="F23" s="21" t="s">
        <v>1177</v>
      </c>
      <c r="G23" s="21" t="s">
        <v>1177</v>
      </c>
      <c r="H23" s="30"/>
      <c r="I23" s="14"/>
    </row>
    <row r="24">
      <c r="A24" s="37"/>
      <c r="B24" s="38" t="s">
        <v>1227</v>
      </c>
      <c r="C24" s="14"/>
      <c r="D24" s="14"/>
      <c r="E24" s="14"/>
      <c r="F24" s="14"/>
      <c r="G24" s="14"/>
      <c r="H24" s="24"/>
      <c r="I24" s="33"/>
    </row>
    <row r="25">
      <c r="A25" s="16" t="s">
        <v>1174</v>
      </c>
      <c r="B25" s="17" t="s">
        <v>1592</v>
      </c>
      <c r="C25" s="18"/>
      <c r="D25" s="18"/>
      <c r="E25" s="18"/>
      <c r="F25" s="18"/>
      <c r="G25" s="18"/>
      <c r="H25" s="18"/>
      <c r="I25" s="16"/>
    </row>
    <row r="26" ht="60.0" customHeight="1">
      <c r="A26" s="20" t="s">
        <v>1176</v>
      </c>
      <c r="B26" s="21" t="str">
        <f t="array" ref="B26">iferror(VLOOKUP(INDIRECT(ADDRESS(ROW()+1,COLUMN(), 4)),Dex!$A$2:$C213,3,false),"")</f>
        <v/>
      </c>
      <c r="C26" s="21" t="str">
        <f t="array" ref="C26">iferror(VLOOKUP(INDIRECT(ADDRESS(ROW()+1,COLUMN(), 4)),Dex!$A$2:$C213,3,false),"")</f>
        <v/>
      </c>
      <c r="D26" s="21" t="s">
        <v>1177</v>
      </c>
      <c r="E26" s="21" t="s">
        <v>1177</v>
      </c>
      <c r="F26" s="21" t="s">
        <v>1177</v>
      </c>
      <c r="G26" s="21" t="s">
        <v>1177</v>
      </c>
      <c r="H26" s="22" t="str">
        <f t="array" ref="H26">iferror(VLOOKUP("TRAINER_PIC_RICH_BOY",Sprites!$A$1:$B213,2,false),"")</f>
        <v/>
      </c>
      <c r="I26" s="23"/>
    </row>
    <row r="27">
      <c r="A27" s="24"/>
      <c r="B27" s="25" t="s">
        <v>848</v>
      </c>
      <c r="C27" s="25" t="s">
        <v>353</v>
      </c>
      <c r="D27" s="25" t="s">
        <v>1177</v>
      </c>
      <c r="E27" s="25" t="s">
        <v>1177</v>
      </c>
      <c r="F27" s="25" t="s">
        <v>1177</v>
      </c>
      <c r="G27" s="25" t="s">
        <v>1177</v>
      </c>
      <c r="H27" s="26"/>
    </row>
    <row r="28">
      <c r="A28" s="16" t="s">
        <v>1178</v>
      </c>
      <c r="B28" s="27" t="s">
        <v>1456</v>
      </c>
      <c r="C28" s="27" t="s">
        <v>1580</v>
      </c>
      <c r="D28" s="21" t="s">
        <v>1177</v>
      </c>
      <c r="E28" s="21" t="s">
        <v>1177</v>
      </c>
      <c r="F28" s="21" t="s">
        <v>1177</v>
      </c>
      <c r="G28" s="21" t="s">
        <v>1177</v>
      </c>
      <c r="H28" s="26"/>
    </row>
    <row r="29">
      <c r="A29" s="16" t="s">
        <v>1181</v>
      </c>
      <c r="B29" s="28" t="s">
        <v>1295</v>
      </c>
      <c r="C29" s="28" t="s">
        <v>1295</v>
      </c>
      <c r="D29" s="28" t="s">
        <v>1177</v>
      </c>
      <c r="E29" s="28" t="s">
        <v>1177</v>
      </c>
      <c r="F29" s="28" t="s">
        <v>1177</v>
      </c>
      <c r="G29" s="28" t="s">
        <v>1177</v>
      </c>
      <c r="H29" s="26"/>
    </row>
    <row r="30">
      <c r="A30" s="16" t="s">
        <v>1182</v>
      </c>
      <c r="B30" s="21" t="s">
        <v>1593</v>
      </c>
      <c r="C30" s="21" t="s">
        <v>1298</v>
      </c>
      <c r="D30" s="21" t="s">
        <v>1177</v>
      </c>
      <c r="E30" s="21" t="s">
        <v>1177</v>
      </c>
      <c r="F30" s="21" t="s">
        <v>1177</v>
      </c>
      <c r="G30" s="21" t="s">
        <v>1177</v>
      </c>
      <c r="H30" s="26"/>
    </row>
    <row r="31">
      <c r="A31" s="16" t="s">
        <v>1186</v>
      </c>
      <c r="B31" s="28" t="s">
        <v>1446</v>
      </c>
      <c r="C31" s="28" t="s">
        <v>1235</v>
      </c>
      <c r="D31" s="28" t="s">
        <v>1177</v>
      </c>
      <c r="E31" s="28" t="s">
        <v>1177</v>
      </c>
      <c r="F31" s="28" t="s">
        <v>1177</v>
      </c>
      <c r="G31" s="28" t="s">
        <v>1177</v>
      </c>
      <c r="H31" s="26"/>
    </row>
    <row r="32">
      <c r="A32" s="20" t="s">
        <v>1188</v>
      </c>
      <c r="B32" s="21" t="s">
        <v>1214</v>
      </c>
      <c r="C32" s="21" t="s">
        <v>1594</v>
      </c>
      <c r="D32" s="21" t="s">
        <v>1177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1302</v>
      </c>
      <c r="C33" s="21" t="s">
        <v>1330</v>
      </c>
      <c r="D33" s="21" t="s">
        <v>1177</v>
      </c>
      <c r="E33" s="21" t="s">
        <v>1177</v>
      </c>
      <c r="F33" s="21" t="s">
        <v>1177</v>
      </c>
      <c r="G33" s="21" t="s">
        <v>1177</v>
      </c>
      <c r="H33" s="26"/>
    </row>
    <row r="34">
      <c r="A34" s="29"/>
      <c r="B34" s="21" t="s">
        <v>1237</v>
      </c>
      <c r="C34" s="21" t="s">
        <v>1309</v>
      </c>
      <c r="D34" s="21" t="s">
        <v>1177</v>
      </c>
      <c r="E34" s="21" t="s">
        <v>1177</v>
      </c>
      <c r="F34" s="21" t="s">
        <v>1177</v>
      </c>
      <c r="G34" s="21" t="s">
        <v>1177</v>
      </c>
      <c r="H34" s="26"/>
    </row>
    <row r="35">
      <c r="A35" s="24"/>
      <c r="B35" s="21" t="s">
        <v>1177</v>
      </c>
      <c r="C35" s="21" t="s">
        <v>1302</v>
      </c>
      <c r="D35" s="21" t="s">
        <v>1177</v>
      </c>
      <c r="E35" s="21" t="s">
        <v>1177</v>
      </c>
      <c r="F35" s="21" t="s">
        <v>1177</v>
      </c>
      <c r="G35" s="21" t="s">
        <v>1177</v>
      </c>
      <c r="H35" s="30"/>
      <c r="I35" s="14"/>
    </row>
    <row r="36">
      <c r="A36" s="16" t="s">
        <v>1174</v>
      </c>
      <c r="B36" s="17" t="s">
        <v>1595</v>
      </c>
      <c r="C36" s="18"/>
      <c r="D36" s="18"/>
      <c r="E36" s="18"/>
      <c r="F36" s="18"/>
      <c r="G36" s="18"/>
      <c r="H36" s="18"/>
      <c r="I36" s="16"/>
    </row>
    <row r="37" ht="60.0" customHeight="1">
      <c r="A37" s="20" t="s">
        <v>1176</v>
      </c>
      <c r="B37" s="21" t="str">
        <f t="array" ref="B37">iferror(VLOOKUP(INDIRECT(ADDRESS(ROW()+1,COLUMN(), 4)),Dex!$A$2:$C213,3,false),"")</f>
        <v/>
      </c>
      <c r="C37" s="21" t="str">
        <f t="array" ref="C37">iferror(VLOOKUP(INDIRECT(ADDRESS(ROW()+1,COLUMN(), 4)),Dex!$A$2:$C213,3,false),"")</f>
        <v/>
      </c>
      <c r="D37" s="21" t="str">
        <f t="array" ref="D37">iferror(VLOOKUP(INDIRECT(ADDRESS(ROW()+1,COLUMN(), 4)),Dex!$A$2:$C213,3,false),"")</f>
        <v/>
      </c>
      <c r="E37" s="21" t="s">
        <v>1177</v>
      </c>
      <c r="F37" s="21" t="s">
        <v>1177</v>
      </c>
      <c r="G37" s="21" t="s">
        <v>1177</v>
      </c>
      <c r="H37" s="22" t="str">
        <f t="array" ref="H37">iferror(VLOOKUP("TRAINER_PIC_FISHERMAN",Sprites!$A$1:$B213,2,false),"")</f>
        <v/>
      </c>
      <c r="I37" s="23"/>
    </row>
    <row r="38">
      <c r="A38" s="24"/>
      <c r="B38" s="25" t="s">
        <v>291</v>
      </c>
      <c r="C38" s="25" t="s">
        <v>173</v>
      </c>
      <c r="D38" s="25" t="s">
        <v>469</v>
      </c>
      <c r="E38" s="25" t="s">
        <v>1177</v>
      </c>
      <c r="F38" s="25" t="s">
        <v>1177</v>
      </c>
      <c r="G38" s="25" t="s">
        <v>1177</v>
      </c>
      <c r="H38" s="26"/>
    </row>
    <row r="39">
      <c r="A39" s="16" t="s">
        <v>1178</v>
      </c>
      <c r="B39" s="27" t="s">
        <v>1580</v>
      </c>
      <c r="C39" s="27" t="s">
        <v>1456</v>
      </c>
      <c r="D39" s="27" t="s">
        <v>1456</v>
      </c>
      <c r="E39" s="21" t="s">
        <v>1177</v>
      </c>
      <c r="F39" s="21" t="s">
        <v>1177</v>
      </c>
      <c r="G39" s="21" t="s">
        <v>1177</v>
      </c>
      <c r="H39" s="26"/>
    </row>
    <row r="40">
      <c r="A40" s="16" t="s">
        <v>1181</v>
      </c>
      <c r="B40" s="28" t="s">
        <v>1346</v>
      </c>
      <c r="C40" s="28" t="s">
        <v>1209</v>
      </c>
      <c r="D40" s="28" t="s">
        <v>1209</v>
      </c>
      <c r="E40" s="28" t="s">
        <v>1177</v>
      </c>
      <c r="F40" s="28" t="s">
        <v>1177</v>
      </c>
      <c r="G40" s="28" t="s">
        <v>1177</v>
      </c>
      <c r="H40" s="26"/>
    </row>
    <row r="41">
      <c r="A41" s="16" t="s">
        <v>1182</v>
      </c>
      <c r="B41" s="21" t="s">
        <v>1298</v>
      </c>
      <c r="C41" s="21" t="s">
        <v>1573</v>
      </c>
      <c r="D41" s="21" t="s">
        <v>1596</v>
      </c>
      <c r="E41" s="21" t="s">
        <v>1177</v>
      </c>
      <c r="F41" s="21" t="s">
        <v>1177</v>
      </c>
      <c r="G41" s="21" t="s">
        <v>1177</v>
      </c>
      <c r="H41" s="26"/>
    </row>
    <row r="42">
      <c r="A42" s="16" t="s">
        <v>1186</v>
      </c>
      <c r="B42" s="28" t="s">
        <v>1249</v>
      </c>
      <c r="C42" s="28" t="s">
        <v>1249</v>
      </c>
      <c r="D42" s="28" t="s">
        <v>1257</v>
      </c>
      <c r="E42" s="28" t="s">
        <v>1177</v>
      </c>
      <c r="F42" s="28" t="s">
        <v>1177</v>
      </c>
      <c r="G42" s="28" t="s">
        <v>1177</v>
      </c>
      <c r="H42" s="26"/>
    </row>
    <row r="43">
      <c r="A43" s="20" t="s">
        <v>1188</v>
      </c>
      <c r="B43" s="21" t="s">
        <v>1597</v>
      </c>
      <c r="C43" s="21" t="s">
        <v>1387</v>
      </c>
      <c r="D43" s="21" t="s">
        <v>1286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1350</v>
      </c>
      <c r="C44" s="21" t="s">
        <v>1214</v>
      </c>
      <c r="D44" s="21" t="s">
        <v>1598</v>
      </c>
      <c r="E44" s="21" t="s">
        <v>1177</v>
      </c>
      <c r="F44" s="21" t="s">
        <v>1177</v>
      </c>
      <c r="G44" s="21" t="s">
        <v>1177</v>
      </c>
      <c r="H44" s="26"/>
    </row>
    <row r="45">
      <c r="A45" s="29"/>
      <c r="B45" s="21" t="s">
        <v>1362</v>
      </c>
      <c r="C45" s="21" t="s">
        <v>1286</v>
      </c>
      <c r="D45" s="21" t="s">
        <v>1599</v>
      </c>
      <c r="E45" s="21" t="s">
        <v>1177</v>
      </c>
      <c r="F45" s="21" t="s">
        <v>1177</v>
      </c>
      <c r="G45" s="21" t="s">
        <v>1177</v>
      </c>
      <c r="H45" s="26"/>
    </row>
    <row r="46">
      <c r="A46" s="24"/>
      <c r="B46" s="21" t="s">
        <v>1389</v>
      </c>
      <c r="C46" s="21" t="s">
        <v>1600</v>
      </c>
      <c r="D46" s="21" t="s">
        <v>1389</v>
      </c>
      <c r="E46" s="21" t="s">
        <v>1177</v>
      </c>
      <c r="F46" s="21" t="s">
        <v>1177</v>
      </c>
      <c r="G46" s="21" t="s">
        <v>1177</v>
      </c>
      <c r="H46" s="30"/>
      <c r="I46" s="14"/>
    </row>
    <row r="47">
      <c r="A47" s="16" t="s">
        <v>1174</v>
      </c>
      <c r="B47" s="17" t="s">
        <v>1601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4)),Dex!$A$2:$C213,3,false),"")</f>
        <v/>
      </c>
      <c r="C48" s="21" t="str">
        <f t="array" ref="C48">iferror(VLOOKUP(INDIRECT(ADDRESS(ROW()+1,COLUMN(), 4)),Dex!$A$2:$C213,3,false),"")</f>
        <v/>
      </c>
      <c r="D48" s="21" t="str">
        <f t="array" ref="D48">iferror(VLOOKUP(INDIRECT(ADDRESS(ROW()+1,COLUMN(), 4)),Dex!$A$2:$C213,3,false),"")</f>
        <v/>
      </c>
      <c r="E48" s="21" t="str">
        <f t="array" ref="E48">iferror(VLOOKUP(INDIRECT(ADDRESS(ROW()+1,COLUMN(), 4)),Dex!$A$2:$C213,3,false),"")</f>
        <v/>
      </c>
      <c r="F48" s="21" t="s">
        <v>1177</v>
      </c>
      <c r="G48" s="21" t="s">
        <v>1177</v>
      </c>
      <c r="H48" s="22" t="str">
        <f t="array" ref="H48">iferror(VLOOKUP("TRAINER_PIC_TWINS",Sprites!$A$1:$B213,2,false),"")</f>
        <v/>
      </c>
      <c r="I48" s="23"/>
    </row>
    <row r="49">
      <c r="A49" s="24"/>
      <c r="B49" s="25" t="s">
        <v>876</v>
      </c>
      <c r="C49" s="25" t="s">
        <v>57</v>
      </c>
      <c r="D49" s="25" t="s">
        <v>95</v>
      </c>
      <c r="E49" s="25" t="s">
        <v>992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1580</v>
      </c>
      <c r="C50" s="27" t="s">
        <v>1456</v>
      </c>
      <c r="D50" s="27" t="s">
        <v>1455</v>
      </c>
      <c r="E50" s="27" t="s">
        <v>1414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1366</v>
      </c>
      <c r="C51" s="28" t="s">
        <v>1403</v>
      </c>
      <c r="D51" s="28" t="s">
        <v>1209</v>
      </c>
      <c r="E51" s="28" t="s">
        <v>1209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1602</v>
      </c>
      <c r="C52" s="21" t="s">
        <v>1603</v>
      </c>
      <c r="D52" s="21" t="s">
        <v>1604</v>
      </c>
      <c r="E52" s="21" t="s">
        <v>1199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1256</v>
      </c>
      <c r="C53" s="28" t="s">
        <v>1257</v>
      </c>
      <c r="D53" s="28" t="s">
        <v>1284</v>
      </c>
      <c r="E53" s="28" t="s">
        <v>1235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1605</v>
      </c>
      <c r="C54" s="21" t="s">
        <v>1606</v>
      </c>
      <c r="D54" s="21" t="s">
        <v>1287</v>
      </c>
      <c r="E54" s="21" t="s">
        <v>1607</v>
      </c>
      <c r="F54" s="21" t="s">
        <v>1177</v>
      </c>
      <c r="G54" s="21" t="s">
        <v>1177</v>
      </c>
      <c r="H54" s="26"/>
    </row>
    <row r="55">
      <c r="A55" s="29"/>
      <c r="B55" s="21" t="s">
        <v>1608</v>
      </c>
      <c r="C55" s="21" t="s">
        <v>1361</v>
      </c>
      <c r="D55" s="21" t="s">
        <v>1605</v>
      </c>
      <c r="E55" s="21" t="s">
        <v>1609</v>
      </c>
      <c r="F55" s="21" t="s">
        <v>1177</v>
      </c>
      <c r="G55" s="21" t="s">
        <v>1177</v>
      </c>
      <c r="H55" s="26"/>
    </row>
    <row r="56">
      <c r="A56" s="29"/>
      <c r="B56" s="21" t="s">
        <v>1177</v>
      </c>
      <c r="C56" s="21" t="s">
        <v>1177</v>
      </c>
      <c r="D56" s="21" t="s">
        <v>1177</v>
      </c>
      <c r="E56" s="21" t="s">
        <v>1225</v>
      </c>
      <c r="F56" s="21" t="s">
        <v>1177</v>
      </c>
      <c r="G56" s="21" t="s">
        <v>1177</v>
      </c>
      <c r="H56" s="26"/>
    </row>
    <row r="57">
      <c r="A57" s="24"/>
      <c r="B57" s="21" t="s">
        <v>1177</v>
      </c>
      <c r="C57" s="21" t="s">
        <v>1177</v>
      </c>
      <c r="D57" s="21" t="s">
        <v>1177</v>
      </c>
      <c r="E57" s="21" t="s">
        <v>1361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1610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4)),Dex!$A$2:$C213,3,false),"")</f>
        <v/>
      </c>
      <c r="C59" s="21" t="str">
        <f t="array" ref="C59">iferror(VLOOKUP(INDIRECT(ADDRESS(ROW()+1,COLUMN(), 4)),Dex!$A$2:$C213,3,false),"")</f>
        <v/>
      </c>
      <c r="D59" s="21" t="str">
        <f t="array" ref="D59">iferror(VLOOKUP(INDIRECT(ADDRESS(ROW()+1,COLUMN(), 4)),Dex!$A$2:$C213,3,false),"")</f>
        <v/>
      </c>
      <c r="E59" s="21" t="str">
        <f t="array" ref="E59">iferror(VLOOKUP(INDIRECT(ADDRESS(ROW()+1,COLUMN(), 4)),Dex!$A$2:$C213,3,false),"")</f>
        <v/>
      </c>
      <c r="F59" s="21" t="s">
        <v>1177</v>
      </c>
      <c r="G59" s="21" t="s">
        <v>1177</v>
      </c>
      <c r="H59" s="22" t="str">
        <f t="array" ref="H59">iferror(VLOOKUP("TRAINER_PIC_LASS",Sprites!$A$1:$B213,2,false),"")</f>
        <v/>
      </c>
      <c r="I59" s="23"/>
    </row>
    <row r="60">
      <c r="A60" s="24"/>
      <c r="B60" s="25" t="s">
        <v>578</v>
      </c>
      <c r="C60" s="25" t="s">
        <v>68</v>
      </c>
      <c r="D60" s="25" t="s">
        <v>512</v>
      </c>
      <c r="E60" s="25" t="s">
        <v>422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1580</v>
      </c>
      <c r="C61" s="27" t="s">
        <v>1456</v>
      </c>
      <c r="D61" s="27" t="s">
        <v>1580</v>
      </c>
      <c r="E61" s="27" t="s">
        <v>1611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1209</v>
      </c>
      <c r="C62" s="28" t="s">
        <v>1209</v>
      </c>
      <c r="D62" s="28" t="s">
        <v>1612</v>
      </c>
      <c r="E62" s="28" t="s">
        <v>1613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1614</v>
      </c>
      <c r="C63" s="21" t="s">
        <v>1615</v>
      </c>
      <c r="D63" s="21" t="s">
        <v>1298</v>
      </c>
      <c r="E63" s="21" t="s">
        <v>1616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1284</v>
      </c>
      <c r="C64" s="28" t="s">
        <v>1257</v>
      </c>
      <c r="D64" s="28" t="s">
        <v>1235</v>
      </c>
      <c r="E64" s="28" t="s">
        <v>1256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1617</v>
      </c>
      <c r="C65" s="21" t="s">
        <v>1337</v>
      </c>
      <c r="D65" s="21" t="s">
        <v>1415</v>
      </c>
      <c r="E65" s="21" t="s">
        <v>1618</v>
      </c>
      <c r="F65" s="21" t="s">
        <v>1177</v>
      </c>
      <c r="G65" s="21" t="s">
        <v>1177</v>
      </c>
      <c r="H65" s="26"/>
    </row>
    <row r="66">
      <c r="A66" s="29"/>
      <c r="B66" s="21" t="s">
        <v>1619</v>
      </c>
      <c r="C66" s="21" t="s">
        <v>1589</v>
      </c>
      <c r="D66" s="21" t="s">
        <v>1192</v>
      </c>
      <c r="E66" s="21" t="s">
        <v>1620</v>
      </c>
      <c r="F66" s="21" t="s">
        <v>1177</v>
      </c>
      <c r="G66" s="21" t="s">
        <v>1177</v>
      </c>
      <c r="H66" s="26"/>
    </row>
    <row r="67">
      <c r="A67" s="29"/>
      <c r="B67" s="21" t="s">
        <v>1621</v>
      </c>
      <c r="C67" s="21" t="s">
        <v>1622</v>
      </c>
      <c r="D67" s="21" t="s">
        <v>1329</v>
      </c>
      <c r="E67" s="21" t="s">
        <v>1328</v>
      </c>
      <c r="F67" s="21" t="s">
        <v>1177</v>
      </c>
      <c r="G67" s="21" t="s">
        <v>1177</v>
      </c>
      <c r="H67" s="26"/>
    </row>
    <row r="68">
      <c r="A68" s="24"/>
      <c r="B68" s="21" t="s">
        <v>1177</v>
      </c>
      <c r="C68" s="21" t="s">
        <v>1623</v>
      </c>
      <c r="D68" s="21" t="s">
        <v>1237</v>
      </c>
      <c r="E68" s="21" t="s">
        <v>1384</v>
      </c>
      <c r="F68" s="21" t="s">
        <v>1177</v>
      </c>
      <c r="G68" s="21" t="s">
        <v>1177</v>
      </c>
      <c r="H68" s="30"/>
      <c r="I68" s="14"/>
    </row>
    <row r="69">
      <c r="A69" s="37"/>
      <c r="B69" s="38" t="s">
        <v>1624</v>
      </c>
      <c r="C69" s="14"/>
      <c r="D69" s="14"/>
      <c r="E69" s="14"/>
      <c r="F69" s="14"/>
      <c r="G69" s="14"/>
      <c r="H69" s="24"/>
      <c r="I69" s="33"/>
    </row>
    <row r="70">
      <c r="A70" s="16" t="s">
        <v>1174</v>
      </c>
      <c r="B70" s="17" t="s">
        <v>1625</v>
      </c>
      <c r="C70" s="18"/>
      <c r="D70" s="18"/>
      <c r="E70" s="18"/>
      <c r="F70" s="18"/>
      <c r="G70" s="18"/>
      <c r="H70" s="18"/>
      <c r="I70" s="19"/>
    </row>
    <row r="71" ht="60.0" customHeight="1">
      <c r="A71" s="20" t="s">
        <v>1176</v>
      </c>
      <c r="B71" s="21" t="str">
        <f t="array" ref="B71">iferror(VLOOKUP(INDIRECT(ADDRESS(ROW()+1,COLUMN(), 4)),Dex!$A$2:$C213,3,false),"")</f>
        <v/>
      </c>
      <c r="C71" s="21" t="str">
        <f t="array" ref="C71">iferror(VLOOKUP(INDIRECT(ADDRESS(ROW()+1,COLUMN(), 4)),Dex!$A$2:$C213,3,false),"")</f>
        <v/>
      </c>
      <c r="D71" s="21" t="str">
        <f t="array" ref="D71">iferror(VLOOKUP(INDIRECT(ADDRESS(ROW()+1,COLUMN(), 4)),Dex!$A$2:$C213,3,false),"")</f>
        <v/>
      </c>
      <c r="E71" s="21" t="s">
        <v>1177</v>
      </c>
      <c r="F71" s="21" t="s">
        <v>1177</v>
      </c>
      <c r="G71" s="21" t="s">
        <v>1177</v>
      </c>
      <c r="H71" s="22" t="str">
        <f t="array" ref="H71">iferror(VLOOKUP("TRAINER_PIC_YOUNGSTER",Sprites!$A$1:$B213,2,false),"")</f>
        <v/>
      </c>
      <c r="I71" s="23"/>
    </row>
    <row r="72">
      <c r="A72" s="24"/>
      <c r="B72" s="25" t="s">
        <v>35</v>
      </c>
      <c r="C72" s="25" t="s">
        <v>357</v>
      </c>
      <c r="D72" s="25" t="s">
        <v>30</v>
      </c>
      <c r="E72" s="25" t="s">
        <v>1177</v>
      </c>
      <c r="F72" s="25" t="s">
        <v>1177</v>
      </c>
      <c r="G72" s="25" t="s">
        <v>1177</v>
      </c>
      <c r="H72" s="26"/>
    </row>
    <row r="73">
      <c r="A73" s="16" t="s">
        <v>1178</v>
      </c>
      <c r="B73" s="27" t="s">
        <v>1580</v>
      </c>
      <c r="C73" s="27" t="s">
        <v>1611</v>
      </c>
      <c r="D73" s="27" t="s">
        <v>1611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1181</v>
      </c>
      <c r="B74" s="28" t="s">
        <v>1418</v>
      </c>
      <c r="C74" s="28" t="s">
        <v>1209</v>
      </c>
      <c r="D74" s="28" t="s">
        <v>1209</v>
      </c>
      <c r="E74" s="28" t="s">
        <v>1177</v>
      </c>
      <c r="F74" s="28" t="s">
        <v>1177</v>
      </c>
      <c r="G74" s="28" t="s">
        <v>1177</v>
      </c>
      <c r="H74" s="26"/>
    </row>
    <row r="75">
      <c r="A75" s="16" t="s">
        <v>1182</v>
      </c>
      <c r="B75" s="21" t="s">
        <v>1419</v>
      </c>
      <c r="C75" s="21" t="s">
        <v>1626</v>
      </c>
      <c r="D75" s="21" t="s">
        <v>1185</v>
      </c>
      <c r="E75" s="21" t="s">
        <v>1177</v>
      </c>
      <c r="F75" s="21" t="s">
        <v>1177</v>
      </c>
      <c r="G75" s="21" t="s">
        <v>1177</v>
      </c>
      <c r="H75" s="26"/>
    </row>
    <row r="76">
      <c r="A76" s="16" t="s">
        <v>1186</v>
      </c>
      <c r="B76" s="28" t="s">
        <v>1235</v>
      </c>
      <c r="C76" s="28" t="s">
        <v>1235</v>
      </c>
      <c r="D76" s="28" t="s">
        <v>1269</v>
      </c>
      <c r="E76" s="28" t="s">
        <v>1177</v>
      </c>
      <c r="F76" s="28" t="s">
        <v>1177</v>
      </c>
      <c r="G76" s="28" t="s">
        <v>1177</v>
      </c>
      <c r="H76" s="26"/>
    </row>
    <row r="77">
      <c r="A77" s="20" t="s">
        <v>1188</v>
      </c>
      <c r="B77" s="21" t="s">
        <v>1627</v>
      </c>
      <c r="C77" s="21" t="s">
        <v>1466</v>
      </c>
      <c r="D77" s="21" t="s">
        <v>1619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1469</v>
      </c>
      <c r="C78" s="21" t="s">
        <v>1628</v>
      </c>
      <c r="D78" s="21" t="s">
        <v>1258</v>
      </c>
      <c r="E78" s="21" t="s">
        <v>1177</v>
      </c>
      <c r="F78" s="21" t="s">
        <v>1177</v>
      </c>
      <c r="G78" s="21" t="s">
        <v>1177</v>
      </c>
      <c r="H78" s="26"/>
    </row>
    <row r="79">
      <c r="A79" s="29"/>
      <c r="B79" s="21" t="s">
        <v>1321</v>
      </c>
      <c r="C79" s="21" t="s">
        <v>1577</v>
      </c>
      <c r="D79" s="21" t="s">
        <v>1629</v>
      </c>
      <c r="E79" s="21" t="s">
        <v>1177</v>
      </c>
      <c r="F79" s="21" t="s">
        <v>1177</v>
      </c>
      <c r="G79" s="21" t="s">
        <v>1177</v>
      </c>
      <c r="H79" s="26"/>
    </row>
    <row r="80">
      <c r="A80" s="24"/>
      <c r="B80" s="21" t="s">
        <v>1471</v>
      </c>
      <c r="C80" s="21" t="s">
        <v>1630</v>
      </c>
      <c r="D80" s="21" t="s">
        <v>1329</v>
      </c>
      <c r="E80" s="21" t="s">
        <v>1177</v>
      </c>
      <c r="F80" s="21" t="s">
        <v>1177</v>
      </c>
      <c r="G80" s="21" t="s">
        <v>1177</v>
      </c>
      <c r="H80" s="30"/>
      <c r="I80" s="14"/>
    </row>
    <row r="81">
      <c r="A81" s="16" t="s">
        <v>1174</v>
      </c>
      <c r="B81" s="17" t="s">
        <v>1631</v>
      </c>
      <c r="C81" s="18"/>
      <c r="D81" s="18"/>
      <c r="E81" s="18"/>
      <c r="F81" s="18"/>
      <c r="G81" s="18"/>
      <c r="H81" s="18"/>
      <c r="I81" s="16"/>
    </row>
    <row r="82" ht="60.0" customHeight="1">
      <c r="A82" s="20" t="s">
        <v>1176</v>
      </c>
      <c r="B82" s="21" t="str">
        <f t="array" ref="B82">iferror(VLOOKUP(INDIRECT(ADDRESS(ROW()+1,COLUMN(), 4)),Dex!$A$2:$C213,3,false),"")</f>
        <v/>
      </c>
      <c r="C82" s="21" t="str">
        <f t="array" ref="C82">iferror(VLOOKUP(INDIRECT(ADDRESS(ROW()+1,COLUMN(), 4)),Dex!$A$2:$C213,3,false),"")</f>
        <v/>
      </c>
      <c r="D82" s="21" t="str">
        <f t="array" ref="D82">iferror(VLOOKUP(INDIRECT(ADDRESS(ROW()+1,COLUMN(), 4)),Dex!$A$2:$C213,3,false),"")</f>
        <v/>
      </c>
      <c r="E82" s="21" t="s">
        <v>1177</v>
      </c>
      <c r="F82" s="21" t="s">
        <v>1177</v>
      </c>
      <c r="G82" s="21" t="s">
        <v>1177</v>
      </c>
      <c r="H82" s="22" t="str">
        <f t="array" ref="H82">iferror(VLOOKUP("TRAINER_PIC_LASS",Sprites!$A$1:$B213,2,false),"")</f>
        <v/>
      </c>
      <c r="I82" s="23"/>
    </row>
    <row r="83">
      <c r="A83" s="24"/>
      <c r="B83" s="25" t="s">
        <v>928</v>
      </c>
      <c r="C83" s="25" t="s">
        <v>916</v>
      </c>
      <c r="D83" s="25" t="s">
        <v>699</v>
      </c>
      <c r="E83" s="25" t="s">
        <v>1177</v>
      </c>
      <c r="F83" s="25" t="s">
        <v>1177</v>
      </c>
      <c r="G83" s="25" t="s">
        <v>1177</v>
      </c>
      <c r="H83" s="26"/>
    </row>
    <row r="84">
      <c r="A84" s="16" t="s">
        <v>1178</v>
      </c>
      <c r="B84" s="27" t="s">
        <v>1611</v>
      </c>
      <c r="C84" s="27" t="s">
        <v>1580</v>
      </c>
      <c r="D84" s="27" t="s">
        <v>1632</v>
      </c>
      <c r="E84" s="21" t="s">
        <v>1177</v>
      </c>
      <c r="F84" s="21" t="s">
        <v>1177</v>
      </c>
      <c r="G84" s="21" t="s">
        <v>1177</v>
      </c>
      <c r="H84" s="26"/>
    </row>
    <row r="85">
      <c r="A85" s="16" t="s">
        <v>1181</v>
      </c>
      <c r="B85" s="28" t="s">
        <v>1209</v>
      </c>
      <c r="C85" s="28" t="s">
        <v>1226</v>
      </c>
      <c r="D85" s="28" t="s">
        <v>1633</v>
      </c>
      <c r="E85" s="28" t="s">
        <v>1177</v>
      </c>
      <c r="F85" s="28" t="s">
        <v>1177</v>
      </c>
      <c r="G85" s="28" t="s">
        <v>1177</v>
      </c>
      <c r="H85" s="26"/>
    </row>
    <row r="86">
      <c r="A86" s="16" t="s">
        <v>1182</v>
      </c>
      <c r="B86" s="21" t="s">
        <v>1634</v>
      </c>
      <c r="C86" s="21" t="s">
        <v>1635</v>
      </c>
      <c r="D86" s="21" t="s">
        <v>1636</v>
      </c>
      <c r="E86" s="21" t="s">
        <v>1177</v>
      </c>
      <c r="F86" s="21" t="s">
        <v>1177</v>
      </c>
      <c r="G86" s="21" t="s">
        <v>1177</v>
      </c>
      <c r="H86" s="26"/>
    </row>
    <row r="87">
      <c r="A87" s="16" t="s">
        <v>1186</v>
      </c>
      <c r="B87" s="28" t="s">
        <v>1249</v>
      </c>
      <c r="C87" s="28" t="s">
        <v>1257</v>
      </c>
      <c r="D87" s="28" t="s">
        <v>1284</v>
      </c>
      <c r="E87" s="28" t="s">
        <v>1177</v>
      </c>
      <c r="F87" s="28" t="s">
        <v>1177</v>
      </c>
      <c r="G87" s="28" t="s">
        <v>1177</v>
      </c>
      <c r="H87" s="26"/>
    </row>
    <row r="88">
      <c r="A88" s="20" t="s">
        <v>1188</v>
      </c>
      <c r="B88" s="21" t="s">
        <v>1637</v>
      </c>
      <c r="C88" s="21" t="s">
        <v>1638</v>
      </c>
      <c r="D88" s="21" t="s">
        <v>1371</v>
      </c>
      <c r="E88" s="21" t="s">
        <v>1177</v>
      </c>
      <c r="F88" s="21" t="s">
        <v>1177</v>
      </c>
      <c r="G88" s="21" t="s">
        <v>1177</v>
      </c>
      <c r="H88" s="26"/>
    </row>
    <row r="89">
      <c r="A89" s="29"/>
      <c r="B89" s="21" t="s">
        <v>1375</v>
      </c>
      <c r="C89" s="21" t="s">
        <v>1177</v>
      </c>
      <c r="D89" s="21" t="s">
        <v>1605</v>
      </c>
      <c r="E89" s="21" t="s">
        <v>1177</v>
      </c>
      <c r="F89" s="21" t="s">
        <v>1177</v>
      </c>
      <c r="G89" s="21" t="s">
        <v>1177</v>
      </c>
      <c r="H89" s="26"/>
    </row>
    <row r="90">
      <c r="A90" s="29"/>
      <c r="B90" s="21" t="s">
        <v>1639</v>
      </c>
      <c r="C90" s="21" t="s">
        <v>1177</v>
      </c>
      <c r="D90" s="21" t="s">
        <v>1640</v>
      </c>
      <c r="E90" s="21" t="s">
        <v>1177</v>
      </c>
      <c r="F90" s="21" t="s">
        <v>1177</v>
      </c>
      <c r="G90" s="21" t="s">
        <v>1177</v>
      </c>
      <c r="H90" s="26"/>
    </row>
    <row r="91">
      <c r="A91" s="24"/>
      <c r="B91" s="21" t="s">
        <v>1641</v>
      </c>
      <c r="C91" s="21" t="s">
        <v>1177</v>
      </c>
      <c r="D91" s="21" t="s">
        <v>1378</v>
      </c>
      <c r="E91" s="21" t="s">
        <v>1177</v>
      </c>
      <c r="F91" s="21" t="s">
        <v>1177</v>
      </c>
      <c r="G91" s="21" t="s">
        <v>1177</v>
      </c>
      <c r="H91" s="30"/>
      <c r="I91" s="14"/>
    </row>
    <row r="92">
      <c r="A92" s="16" t="s">
        <v>1174</v>
      </c>
      <c r="B92" s="17" t="s">
        <v>1642</v>
      </c>
      <c r="C92" s="18"/>
      <c r="D92" s="18"/>
      <c r="E92" s="18"/>
      <c r="F92" s="18"/>
      <c r="G92" s="18"/>
      <c r="H92" s="18"/>
      <c r="I92" s="19"/>
    </row>
    <row r="93" ht="60.0" customHeight="1">
      <c r="A93" s="20" t="s">
        <v>1176</v>
      </c>
      <c r="B93" s="21" t="str">
        <f t="array" ref="B93">iferror(VLOOKUP(INDIRECT(ADDRESS(ROW()+1,COLUMN(), 4)),Dex!$A$2:$C213,3,false),"")</f>
        <v/>
      </c>
      <c r="C93" s="21" t="str">
        <f t="array" ref="C93">iferror(VLOOKUP(INDIRECT(ADDRESS(ROW()+1,COLUMN(), 4)),Dex!$A$2:$C213,3,false),"")</f>
        <v/>
      </c>
      <c r="D93" s="21" t="s">
        <v>1177</v>
      </c>
      <c r="E93" s="21" t="s">
        <v>1177</v>
      </c>
      <c r="F93" s="21" t="s">
        <v>1177</v>
      </c>
      <c r="G93" s="21" t="s">
        <v>1177</v>
      </c>
      <c r="H93" s="22" t="str">
        <f t="array" ref="H93">iferror(VLOOKUP("TRAINER_PIC_RICH_BOY",Sprites!$A$1:$B213,2,false),"")</f>
        <v/>
      </c>
      <c r="I93" s="23"/>
    </row>
    <row r="94">
      <c r="A94" s="24"/>
      <c r="B94" s="25" t="s">
        <v>990</v>
      </c>
      <c r="C94" s="25" t="s">
        <v>193</v>
      </c>
      <c r="D94" s="25" t="s">
        <v>1177</v>
      </c>
      <c r="E94" s="25" t="s">
        <v>1177</v>
      </c>
      <c r="F94" s="25" t="s">
        <v>1177</v>
      </c>
      <c r="G94" s="25" t="s">
        <v>1177</v>
      </c>
      <c r="H94" s="26"/>
    </row>
    <row r="95">
      <c r="A95" s="16" t="s">
        <v>1178</v>
      </c>
      <c r="B95" s="27" t="s">
        <v>1580</v>
      </c>
      <c r="C95" s="27" t="s">
        <v>1611</v>
      </c>
      <c r="D95" s="21" t="s">
        <v>1177</v>
      </c>
      <c r="E95" s="21" t="s">
        <v>1177</v>
      </c>
      <c r="F95" s="21" t="s">
        <v>1177</v>
      </c>
      <c r="G95" s="21" t="s">
        <v>1177</v>
      </c>
      <c r="H95" s="26"/>
    </row>
    <row r="96">
      <c r="A96" s="16" t="s">
        <v>1181</v>
      </c>
      <c r="B96" s="28" t="s">
        <v>1643</v>
      </c>
      <c r="C96" s="28" t="s">
        <v>1366</v>
      </c>
      <c r="D96" s="28" t="s">
        <v>1177</v>
      </c>
      <c r="E96" s="28" t="s">
        <v>1177</v>
      </c>
      <c r="F96" s="28" t="s">
        <v>1177</v>
      </c>
      <c r="G96" s="28" t="s">
        <v>1177</v>
      </c>
      <c r="H96" s="26"/>
    </row>
    <row r="97">
      <c r="A97" s="16" t="s">
        <v>1182</v>
      </c>
      <c r="B97" s="21" t="s">
        <v>1644</v>
      </c>
      <c r="C97" s="21" t="s">
        <v>1298</v>
      </c>
      <c r="D97" s="21" t="s">
        <v>1177</v>
      </c>
      <c r="E97" s="21" t="s">
        <v>1177</v>
      </c>
      <c r="F97" s="21" t="s">
        <v>1177</v>
      </c>
      <c r="G97" s="21" t="s">
        <v>1177</v>
      </c>
      <c r="H97" s="26"/>
    </row>
    <row r="98">
      <c r="A98" s="16" t="s">
        <v>1186</v>
      </c>
      <c r="B98" s="28" t="s">
        <v>1248</v>
      </c>
      <c r="C98" s="28" t="s">
        <v>1284</v>
      </c>
      <c r="D98" s="28" t="s">
        <v>1177</v>
      </c>
      <c r="E98" s="28" t="s">
        <v>1177</v>
      </c>
      <c r="F98" s="28" t="s">
        <v>1177</v>
      </c>
      <c r="G98" s="28" t="s">
        <v>1177</v>
      </c>
      <c r="H98" s="26"/>
    </row>
    <row r="99">
      <c r="A99" s="20" t="s">
        <v>1188</v>
      </c>
      <c r="B99" s="21" t="s">
        <v>1407</v>
      </c>
      <c r="C99" s="21" t="s">
        <v>1645</v>
      </c>
      <c r="D99" s="21" t="s">
        <v>1177</v>
      </c>
      <c r="E99" s="21" t="s">
        <v>1177</v>
      </c>
      <c r="F99" s="21" t="s">
        <v>1177</v>
      </c>
      <c r="G99" s="21" t="s">
        <v>1177</v>
      </c>
      <c r="H99" s="26"/>
    </row>
    <row r="100">
      <c r="A100" s="29"/>
      <c r="B100" s="21" t="s">
        <v>1646</v>
      </c>
      <c r="C100" s="21" t="s">
        <v>1177</v>
      </c>
      <c r="D100" s="21" t="s">
        <v>1177</v>
      </c>
      <c r="E100" s="21" t="s">
        <v>1177</v>
      </c>
      <c r="F100" s="21" t="s">
        <v>1177</v>
      </c>
      <c r="G100" s="21" t="s">
        <v>1177</v>
      </c>
      <c r="H100" s="26"/>
    </row>
    <row r="101">
      <c r="A101" s="29"/>
      <c r="B101" s="21" t="s">
        <v>1321</v>
      </c>
      <c r="C101" s="21" t="s">
        <v>1177</v>
      </c>
      <c r="D101" s="21" t="s">
        <v>1177</v>
      </c>
      <c r="E101" s="21" t="s">
        <v>1177</v>
      </c>
      <c r="F101" s="21" t="s">
        <v>1177</v>
      </c>
      <c r="G101" s="21" t="s">
        <v>1177</v>
      </c>
      <c r="H101" s="26"/>
    </row>
    <row r="102">
      <c r="A102" s="24"/>
      <c r="B102" s="21" t="s">
        <v>1471</v>
      </c>
      <c r="C102" s="21" t="s">
        <v>1177</v>
      </c>
      <c r="D102" s="21" t="s">
        <v>1177</v>
      </c>
      <c r="E102" s="21" t="s">
        <v>1177</v>
      </c>
      <c r="F102" s="21" t="s">
        <v>1177</v>
      </c>
      <c r="G102" s="21" t="s">
        <v>1177</v>
      </c>
      <c r="H102" s="30"/>
      <c r="I102" s="14"/>
    </row>
    <row r="103">
      <c r="A103" s="16" t="s">
        <v>1174</v>
      </c>
      <c r="B103" s="17" t="s">
        <v>1647</v>
      </c>
      <c r="C103" s="18"/>
      <c r="D103" s="18"/>
      <c r="E103" s="18"/>
      <c r="F103" s="18"/>
      <c r="G103" s="18"/>
      <c r="H103" s="18"/>
      <c r="I103" s="16"/>
    </row>
    <row r="104" ht="60.0" customHeight="1">
      <c r="A104" s="20" t="s">
        <v>1176</v>
      </c>
      <c r="B104" s="21" t="str">
        <f t="array" ref="B104">iferror(VLOOKUP(INDIRECT(ADDRESS(ROW()+1,COLUMN(), 4)),Dex!$A$2:$C213,3,false),"")</f>
        <v/>
      </c>
      <c r="C104" s="21" t="str">
        <f t="array" ref="C104">iferror(VLOOKUP(INDIRECT(ADDRESS(ROW()+1,COLUMN(), 4)),Dex!$A$2:$C213,3,false),"")</f>
        <v/>
      </c>
      <c r="D104" s="21" t="s">
        <v>1177</v>
      </c>
      <c r="E104" s="21" t="str">
        <f t="array" ref="E104">iferror(VLOOKUP(INDIRECT(ADDRESS(ROW()+1,COLUMN(), 4)),Dex!$A$2:$C213,3,false),"")</f>
        <v/>
      </c>
      <c r="F104" s="21" t="str">
        <f t="array" ref="F104">iferror(VLOOKUP(INDIRECT(ADDRESS(ROW()+1,COLUMN(), 4)),Dex!$A$2:$C213,3,false),"")</f>
        <v/>
      </c>
      <c r="G104" s="21"/>
      <c r="H104" s="22" t="str">
        <f t="array" ref="H104">iferror(VLOOKUP("TRAINER_PIC_YOUNGSTER",Sprites!$A$1:$B213,2,false),"")</f>
        <v/>
      </c>
      <c r="I104" s="23"/>
    </row>
    <row r="105">
      <c r="A105" s="24"/>
      <c r="B105" s="25" t="s">
        <v>667</v>
      </c>
      <c r="C105" s="25" t="s">
        <v>378</v>
      </c>
      <c r="D105" s="25" t="s">
        <v>1177</v>
      </c>
      <c r="E105" s="25" t="s">
        <v>550</v>
      </c>
      <c r="F105" s="25" t="s">
        <v>298</v>
      </c>
      <c r="G105" s="25" t="s">
        <v>1177</v>
      </c>
      <c r="H105" s="26"/>
    </row>
    <row r="106">
      <c r="A106" s="16" t="s">
        <v>1178</v>
      </c>
      <c r="B106" s="27" t="s">
        <v>1611</v>
      </c>
      <c r="C106" s="27" t="s">
        <v>1632</v>
      </c>
      <c r="D106" s="21" t="s">
        <v>1177</v>
      </c>
      <c r="E106" s="27" t="s">
        <v>1611</v>
      </c>
      <c r="F106" s="27" t="s">
        <v>1611</v>
      </c>
      <c r="G106" s="21" t="s">
        <v>1177</v>
      </c>
      <c r="H106" s="26"/>
    </row>
    <row r="107">
      <c r="A107" s="16" t="s">
        <v>1181</v>
      </c>
      <c r="B107" s="28" t="s">
        <v>1281</v>
      </c>
      <c r="C107" s="28" t="s">
        <v>1209</v>
      </c>
      <c r="D107" s="28" t="s">
        <v>1177</v>
      </c>
      <c r="E107" s="28" t="s">
        <v>1209</v>
      </c>
      <c r="F107" s="28" t="s">
        <v>1247</v>
      </c>
      <c r="G107" s="28" t="s">
        <v>1177</v>
      </c>
      <c r="H107" s="26"/>
    </row>
    <row r="108">
      <c r="A108" s="16" t="s">
        <v>1182</v>
      </c>
      <c r="B108" s="21" t="s">
        <v>1648</v>
      </c>
      <c r="C108" s="21" t="s">
        <v>1298</v>
      </c>
      <c r="D108" s="21" t="s">
        <v>1177</v>
      </c>
      <c r="E108" s="21" t="s">
        <v>1405</v>
      </c>
      <c r="F108" s="21" t="s">
        <v>1356</v>
      </c>
      <c r="G108" s="21" t="s">
        <v>1177</v>
      </c>
      <c r="H108" s="26"/>
    </row>
    <row r="109">
      <c r="A109" s="16" t="s">
        <v>1186</v>
      </c>
      <c r="B109" s="28" t="s">
        <v>1284</v>
      </c>
      <c r="C109" s="28" t="s">
        <v>1284</v>
      </c>
      <c r="D109" s="28" t="s">
        <v>1177</v>
      </c>
      <c r="E109" s="28" t="s">
        <v>1235</v>
      </c>
      <c r="F109" s="28" t="s">
        <v>1235</v>
      </c>
      <c r="G109" s="28" t="s">
        <v>1177</v>
      </c>
      <c r="H109" s="26"/>
    </row>
    <row r="110">
      <c r="A110" s="20" t="s">
        <v>1188</v>
      </c>
      <c r="B110" s="21" t="s">
        <v>1649</v>
      </c>
      <c r="C110" s="21" t="s">
        <v>1650</v>
      </c>
      <c r="D110" s="21" t="s">
        <v>1177</v>
      </c>
      <c r="E110" s="21" t="s">
        <v>1225</v>
      </c>
      <c r="F110" s="21" t="s">
        <v>1323</v>
      </c>
      <c r="G110" s="21" t="s">
        <v>1177</v>
      </c>
      <c r="H110" s="26"/>
    </row>
    <row r="111">
      <c r="A111" s="29"/>
      <c r="B111" s="21" t="s">
        <v>1387</v>
      </c>
      <c r="C111" s="21" t="s">
        <v>1335</v>
      </c>
      <c r="D111" s="21" t="s">
        <v>1177</v>
      </c>
      <c r="E111" s="21" t="s">
        <v>1376</v>
      </c>
      <c r="F111" s="21" t="s">
        <v>1307</v>
      </c>
      <c r="G111" s="21" t="s">
        <v>1177</v>
      </c>
      <c r="H111" s="26"/>
    </row>
    <row r="112">
      <c r="A112" s="29"/>
      <c r="B112" s="21" t="s">
        <v>1621</v>
      </c>
      <c r="C112" s="21" t="s">
        <v>1468</v>
      </c>
      <c r="D112" s="21" t="s">
        <v>1177</v>
      </c>
      <c r="E112" s="21" t="s">
        <v>1591</v>
      </c>
      <c r="F112" s="21" t="s">
        <v>1651</v>
      </c>
      <c r="G112" s="21" t="s">
        <v>1177</v>
      </c>
      <c r="H112" s="26"/>
    </row>
    <row r="113">
      <c r="A113" s="24"/>
      <c r="B113" s="21" t="s">
        <v>1652</v>
      </c>
      <c r="C113" s="21" t="s">
        <v>1285</v>
      </c>
      <c r="D113" s="21" t="s">
        <v>1177</v>
      </c>
      <c r="E113" s="21" t="s">
        <v>1311</v>
      </c>
      <c r="F113" s="21" t="s">
        <v>1321</v>
      </c>
      <c r="G113" s="21" t="s">
        <v>1177</v>
      </c>
      <c r="H113" s="30"/>
      <c r="I113" s="14"/>
    </row>
    <row r="114">
      <c r="A114" s="16" t="s">
        <v>1174</v>
      </c>
      <c r="B114" s="17" t="s">
        <v>1653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4)),Dex!$A$2:$C213,3,false),"")</f>
        <v/>
      </c>
      <c r="C115" s="21" t="str">
        <f t="array" ref="C115">iferror(VLOOKUP(INDIRECT(ADDRESS(ROW()+1,COLUMN(), 4)),Dex!$A$2:$C213,3,false),"")</f>
        <v/>
      </c>
      <c r="D115" s="21" t="str">
        <f t="array" ref="D115">iferror(VLOOKUP(INDIRECT(ADDRESS(ROW()+1,COLUMN(), 4)),Dex!$A$2:$C213,3,false),"")</f>
        <v/>
      </c>
      <c r="E115" s="21" t="s">
        <v>1177</v>
      </c>
      <c r="F115" s="21" t="s">
        <v>1177</v>
      </c>
      <c r="G115" s="21" t="s">
        <v>1177</v>
      </c>
      <c r="H115" s="22" t="str">
        <f t="array" ref="H115">iferror(VLOOKUP("TRAINER_PIC_BUG_CATCHER",Sprites!$A$1:$B213,2,false),"")</f>
        <v/>
      </c>
      <c r="I115" s="23"/>
    </row>
    <row r="116">
      <c r="A116" s="24"/>
      <c r="B116" s="25" t="s">
        <v>186</v>
      </c>
      <c r="C116" s="25" t="s">
        <v>793</v>
      </c>
      <c r="D116" s="25" t="s">
        <v>837</v>
      </c>
      <c r="E116" s="25" t="s">
        <v>1177</v>
      </c>
      <c r="F116" s="25" t="s">
        <v>1177</v>
      </c>
      <c r="G116" s="25" t="s">
        <v>1177</v>
      </c>
      <c r="H116" s="26"/>
    </row>
    <row r="117">
      <c r="A117" s="16" t="s">
        <v>1178</v>
      </c>
      <c r="B117" s="27" t="s">
        <v>1632</v>
      </c>
      <c r="C117" s="27" t="s">
        <v>1611</v>
      </c>
      <c r="D117" s="27" t="s">
        <v>1632</v>
      </c>
      <c r="E117" s="21" t="s">
        <v>1177</v>
      </c>
      <c r="F117" s="21" t="s">
        <v>1177</v>
      </c>
      <c r="G117" s="21" t="s">
        <v>1177</v>
      </c>
      <c r="H117" s="26"/>
    </row>
    <row r="118">
      <c r="A118" s="16" t="s">
        <v>1181</v>
      </c>
      <c r="B118" s="28" t="s">
        <v>1209</v>
      </c>
      <c r="C118" s="28" t="s">
        <v>1209</v>
      </c>
      <c r="D118" s="28" t="s">
        <v>1209</v>
      </c>
      <c r="E118" s="28" t="s">
        <v>1177</v>
      </c>
      <c r="F118" s="28" t="s">
        <v>1177</v>
      </c>
      <c r="G118" s="28" t="s">
        <v>1177</v>
      </c>
      <c r="H118" s="26"/>
    </row>
    <row r="119">
      <c r="A119" s="16" t="s">
        <v>1182</v>
      </c>
      <c r="B119" s="21" t="s">
        <v>1654</v>
      </c>
      <c r="C119" s="21" t="s">
        <v>1198</v>
      </c>
      <c r="D119" s="21" t="s">
        <v>1342</v>
      </c>
      <c r="E119" s="21" t="s">
        <v>1177</v>
      </c>
      <c r="F119" s="21" t="s">
        <v>1177</v>
      </c>
      <c r="G119" s="21" t="s">
        <v>1177</v>
      </c>
      <c r="H119" s="26"/>
    </row>
    <row r="120">
      <c r="A120" s="16" t="s">
        <v>1186</v>
      </c>
      <c r="B120" s="28" t="s">
        <v>1235</v>
      </c>
      <c r="C120" s="28" t="s">
        <v>1235</v>
      </c>
      <c r="D120" s="28" t="s">
        <v>1257</v>
      </c>
      <c r="E120" s="28" t="s">
        <v>1177</v>
      </c>
      <c r="F120" s="28" t="s">
        <v>1177</v>
      </c>
      <c r="G120" s="28" t="s">
        <v>1177</v>
      </c>
      <c r="H120" s="26"/>
    </row>
    <row r="121">
      <c r="A121" s="20" t="s">
        <v>1188</v>
      </c>
      <c r="B121" s="21" t="s">
        <v>1586</v>
      </c>
      <c r="C121" s="21" t="s">
        <v>1655</v>
      </c>
      <c r="D121" s="21" t="s">
        <v>1650</v>
      </c>
      <c r="E121" s="21" t="s">
        <v>1177</v>
      </c>
      <c r="F121" s="21" t="s">
        <v>1177</v>
      </c>
      <c r="G121" s="21" t="s">
        <v>1177</v>
      </c>
      <c r="H121" s="26"/>
    </row>
    <row r="122">
      <c r="A122" s="29"/>
      <c r="B122" s="21" t="s">
        <v>1438</v>
      </c>
      <c r="C122" s="21" t="s">
        <v>1607</v>
      </c>
      <c r="D122" s="21" t="s">
        <v>1619</v>
      </c>
      <c r="E122" s="21" t="s">
        <v>1177</v>
      </c>
      <c r="F122" s="21" t="s">
        <v>1177</v>
      </c>
      <c r="G122" s="21" t="s">
        <v>1177</v>
      </c>
      <c r="H122" s="26"/>
    </row>
    <row r="123">
      <c r="A123" s="29"/>
      <c r="B123" s="21" t="s">
        <v>1656</v>
      </c>
      <c r="C123" s="21" t="s">
        <v>1586</v>
      </c>
      <c r="D123" s="21" t="s">
        <v>1657</v>
      </c>
      <c r="E123" s="21" t="s">
        <v>1177</v>
      </c>
      <c r="F123" s="21" t="s">
        <v>1177</v>
      </c>
      <c r="G123" s="21" t="s">
        <v>1177</v>
      </c>
      <c r="H123" s="26"/>
    </row>
    <row r="124">
      <c r="A124" s="24"/>
      <c r="B124" s="21" t="s">
        <v>1410</v>
      </c>
      <c r="C124" s="21" t="s">
        <v>1658</v>
      </c>
      <c r="D124" s="21" t="s">
        <v>1377</v>
      </c>
      <c r="E124" s="21" t="s">
        <v>1177</v>
      </c>
      <c r="F124" s="21" t="s">
        <v>1177</v>
      </c>
      <c r="G124" s="21" t="s">
        <v>1177</v>
      </c>
      <c r="H124" s="30"/>
      <c r="I124" s="14"/>
    </row>
    <row r="125">
      <c r="A125" s="16" t="s">
        <v>1174</v>
      </c>
      <c r="B125" s="17" t="s">
        <v>1659</v>
      </c>
      <c r="C125" s="18"/>
      <c r="D125" s="18"/>
      <c r="E125" s="18"/>
      <c r="F125" s="18"/>
      <c r="G125" s="18"/>
      <c r="H125" s="18"/>
      <c r="I125" s="16"/>
    </row>
    <row r="126" ht="60.0" customHeight="1">
      <c r="A126" s="20" t="s">
        <v>1176</v>
      </c>
      <c r="B126" s="21" t="str">
        <f t="array" ref="B126">iferror(VLOOKUP(INDIRECT(ADDRESS(ROW()+1,COLUMN(), 4)),Dex!$A$2:$C213,3,false),"")</f>
        <v/>
      </c>
      <c r="C126" s="21" t="str">
        <f t="array" ref="C126">iferror(VLOOKUP(INDIRECT(ADDRESS(ROW()+1,COLUMN(), 4)),Dex!$A$2:$C213,3,false),"")</f>
        <v/>
      </c>
      <c r="D126" s="21" t="s">
        <v>1177</v>
      </c>
      <c r="E126" s="21" t="s">
        <v>1177</v>
      </c>
      <c r="F126" s="21" t="s">
        <v>1177</v>
      </c>
      <c r="G126" s="21" t="s">
        <v>1177</v>
      </c>
      <c r="H126" s="22" t="str">
        <f t="array" ref="H126">iferror(VLOOKUP("TRAINER_PIC_LADY",Sprites!$A$1:$B213,2,false),"")</f>
        <v/>
      </c>
      <c r="I126" s="23"/>
    </row>
    <row r="127">
      <c r="A127" s="24"/>
      <c r="B127" s="25" t="s">
        <v>290</v>
      </c>
      <c r="C127" s="25" t="s">
        <v>1105</v>
      </c>
      <c r="D127" s="25" t="s">
        <v>1177</v>
      </c>
      <c r="E127" s="25" t="s">
        <v>1177</v>
      </c>
      <c r="F127" s="25" t="s">
        <v>1177</v>
      </c>
      <c r="G127" s="25" t="s">
        <v>1177</v>
      </c>
      <c r="H127" s="26"/>
    </row>
    <row r="128">
      <c r="A128" s="16" t="s">
        <v>1178</v>
      </c>
      <c r="B128" s="27" t="s">
        <v>1632</v>
      </c>
      <c r="C128" s="27" t="s">
        <v>1632</v>
      </c>
      <c r="D128" s="21" t="s">
        <v>1177</v>
      </c>
      <c r="E128" s="21" t="s">
        <v>1177</v>
      </c>
      <c r="F128" s="21" t="s">
        <v>1177</v>
      </c>
      <c r="G128" s="21" t="s">
        <v>1177</v>
      </c>
      <c r="H128" s="26"/>
    </row>
    <row r="129">
      <c r="A129" s="16" t="s">
        <v>1181</v>
      </c>
      <c r="B129" s="28" t="s">
        <v>1366</v>
      </c>
      <c r="C129" s="28" t="s">
        <v>1660</v>
      </c>
      <c r="D129" s="28" t="s">
        <v>1177</v>
      </c>
      <c r="E129" s="28" t="s">
        <v>1177</v>
      </c>
      <c r="F129" s="28" t="s">
        <v>1177</v>
      </c>
      <c r="G129" s="28" t="s">
        <v>1177</v>
      </c>
      <c r="H129" s="26"/>
    </row>
    <row r="130">
      <c r="A130" s="16" t="s">
        <v>1182</v>
      </c>
      <c r="B130" s="21" t="s">
        <v>1298</v>
      </c>
      <c r="C130" s="21" t="s">
        <v>1661</v>
      </c>
      <c r="D130" s="21" t="s">
        <v>1177</v>
      </c>
      <c r="E130" s="21" t="s">
        <v>1177</v>
      </c>
      <c r="F130" s="21" t="s">
        <v>1177</v>
      </c>
      <c r="G130" s="21" t="s">
        <v>1177</v>
      </c>
      <c r="H130" s="26"/>
    </row>
    <row r="131">
      <c r="A131" s="16" t="s">
        <v>1186</v>
      </c>
      <c r="B131" s="28" t="s">
        <v>1406</v>
      </c>
      <c r="C131" s="28" t="s">
        <v>1383</v>
      </c>
      <c r="D131" s="28" t="s">
        <v>1177</v>
      </c>
      <c r="E131" s="28" t="s">
        <v>1177</v>
      </c>
      <c r="F131" s="28" t="s">
        <v>1177</v>
      </c>
      <c r="G131" s="28" t="s">
        <v>1177</v>
      </c>
      <c r="H131" s="26"/>
    </row>
    <row r="132">
      <c r="A132" s="20" t="s">
        <v>1188</v>
      </c>
      <c r="B132" s="21" t="s">
        <v>1372</v>
      </c>
      <c r="C132" s="21" t="s">
        <v>1662</v>
      </c>
      <c r="D132" s="21" t="s">
        <v>1177</v>
      </c>
      <c r="E132" s="21" t="s">
        <v>1177</v>
      </c>
      <c r="F132" s="21" t="s">
        <v>1177</v>
      </c>
      <c r="G132" s="21" t="s">
        <v>1177</v>
      </c>
      <c r="H132" s="26"/>
    </row>
    <row r="133">
      <c r="A133" s="29"/>
      <c r="B133" s="21" t="s">
        <v>1321</v>
      </c>
      <c r="C133" s="21" t="s">
        <v>1426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1594</v>
      </c>
      <c r="C134" s="21" t="s">
        <v>1663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4"/>
      <c r="B135" s="21" t="s">
        <v>1410</v>
      </c>
      <c r="C135" s="21" t="s">
        <v>1664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30"/>
      <c r="I135" s="14"/>
    </row>
    <row r="136">
      <c r="A136" s="16" t="s">
        <v>1174</v>
      </c>
      <c r="B136" s="17" t="s">
        <v>1665</v>
      </c>
      <c r="C136" s="18"/>
      <c r="D136" s="18"/>
      <c r="E136" s="18"/>
      <c r="F136" s="18"/>
      <c r="G136" s="18"/>
      <c r="H136" s="18"/>
      <c r="I136" s="16"/>
    </row>
    <row r="137" ht="60.0" customHeight="1">
      <c r="A137" s="20" t="s">
        <v>1176</v>
      </c>
      <c r="B137" s="21" t="str">
        <f t="array" ref="B137">iferror(VLOOKUP(INDIRECT(ADDRESS(ROW()+1,COLUMN(), 4)),Dex!$A$2:$C213,3,false),"")</f>
        <v/>
      </c>
      <c r="C137" s="21" t="str">
        <f t="array" ref="C137">iferror(VLOOKUP(INDIRECT(ADDRESS(ROW()+1,COLUMN(), 4)),Dex!$A$2:$C213,3,false),"")</f>
        <v/>
      </c>
      <c r="D137" s="21" t="str">
        <f t="array" ref="D137">iferror(VLOOKUP(INDIRECT(ADDRESS(ROW()+1,COLUMN(), 4)),Dex!$A$2:$C213,3,false),"")</f>
        <v/>
      </c>
      <c r="E137" s="21" t="s">
        <v>1177</v>
      </c>
      <c r="F137" s="21" t="s">
        <v>1177</v>
      </c>
      <c r="G137" s="21" t="s">
        <v>1177</v>
      </c>
      <c r="H137" s="22" t="str">
        <f t="array" ref="H137">iferror(VLOOKUP("TRAINER_PIC_SCHOOL_KID_F",Sprites!$A$1:$B213,2,false),"")</f>
        <v/>
      </c>
      <c r="I137" s="23"/>
    </row>
    <row r="138">
      <c r="A138" s="24"/>
      <c r="B138" s="25" t="s">
        <v>169</v>
      </c>
      <c r="C138" s="25" t="s">
        <v>1083</v>
      </c>
      <c r="D138" s="25" t="s">
        <v>43</v>
      </c>
      <c r="E138" s="25" t="s">
        <v>1177</v>
      </c>
      <c r="F138" s="25" t="s">
        <v>1177</v>
      </c>
      <c r="G138" s="25" t="s">
        <v>1177</v>
      </c>
      <c r="H138" s="26"/>
    </row>
    <row r="139">
      <c r="A139" s="16" t="s">
        <v>1178</v>
      </c>
      <c r="B139" s="27" t="s">
        <v>1666</v>
      </c>
      <c r="C139" s="27" t="s">
        <v>1632</v>
      </c>
      <c r="D139" s="27" t="s">
        <v>1632</v>
      </c>
      <c r="E139" s="21" t="s">
        <v>1177</v>
      </c>
      <c r="F139" s="21" t="s">
        <v>1177</v>
      </c>
      <c r="G139" s="21" t="s">
        <v>1177</v>
      </c>
      <c r="H139" s="26"/>
    </row>
    <row r="140">
      <c r="A140" s="16" t="s">
        <v>1181</v>
      </c>
      <c r="B140" s="28" t="s">
        <v>1209</v>
      </c>
      <c r="C140" s="28" t="s">
        <v>1366</v>
      </c>
      <c r="D140" s="28" t="s">
        <v>1209</v>
      </c>
      <c r="E140" s="28" t="s">
        <v>1177</v>
      </c>
      <c r="F140" s="28" t="s">
        <v>1177</v>
      </c>
      <c r="G140" s="28" t="s">
        <v>1177</v>
      </c>
      <c r="H140" s="26"/>
    </row>
    <row r="141">
      <c r="A141" s="16" t="s">
        <v>1182</v>
      </c>
      <c r="B141" s="21" t="s">
        <v>1667</v>
      </c>
      <c r="C141" s="21" t="s">
        <v>1668</v>
      </c>
      <c r="D141" s="21" t="s">
        <v>1669</v>
      </c>
      <c r="E141" s="21" t="s">
        <v>1177</v>
      </c>
      <c r="F141" s="21" t="s">
        <v>1177</v>
      </c>
      <c r="G141" s="21" t="s">
        <v>1177</v>
      </c>
      <c r="H141" s="26"/>
    </row>
    <row r="142">
      <c r="A142" s="16" t="s">
        <v>1186</v>
      </c>
      <c r="B142" s="28" t="s">
        <v>1394</v>
      </c>
      <c r="C142" s="28" t="s">
        <v>1249</v>
      </c>
      <c r="D142" s="28" t="s">
        <v>1269</v>
      </c>
      <c r="E142" s="28" t="s">
        <v>1177</v>
      </c>
      <c r="F142" s="28" t="s">
        <v>1177</v>
      </c>
      <c r="G142" s="28" t="s">
        <v>1177</v>
      </c>
      <c r="H142" s="26"/>
    </row>
    <row r="143">
      <c r="A143" s="20" t="s">
        <v>1188</v>
      </c>
      <c r="B143" s="21" t="s">
        <v>1285</v>
      </c>
      <c r="C143" s="21" t="s">
        <v>1617</v>
      </c>
      <c r="D143" s="21" t="s">
        <v>1670</v>
      </c>
      <c r="E143" s="21" t="s">
        <v>1177</v>
      </c>
      <c r="F143" s="21" t="s">
        <v>1177</v>
      </c>
      <c r="G143" s="21" t="s">
        <v>1177</v>
      </c>
      <c r="H143" s="26"/>
    </row>
    <row r="144">
      <c r="A144" s="29"/>
      <c r="B144" s="21" t="s">
        <v>1373</v>
      </c>
      <c r="C144" s="21" t="s">
        <v>1671</v>
      </c>
      <c r="D144" s="21" t="s">
        <v>1617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1384</v>
      </c>
      <c r="C145" s="21" t="s">
        <v>1598</v>
      </c>
      <c r="D145" s="21" t="s">
        <v>1652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4"/>
      <c r="B146" s="21" t="s">
        <v>1277</v>
      </c>
      <c r="C146" s="21" t="s">
        <v>1270</v>
      </c>
      <c r="D146" s="21" t="s">
        <v>1672</v>
      </c>
      <c r="E146" s="21" t="s">
        <v>1177</v>
      </c>
      <c r="F146" s="21" t="s">
        <v>1177</v>
      </c>
      <c r="G146" s="21" t="s">
        <v>1177</v>
      </c>
      <c r="H146" s="30"/>
      <c r="I146" s="14"/>
    </row>
    <row r="147">
      <c r="A147" s="16" t="s">
        <v>1174</v>
      </c>
      <c r="B147" s="17" t="s">
        <v>1673</v>
      </c>
      <c r="C147" s="18"/>
      <c r="D147" s="18"/>
      <c r="E147" s="18"/>
      <c r="F147" s="18"/>
      <c r="G147" s="18"/>
      <c r="H147" s="18"/>
      <c r="I147" s="16"/>
    </row>
    <row r="148" ht="60.0" customHeight="1">
      <c r="A148" s="20" t="s">
        <v>1176</v>
      </c>
      <c r="B148" s="21" t="str">
        <f t="array" ref="B148">iferror(VLOOKUP(INDIRECT(ADDRESS(ROW()+1,COLUMN(), 4)),Dex!$A$2:$C213,3,false),"")</f>
        <v/>
      </c>
      <c r="C148" s="21" t="str">
        <f t="array" ref="C148">iferror(VLOOKUP(INDIRECT(ADDRESS(ROW()+1,COLUMN(), 4)),Dex!$A$2:$C213,3,false),"")</f>
        <v/>
      </c>
      <c r="D148" s="21" t="s">
        <v>1177</v>
      </c>
      <c r="E148" s="21" t="s">
        <v>1177</v>
      </c>
      <c r="F148" s="21" t="s">
        <v>1177</v>
      </c>
      <c r="G148" s="21" t="s">
        <v>1177</v>
      </c>
      <c r="H148" s="22" t="str">
        <f t="array" ref="H148">iferror(VLOOKUP("TRAINER_PIC_HIKER",Sprites!$A$1:$B213,2,false),"")</f>
        <v/>
      </c>
      <c r="I148" s="23"/>
    </row>
    <row r="149">
      <c r="A149" s="24"/>
      <c r="B149" s="25" t="s">
        <v>76</v>
      </c>
      <c r="C149" s="25" t="s">
        <v>77</v>
      </c>
      <c r="D149" s="25" t="s">
        <v>1177</v>
      </c>
      <c r="E149" s="25" t="s">
        <v>1177</v>
      </c>
      <c r="F149" s="25" t="s">
        <v>1177</v>
      </c>
      <c r="G149" s="25" t="s">
        <v>1177</v>
      </c>
      <c r="H149" s="26"/>
    </row>
    <row r="150">
      <c r="A150" s="16" t="s">
        <v>1178</v>
      </c>
      <c r="B150" s="27" t="s">
        <v>1666</v>
      </c>
      <c r="C150" s="27" t="s">
        <v>1666</v>
      </c>
      <c r="D150" s="21" t="s">
        <v>1177</v>
      </c>
      <c r="E150" s="21" t="s">
        <v>1177</v>
      </c>
      <c r="F150" s="21" t="s">
        <v>1177</v>
      </c>
      <c r="G150" s="21" t="s">
        <v>1177</v>
      </c>
      <c r="H150" s="26"/>
    </row>
    <row r="151">
      <c r="A151" s="16" t="s">
        <v>1181</v>
      </c>
      <c r="B151" s="28" t="s">
        <v>1674</v>
      </c>
      <c r="C151" s="28" t="s">
        <v>1247</v>
      </c>
      <c r="D151" s="28" t="s">
        <v>1177</v>
      </c>
      <c r="E151" s="28" t="s">
        <v>1177</v>
      </c>
      <c r="F151" s="28" t="s">
        <v>1177</v>
      </c>
      <c r="G151" s="28" t="s">
        <v>1177</v>
      </c>
      <c r="H151" s="26"/>
    </row>
    <row r="152">
      <c r="A152" s="16" t="s">
        <v>1182</v>
      </c>
      <c r="B152" s="21" t="s">
        <v>1675</v>
      </c>
      <c r="C152" s="21" t="s">
        <v>1676</v>
      </c>
      <c r="D152" s="21" t="s">
        <v>1177</v>
      </c>
      <c r="E152" s="21" t="s">
        <v>1177</v>
      </c>
      <c r="F152" s="21" t="s">
        <v>1177</v>
      </c>
      <c r="G152" s="21" t="s">
        <v>1177</v>
      </c>
      <c r="H152" s="26"/>
    </row>
    <row r="153">
      <c r="A153" s="16" t="s">
        <v>1186</v>
      </c>
      <c r="B153" s="28" t="s">
        <v>1235</v>
      </c>
      <c r="C153" s="28" t="s">
        <v>1235</v>
      </c>
      <c r="D153" s="28" t="s">
        <v>1177</v>
      </c>
      <c r="E153" s="28" t="s">
        <v>1177</v>
      </c>
      <c r="F153" s="28" t="s">
        <v>1177</v>
      </c>
      <c r="G153" s="28" t="s">
        <v>1177</v>
      </c>
      <c r="H153" s="26"/>
    </row>
    <row r="154">
      <c r="A154" s="20" t="s">
        <v>1188</v>
      </c>
      <c r="B154" s="21" t="s">
        <v>1677</v>
      </c>
      <c r="C154" s="21" t="s">
        <v>1677</v>
      </c>
      <c r="D154" s="21" t="s">
        <v>1177</v>
      </c>
      <c r="E154" s="21" t="s">
        <v>1177</v>
      </c>
      <c r="F154" s="21" t="s">
        <v>1177</v>
      </c>
      <c r="G154" s="21" t="s">
        <v>1177</v>
      </c>
      <c r="H154" s="26"/>
    </row>
    <row r="155">
      <c r="A155" s="29"/>
      <c r="B155" s="21" t="s">
        <v>1577</v>
      </c>
      <c r="C155" s="21" t="s">
        <v>1607</v>
      </c>
      <c r="D155" s="21" t="s">
        <v>1177</v>
      </c>
      <c r="E155" s="21" t="s">
        <v>1177</v>
      </c>
      <c r="F155" s="21" t="s">
        <v>1177</v>
      </c>
      <c r="G155" s="21" t="s">
        <v>1177</v>
      </c>
      <c r="H155" s="26"/>
    </row>
    <row r="156">
      <c r="A156" s="29"/>
      <c r="B156" s="21" t="s">
        <v>1628</v>
      </c>
      <c r="C156" s="21" t="s">
        <v>1678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4"/>
      <c r="B157" s="21" t="s">
        <v>1679</v>
      </c>
      <c r="C157" s="21" t="s">
        <v>1359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30"/>
      <c r="I157" s="14"/>
    </row>
    <row r="158">
      <c r="A158" s="16" t="s">
        <v>1174</v>
      </c>
      <c r="B158" s="17" t="s">
        <v>1680</v>
      </c>
      <c r="C158" s="18"/>
      <c r="D158" s="18"/>
      <c r="E158" s="18"/>
      <c r="F158" s="18"/>
      <c r="G158" s="18"/>
      <c r="H158" s="18"/>
      <c r="I158" s="16"/>
    </row>
    <row r="159" ht="60.0" customHeight="1">
      <c r="A159" s="20" t="s">
        <v>1176</v>
      </c>
      <c r="B159" s="21" t="str">
        <f t="array" ref="B159">iferror(VLOOKUP(INDIRECT(ADDRESS(ROW()+1,COLUMN(), 4)),Dex!$A$2:$C213,3,false),"")</f>
        <v/>
      </c>
      <c r="C159" s="21" t="str">
        <f t="array" ref="C159">iferror(VLOOKUP(INDIRECT(ADDRESS(ROW()+1,COLUMN(), 4)),Dex!$A$2:$C213,3,false),"")</f>
        <v/>
      </c>
      <c r="D159" s="21" t="str">
        <f t="array" ref="D159">iferror(VLOOKUP(INDIRECT(ADDRESS(ROW()+1,COLUMN(), 4)),Dex!$A$2:$C213,3,false),"")</f>
        <v/>
      </c>
      <c r="E159" s="21" t="s">
        <v>1177</v>
      </c>
      <c r="F159" s="21" t="s">
        <v>1177</v>
      </c>
      <c r="G159" s="21" t="s">
        <v>1177</v>
      </c>
      <c r="H159" s="22" t="str">
        <f t="array" ref="H159">iferror(VLOOKUP("TRAINER_PIC_HIKER",Sprites!$A$1:$B213,2,false),"")</f>
        <v/>
      </c>
      <c r="I159" s="23"/>
    </row>
    <row r="160">
      <c r="A160" s="24"/>
      <c r="B160" s="25" t="s">
        <v>87</v>
      </c>
      <c r="C160" s="25" t="s">
        <v>1067</v>
      </c>
      <c r="D160" s="25" t="s">
        <v>286</v>
      </c>
      <c r="E160" s="25" t="s">
        <v>1177</v>
      </c>
      <c r="F160" s="25" t="s">
        <v>1177</v>
      </c>
      <c r="G160" s="25" t="s">
        <v>1177</v>
      </c>
      <c r="H160" s="26"/>
    </row>
    <row r="161">
      <c r="A161" s="16" t="s">
        <v>1178</v>
      </c>
      <c r="B161" s="27" t="s">
        <v>1666</v>
      </c>
      <c r="C161" s="27" t="s">
        <v>1666</v>
      </c>
      <c r="D161" s="27" t="s">
        <v>1666</v>
      </c>
      <c r="E161" s="21" t="s">
        <v>1177</v>
      </c>
      <c r="F161" s="21" t="s">
        <v>1177</v>
      </c>
      <c r="G161" s="21" t="s">
        <v>1177</v>
      </c>
      <c r="H161" s="26"/>
    </row>
    <row r="162">
      <c r="A162" s="16" t="s">
        <v>1181</v>
      </c>
      <c r="B162" s="28" t="s">
        <v>1209</v>
      </c>
      <c r="C162" s="28" t="s">
        <v>1209</v>
      </c>
      <c r="D162" s="28" t="s">
        <v>1282</v>
      </c>
      <c r="E162" s="28" t="s">
        <v>1177</v>
      </c>
      <c r="F162" s="28" t="s">
        <v>1177</v>
      </c>
      <c r="G162" s="28" t="s">
        <v>1177</v>
      </c>
      <c r="H162" s="26"/>
    </row>
    <row r="163">
      <c r="A163" s="16" t="s">
        <v>1182</v>
      </c>
      <c r="B163" s="21" t="s">
        <v>1405</v>
      </c>
      <c r="C163" s="21" t="s">
        <v>1681</v>
      </c>
      <c r="D163" s="21" t="s">
        <v>1654</v>
      </c>
      <c r="E163" s="21" t="s">
        <v>1177</v>
      </c>
      <c r="F163" s="21" t="s">
        <v>1177</v>
      </c>
      <c r="G163" s="21" t="s">
        <v>1177</v>
      </c>
      <c r="H163" s="26"/>
    </row>
    <row r="164">
      <c r="A164" s="16" t="s">
        <v>1186</v>
      </c>
      <c r="B164" s="28" t="s">
        <v>1235</v>
      </c>
      <c r="C164" s="28" t="s">
        <v>1248</v>
      </c>
      <c r="D164" s="28" t="s">
        <v>1235</v>
      </c>
      <c r="E164" s="28" t="s">
        <v>1177</v>
      </c>
      <c r="F164" s="28" t="s">
        <v>1177</v>
      </c>
      <c r="G164" s="28" t="s">
        <v>1177</v>
      </c>
      <c r="H164" s="26"/>
    </row>
    <row r="165">
      <c r="A165" s="20" t="s">
        <v>1188</v>
      </c>
      <c r="B165" s="21" t="s">
        <v>1682</v>
      </c>
      <c r="C165" s="21" t="s">
        <v>1683</v>
      </c>
      <c r="D165" s="21" t="s">
        <v>1411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1678</v>
      </c>
      <c r="C166" s="21" t="s">
        <v>1438</v>
      </c>
      <c r="D166" s="21" t="s">
        <v>1238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1577</v>
      </c>
      <c r="C167" s="21" t="s">
        <v>1594</v>
      </c>
      <c r="D167" s="21" t="s">
        <v>1684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4"/>
      <c r="B168" s="21" t="s">
        <v>1600</v>
      </c>
      <c r="C168" s="21" t="s">
        <v>1685</v>
      </c>
      <c r="D168" s="21" t="s">
        <v>1307</v>
      </c>
      <c r="E168" s="21" t="s">
        <v>1177</v>
      </c>
      <c r="F168" s="21" t="s">
        <v>1177</v>
      </c>
      <c r="G168" s="21" t="s">
        <v>1177</v>
      </c>
      <c r="H168" s="30"/>
      <c r="I168" s="14"/>
    </row>
    <row r="169">
      <c r="A169" s="37"/>
      <c r="B169" s="38" t="s">
        <v>1686</v>
      </c>
      <c r="C169" s="14"/>
      <c r="D169" s="14"/>
      <c r="E169" s="14"/>
      <c r="F169" s="14"/>
      <c r="G169" s="14"/>
      <c r="H169" s="24"/>
      <c r="I169" s="33"/>
    </row>
    <row r="170">
      <c r="A170" s="16" t="s">
        <v>1174</v>
      </c>
      <c r="B170" s="17" t="s">
        <v>1687</v>
      </c>
      <c r="C170" s="18"/>
      <c r="D170" s="18"/>
      <c r="E170" s="18"/>
      <c r="F170" s="18"/>
      <c r="G170" s="18"/>
      <c r="H170" s="18"/>
      <c r="I170" s="16"/>
    </row>
    <row r="171" ht="60.0" customHeight="1">
      <c r="A171" s="20" t="s">
        <v>1176</v>
      </c>
      <c r="B171" s="21" t="str">
        <f t="array" ref="B171">iferror(VLOOKUP(INDIRECT(ADDRESS(ROW()+1,COLUMN(), 4)),Dex!$A$2:$C213,3,false),"")</f>
        <v/>
      </c>
      <c r="C171" s="21" t="str">
        <f t="array" ref="C171">iferror(VLOOKUP(INDIRECT(ADDRESS(ROW()+1,COLUMN(), 4)),Dex!$A$2:$C213,3,false),"")</f>
        <v/>
      </c>
      <c r="D171" s="21" t="str">
        <f t="array" ref="D171">iferror(VLOOKUP(INDIRECT(ADDRESS(ROW()+1,COLUMN(), 4)),Dex!$A$2:$C213,3,false),"")</f>
        <v/>
      </c>
      <c r="E171" s="21" t="s">
        <v>1177</v>
      </c>
      <c r="F171" s="21" t="s">
        <v>1177</v>
      </c>
      <c r="G171" s="21" t="s">
        <v>1177</v>
      </c>
      <c r="H171" s="22" t="str">
        <f t="array" ref="H171">iferror(VLOOKUP("TRAINER_PIC_YOUNGSTER",Sprites!$A$1:$B213,2,false),"")</f>
        <v/>
      </c>
      <c r="I171" s="23"/>
    </row>
    <row r="172">
      <c r="A172" s="24"/>
      <c r="B172" s="25" t="s">
        <v>870</v>
      </c>
      <c r="C172" s="25" t="s">
        <v>722</v>
      </c>
      <c r="D172" s="25" t="s">
        <v>523</v>
      </c>
      <c r="E172" s="25" t="s">
        <v>1177</v>
      </c>
      <c r="F172" s="25" t="s">
        <v>1177</v>
      </c>
      <c r="G172" s="25" t="s">
        <v>1177</v>
      </c>
      <c r="H172" s="26"/>
    </row>
    <row r="173">
      <c r="A173" s="16" t="s">
        <v>1178</v>
      </c>
      <c r="B173" s="27" t="s">
        <v>1611</v>
      </c>
      <c r="C173" s="27" t="s">
        <v>1611</v>
      </c>
      <c r="D173" s="27" t="s">
        <v>1611</v>
      </c>
      <c r="E173" s="21" t="s">
        <v>1177</v>
      </c>
      <c r="F173" s="21" t="s">
        <v>1177</v>
      </c>
      <c r="G173" s="21" t="s">
        <v>1177</v>
      </c>
      <c r="H173" s="26"/>
    </row>
    <row r="174">
      <c r="A174" s="16" t="s">
        <v>1181</v>
      </c>
      <c r="B174" s="28" t="s">
        <v>1209</v>
      </c>
      <c r="C174" s="28" t="s">
        <v>1688</v>
      </c>
      <c r="D174" s="28" t="s">
        <v>1209</v>
      </c>
      <c r="E174" s="28" t="s">
        <v>1177</v>
      </c>
      <c r="F174" s="28" t="s">
        <v>1177</v>
      </c>
      <c r="G174" s="28" t="s">
        <v>1177</v>
      </c>
      <c r="H174" s="26"/>
    </row>
    <row r="175">
      <c r="A175" s="16" t="s">
        <v>1182</v>
      </c>
      <c r="B175" s="21" t="s">
        <v>1199</v>
      </c>
      <c r="C175" s="21" t="s">
        <v>1689</v>
      </c>
      <c r="D175" s="21" t="s">
        <v>1690</v>
      </c>
      <c r="E175" s="21" t="s">
        <v>1177</v>
      </c>
      <c r="F175" s="21" t="s">
        <v>1177</v>
      </c>
      <c r="G175" s="21" t="s">
        <v>1177</v>
      </c>
      <c r="H175" s="26"/>
    </row>
    <row r="176">
      <c r="A176" s="16" t="s">
        <v>1186</v>
      </c>
      <c r="B176" s="28" t="s">
        <v>1235</v>
      </c>
      <c r="C176" s="28" t="s">
        <v>1248</v>
      </c>
      <c r="D176" s="28" t="s">
        <v>1235</v>
      </c>
      <c r="E176" s="28" t="s">
        <v>1177</v>
      </c>
      <c r="F176" s="28" t="s">
        <v>1177</v>
      </c>
      <c r="G176" s="28" t="s">
        <v>1177</v>
      </c>
      <c r="H176" s="26"/>
    </row>
    <row r="177">
      <c r="A177" s="20" t="s">
        <v>1188</v>
      </c>
      <c r="B177" s="21" t="s">
        <v>1438</v>
      </c>
      <c r="C177" s="21" t="s">
        <v>1438</v>
      </c>
      <c r="D177" s="21" t="s">
        <v>1360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1588</v>
      </c>
      <c r="C178" s="21" t="s">
        <v>1177</v>
      </c>
      <c r="D178" s="21" t="s">
        <v>1469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1411</v>
      </c>
      <c r="C179" s="21" t="s">
        <v>1177</v>
      </c>
      <c r="D179" s="21" t="s">
        <v>1330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4"/>
      <c r="B180" s="21" t="s">
        <v>1327</v>
      </c>
      <c r="C180" s="21" t="s">
        <v>1177</v>
      </c>
      <c r="D180" s="21" t="s">
        <v>1189</v>
      </c>
      <c r="E180" s="21" t="s">
        <v>1177</v>
      </c>
      <c r="F180" s="21" t="s">
        <v>1177</v>
      </c>
      <c r="G180" s="21" t="s">
        <v>1177</v>
      </c>
      <c r="H180" s="30"/>
      <c r="I180" s="14"/>
    </row>
    <row r="181">
      <c r="A181" s="16" t="s">
        <v>1174</v>
      </c>
      <c r="B181" s="17" t="s">
        <v>1691</v>
      </c>
      <c r="C181" s="18"/>
      <c r="D181" s="18"/>
      <c r="E181" s="18"/>
      <c r="F181" s="18"/>
      <c r="G181" s="18"/>
      <c r="H181" s="18"/>
      <c r="I181" s="16"/>
    </row>
    <row r="182" ht="60.0" customHeight="1">
      <c r="A182" s="20" t="s">
        <v>1176</v>
      </c>
      <c r="B182" s="21" t="str">
        <f t="array" ref="B182">iferror(VLOOKUP(INDIRECT(ADDRESS(ROW()+1,COLUMN(), 4)),Dex!$A$2:$C213,3,false),"")</f>
        <v/>
      </c>
      <c r="C182" s="21" t="str">
        <f t="array" ref="C182">iferror(VLOOKUP(INDIRECT(ADDRESS(ROW()+1,COLUMN(), 4)),Dex!$A$2:$C213,3,false),"")</f>
        <v/>
      </c>
      <c r="D182" s="21" t="str">
        <f t="array" ref="D182">iferror(VLOOKUP(INDIRECT(ADDRESS(ROW()+1,COLUMN(), 4)),Dex!$A$2:$C213,3,false),"")</f>
        <v/>
      </c>
      <c r="E182" s="21" t="str">
        <f t="array" ref="E182">iferror(VLOOKUP(INDIRECT(ADDRESS(ROW()+1,COLUMN(), 4)),Dex!$A$2:$C213,3,false),"")</f>
        <v/>
      </c>
      <c r="F182" s="21" t="s">
        <v>1177</v>
      </c>
      <c r="G182" s="21" t="s">
        <v>1177</v>
      </c>
      <c r="H182" s="22" t="str">
        <f t="array" ref="H182">iferror(VLOOKUP("TRAINER_PIC_YOUNGSTER",Sprites!$A$1:$B213,2,false),"")</f>
        <v/>
      </c>
      <c r="I182" s="23"/>
    </row>
    <row r="183">
      <c r="A183" s="24"/>
      <c r="B183" s="25" t="s">
        <v>262</v>
      </c>
      <c r="C183" s="25" t="s">
        <v>1072</v>
      </c>
      <c r="D183" s="25" t="s">
        <v>447</v>
      </c>
      <c r="E183" s="25" t="s">
        <v>306</v>
      </c>
      <c r="F183" s="25" t="s">
        <v>1177</v>
      </c>
      <c r="G183" s="25" t="s">
        <v>1177</v>
      </c>
      <c r="H183" s="26"/>
    </row>
    <row r="184">
      <c r="A184" s="16" t="s">
        <v>1178</v>
      </c>
      <c r="B184" s="27" t="s">
        <v>1611</v>
      </c>
      <c r="C184" s="27" t="s">
        <v>1611</v>
      </c>
      <c r="D184" s="27" t="s">
        <v>1611</v>
      </c>
      <c r="E184" s="27" t="s">
        <v>1632</v>
      </c>
      <c r="F184" s="21" t="s">
        <v>1177</v>
      </c>
      <c r="G184" s="21" t="s">
        <v>1177</v>
      </c>
      <c r="H184" s="26"/>
    </row>
    <row r="185">
      <c r="A185" s="16" t="s">
        <v>1181</v>
      </c>
      <c r="B185" s="28" t="s">
        <v>1209</v>
      </c>
      <c r="C185" s="28" t="s">
        <v>1613</v>
      </c>
      <c r="D185" s="28" t="s">
        <v>1295</v>
      </c>
      <c r="E185" s="28" t="s">
        <v>1333</v>
      </c>
      <c r="F185" s="28" t="s">
        <v>1177</v>
      </c>
      <c r="G185" s="28" t="s">
        <v>1177</v>
      </c>
      <c r="H185" s="26"/>
    </row>
    <row r="186">
      <c r="A186" s="16" t="s">
        <v>1182</v>
      </c>
      <c r="B186" s="21" t="s">
        <v>1692</v>
      </c>
      <c r="C186" s="21" t="s">
        <v>1693</v>
      </c>
      <c r="D186" s="21" t="s">
        <v>1694</v>
      </c>
      <c r="E186" s="21" t="s">
        <v>1667</v>
      </c>
      <c r="F186" s="21" t="s">
        <v>1177</v>
      </c>
      <c r="G186" s="21" t="s">
        <v>1177</v>
      </c>
      <c r="H186" s="26"/>
    </row>
    <row r="187">
      <c r="A187" s="16" t="s">
        <v>1186</v>
      </c>
      <c r="B187" s="28" t="s">
        <v>1406</v>
      </c>
      <c r="C187" s="28" t="s">
        <v>1234</v>
      </c>
      <c r="D187" s="28" t="s">
        <v>1234</v>
      </c>
      <c r="E187" s="28" t="s">
        <v>1257</v>
      </c>
      <c r="F187" s="28" t="s">
        <v>1177</v>
      </c>
      <c r="G187" s="28" t="s">
        <v>1177</v>
      </c>
      <c r="H187" s="26"/>
    </row>
    <row r="188">
      <c r="A188" s="20" t="s">
        <v>1188</v>
      </c>
      <c r="B188" s="21" t="s">
        <v>1438</v>
      </c>
      <c r="C188" s="21" t="s">
        <v>1384</v>
      </c>
      <c r="D188" s="21" t="s">
        <v>1285</v>
      </c>
      <c r="E188" s="21" t="s">
        <v>1695</v>
      </c>
      <c r="F188" s="21" t="s">
        <v>1177</v>
      </c>
      <c r="G188" s="21" t="s">
        <v>1177</v>
      </c>
      <c r="H188" s="26"/>
    </row>
    <row r="189">
      <c r="A189" s="29"/>
      <c r="B189" s="21" t="s">
        <v>1453</v>
      </c>
      <c r="C189" s="21" t="s">
        <v>1319</v>
      </c>
      <c r="D189" s="21" t="s">
        <v>1384</v>
      </c>
      <c r="E189" s="21" t="s">
        <v>1384</v>
      </c>
      <c r="F189" s="21" t="s">
        <v>1177</v>
      </c>
      <c r="G189" s="21" t="s">
        <v>1177</v>
      </c>
      <c r="H189" s="26"/>
    </row>
    <row r="190">
      <c r="A190" s="29"/>
      <c r="B190" s="21" t="s">
        <v>1696</v>
      </c>
      <c r="C190" s="21" t="s">
        <v>1697</v>
      </c>
      <c r="D190" s="21" t="s">
        <v>1374</v>
      </c>
      <c r="E190" s="21" t="s">
        <v>1698</v>
      </c>
      <c r="F190" s="21" t="s">
        <v>1177</v>
      </c>
      <c r="G190" s="21" t="s">
        <v>1177</v>
      </c>
      <c r="H190" s="26"/>
    </row>
    <row r="191">
      <c r="A191" s="24"/>
      <c r="B191" s="21" t="s">
        <v>1411</v>
      </c>
      <c r="C191" s="21" t="s">
        <v>1699</v>
      </c>
      <c r="D191" s="21" t="s">
        <v>1398</v>
      </c>
      <c r="E191" s="21" t="s">
        <v>1398</v>
      </c>
      <c r="F191" s="21" t="s">
        <v>1177</v>
      </c>
      <c r="G191" s="21" t="s">
        <v>1177</v>
      </c>
      <c r="H191" s="30"/>
      <c r="I191" s="14"/>
    </row>
    <row r="192">
      <c r="A192" s="16" t="s">
        <v>1174</v>
      </c>
      <c r="B192" s="17" t="s">
        <v>1700</v>
      </c>
      <c r="C192" s="18"/>
      <c r="D192" s="18"/>
      <c r="E192" s="18"/>
      <c r="F192" s="18"/>
      <c r="G192" s="18"/>
      <c r="H192" s="18"/>
      <c r="I192" s="16"/>
    </row>
    <row r="193" ht="60.0" customHeight="1">
      <c r="A193" s="20" t="s">
        <v>1176</v>
      </c>
      <c r="B193" s="21" t="str">
        <f t="array" ref="B193">iferror(VLOOKUP(INDIRECT(ADDRESS(ROW()+1,COLUMN(), 4)),Dex!$A$2:$C213,3,false),"")</f>
        <v/>
      </c>
      <c r="C193" s="21" t="str">
        <f t="array" ref="C193">iferror(VLOOKUP(INDIRECT(ADDRESS(ROW()+1,COLUMN(), 4)),Dex!$A$2:$C213,3,false),"")</f>
        <v/>
      </c>
      <c r="D193" s="21" t="str">
        <f t="array" ref="D193">iferror(VLOOKUP(INDIRECT(ADDRESS(ROW()+1,COLUMN(), 4)),Dex!$A$2:$C213,3,false),"")</f>
        <v/>
      </c>
      <c r="E193" s="21" t="str">
        <f t="array" ref="E193">iferror(VLOOKUP(INDIRECT(ADDRESS(ROW()+1,COLUMN(), 4)),Dex!$A$2:$C213,3,false),"")</f>
        <v/>
      </c>
      <c r="F193" s="21" t="s">
        <v>1177</v>
      </c>
      <c r="G193" s="21" t="s">
        <v>1177</v>
      </c>
      <c r="H193" s="22" t="str">
        <f t="array" ref="H193">iferror(VLOOKUP("TRAINER_PIC_HIKER",Sprites!$A$1:$B213,2,false),"")</f>
        <v/>
      </c>
      <c r="I193" s="23"/>
    </row>
    <row r="194">
      <c r="A194" s="24"/>
      <c r="B194" s="25" t="s">
        <v>110</v>
      </c>
      <c r="C194" s="25" t="s">
        <v>111</v>
      </c>
      <c r="D194" s="25" t="s">
        <v>401</v>
      </c>
      <c r="E194" s="25" t="s">
        <v>676</v>
      </c>
      <c r="F194" s="25" t="s">
        <v>1177</v>
      </c>
      <c r="G194" s="25" t="s">
        <v>1177</v>
      </c>
      <c r="H194" s="26"/>
    </row>
    <row r="195">
      <c r="A195" s="16" t="s">
        <v>1178</v>
      </c>
      <c r="B195" s="27" t="s">
        <v>1611</v>
      </c>
      <c r="C195" s="27" t="s">
        <v>1632</v>
      </c>
      <c r="D195" s="27" t="s">
        <v>1611</v>
      </c>
      <c r="E195" s="27" t="s">
        <v>1611</v>
      </c>
      <c r="F195" s="21" t="s">
        <v>1177</v>
      </c>
      <c r="G195" s="21" t="s">
        <v>1177</v>
      </c>
      <c r="H195" s="26"/>
    </row>
    <row r="196">
      <c r="A196" s="16" t="s">
        <v>1181</v>
      </c>
      <c r="B196" s="28" t="s">
        <v>1701</v>
      </c>
      <c r="C196" s="28" t="s">
        <v>1702</v>
      </c>
      <c r="D196" s="28" t="s">
        <v>1703</v>
      </c>
      <c r="E196" s="28" t="s">
        <v>1295</v>
      </c>
      <c r="F196" s="28" t="s">
        <v>1177</v>
      </c>
      <c r="G196" s="28" t="s">
        <v>1177</v>
      </c>
      <c r="H196" s="26"/>
    </row>
    <row r="197">
      <c r="A197" s="16" t="s">
        <v>1182</v>
      </c>
      <c r="B197" s="21" t="s">
        <v>1199</v>
      </c>
      <c r="C197" s="21" t="s">
        <v>1692</v>
      </c>
      <c r="D197" s="21" t="s">
        <v>1199</v>
      </c>
      <c r="E197" s="21" t="s">
        <v>1382</v>
      </c>
      <c r="F197" s="21" t="s">
        <v>1177</v>
      </c>
      <c r="G197" s="21" t="s">
        <v>1177</v>
      </c>
      <c r="H197" s="26"/>
    </row>
    <row r="198">
      <c r="A198" s="16" t="s">
        <v>1186</v>
      </c>
      <c r="B198" s="28" t="s">
        <v>1235</v>
      </c>
      <c r="C198" s="28" t="s">
        <v>1248</v>
      </c>
      <c r="D198" s="28" t="s">
        <v>1248</v>
      </c>
      <c r="E198" s="28" t="s">
        <v>1406</v>
      </c>
      <c r="F198" s="28" t="s">
        <v>1177</v>
      </c>
      <c r="G198" s="28" t="s">
        <v>1177</v>
      </c>
      <c r="H198" s="26"/>
    </row>
    <row r="199">
      <c r="A199" s="20" t="s">
        <v>1188</v>
      </c>
      <c r="B199" s="21" t="s">
        <v>1301</v>
      </c>
      <c r="C199" s="21" t="s">
        <v>1704</v>
      </c>
      <c r="D199" s="21" t="s">
        <v>1662</v>
      </c>
      <c r="E199" s="21" t="s">
        <v>1438</v>
      </c>
      <c r="F199" s="21" t="s">
        <v>1177</v>
      </c>
      <c r="G199" s="21" t="s">
        <v>1177</v>
      </c>
      <c r="H199" s="26"/>
    </row>
    <row r="200">
      <c r="A200" s="29"/>
      <c r="B200" s="21" t="s">
        <v>1360</v>
      </c>
      <c r="C200" s="21" t="s">
        <v>1360</v>
      </c>
      <c r="D200" s="21" t="s">
        <v>1438</v>
      </c>
      <c r="E200" s="21" t="s">
        <v>1411</v>
      </c>
      <c r="F200" s="21" t="s">
        <v>1177</v>
      </c>
      <c r="G200" s="21" t="s">
        <v>1177</v>
      </c>
      <c r="H200" s="26"/>
    </row>
    <row r="201">
      <c r="A201" s="29"/>
      <c r="B201" s="21" t="s">
        <v>1705</v>
      </c>
      <c r="C201" s="21" t="s">
        <v>1453</v>
      </c>
      <c r="D201" s="21" t="s">
        <v>1411</v>
      </c>
      <c r="E201" s="21" t="s">
        <v>1699</v>
      </c>
      <c r="F201" s="21" t="s">
        <v>1177</v>
      </c>
      <c r="G201" s="21" t="s">
        <v>1177</v>
      </c>
      <c r="H201" s="26"/>
    </row>
    <row r="202">
      <c r="A202" s="24"/>
      <c r="B202" s="21" t="s">
        <v>1177</v>
      </c>
      <c r="C202" s="21" t="s">
        <v>1696</v>
      </c>
      <c r="D202" s="21" t="s">
        <v>1359</v>
      </c>
      <c r="E202" s="21" t="s">
        <v>1706</v>
      </c>
      <c r="F202" s="21" t="s">
        <v>1177</v>
      </c>
      <c r="G202" s="21" t="s">
        <v>1177</v>
      </c>
      <c r="H202" s="30"/>
      <c r="I202" s="14"/>
    </row>
    <row r="203">
      <c r="A203" s="16" t="s">
        <v>1174</v>
      </c>
      <c r="B203" s="17" t="s">
        <v>1707</v>
      </c>
      <c r="C203" s="18"/>
      <c r="D203" s="18"/>
      <c r="E203" s="18"/>
      <c r="F203" s="18"/>
      <c r="G203" s="18"/>
      <c r="H203" s="18"/>
      <c r="I203" s="16"/>
    </row>
    <row r="204" ht="60.0" customHeight="1">
      <c r="A204" s="20" t="s">
        <v>1176</v>
      </c>
      <c r="B204" s="21" t="str">
        <f t="array" ref="B204">iferror(VLOOKUP(INDIRECT(ADDRESS(ROW()+1,COLUMN(), 4)),Dex!$A$2:$C213,3,false),"")</f>
        <v/>
      </c>
      <c r="C204" s="21" t="str">
        <f t="array" ref="C204">iferror(VLOOKUP(INDIRECT(ADDRESS(ROW()+1,COLUMN(), 4)),Dex!$A$2:$C213,3,false),"")</f>
        <v/>
      </c>
      <c r="D204" s="21" t="str">
        <f t="array" ref="D204">iferror(VLOOKUP(INDIRECT(ADDRESS(ROW()+1,COLUMN(), 4)),Dex!$A$2:$C213,3,false),"")</f>
        <v/>
      </c>
      <c r="E204" s="21" t="str">
        <f t="array" ref="E204">iferror(VLOOKUP(INDIRECT(ADDRESS(ROW()+1,COLUMN(), 4)),Dex!$A$2:$C213,3,false),"")</f>
        <v/>
      </c>
      <c r="F204" s="21" t="str">
        <f t="array" ref="F204">iferror(VLOOKUP(INDIRECT(ADDRESS(ROW()+1,COLUMN(), 4)),Dex!$A$2:$C213,3,false),"")</f>
        <v/>
      </c>
      <c r="G204" s="21" t="str">
        <f t="array" ref="G204">iferror(VLOOKUP(INDIRECT(ADDRESS(ROW()+1,COLUMN(), 4)),Dex!$A$2:$C213,3,false),"")</f>
        <v/>
      </c>
      <c r="H204" s="22" t="str">
        <f t="array" ref="H204">iferror(VLOOKUP("TRAINER_PIC_LEADER_ROXANNE",Sprites!$A$1:$B213,2,false),"")</f>
        <v/>
      </c>
      <c r="I204" s="23"/>
    </row>
    <row r="205">
      <c r="A205" s="24"/>
      <c r="B205" s="25" t="s">
        <v>785</v>
      </c>
      <c r="C205" s="25" t="s">
        <v>899</v>
      </c>
      <c r="D205" s="25" t="s">
        <v>873</v>
      </c>
      <c r="E205" s="25" t="s">
        <v>721</v>
      </c>
      <c r="F205" s="25" t="s">
        <v>439</v>
      </c>
      <c r="G205" s="25" t="s">
        <v>440</v>
      </c>
      <c r="H205" s="26"/>
    </row>
    <row r="206">
      <c r="A206" s="16" t="s">
        <v>1178</v>
      </c>
      <c r="B206" s="27" t="s">
        <v>1611</v>
      </c>
      <c r="C206" s="27" t="s">
        <v>1611</v>
      </c>
      <c r="D206" s="27" t="s">
        <v>1632</v>
      </c>
      <c r="E206" s="27" t="s">
        <v>1632</v>
      </c>
      <c r="F206" s="27" t="s">
        <v>1666</v>
      </c>
      <c r="G206" s="27" t="s">
        <v>1666</v>
      </c>
      <c r="H206" s="26"/>
    </row>
    <row r="207">
      <c r="A207" s="16" t="s">
        <v>1181</v>
      </c>
      <c r="B207" s="28" t="s">
        <v>1247</v>
      </c>
      <c r="C207" s="28" t="s">
        <v>1674</v>
      </c>
      <c r="D207" s="28" t="s">
        <v>1209</v>
      </c>
      <c r="E207" s="28" t="s">
        <v>1333</v>
      </c>
      <c r="F207" s="28" t="s">
        <v>1701</v>
      </c>
      <c r="G207" s="28" t="s">
        <v>1209</v>
      </c>
      <c r="H207" s="26"/>
    </row>
    <row r="208">
      <c r="A208" s="16" t="s">
        <v>1182</v>
      </c>
      <c r="B208" s="21" t="s">
        <v>1405</v>
      </c>
      <c r="C208" s="21" t="s">
        <v>1708</v>
      </c>
      <c r="D208" s="21" t="s">
        <v>1709</v>
      </c>
      <c r="E208" s="21" t="s">
        <v>1382</v>
      </c>
      <c r="F208" s="21" t="s">
        <v>1368</v>
      </c>
      <c r="G208" s="21" t="s">
        <v>1368</v>
      </c>
      <c r="H208" s="26"/>
    </row>
    <row r="209">
      <c r="A209" s="16" t="s">
        <v>1186</v>
      </c>
      <c r="B209" s="28" t="s">
        <v>1269</v>
      </c>
      <c r="C209" s="28" t="s">
        <v>1235</v>
      </c>
      <c r="D209" s="28" t="s">
        <v>1249</v>
      </c>
      <c r="E209" s="28" t="s">
        <v>1447</v>
      </c>
      <c r="F209" s="28" t="s">
        <v>1284</v>
      </c>
      <c r="G209" s="28" t="s">
        <v>1235</v>
      </c>
      <c r="H209" s="26"/>
    </row>
    <row r="210">
      <c r="A210" s="20" t="s">
        <v>1188</v>
      </c>
      <c r="B210" s="21" t="s">
        <v>1607</v>
      </c>
      <c r="C210" s="21" t="s">
        <v>1710</v>
      </c>
      <c r="D210" s="21" t="s">
        <v>1407</v>
      </c>
      <c r="E210" s="21" t="s">
        <v>1683</v>
      </c>
      <c r="F210" s="21" t="s">
        <v>1711</v>
      </c>
      <c r="G210" s="21" t="s">
        <v>1438</v>
      </c>
      <c r="H210" s="26"/>
    </row>
    <row r="211">
      <c r="A211" s="29"/>
      <c r="B211" s="21" t="s">
        <v>1307</v>
      </c>
      <c r="C211" s="21" t="s">
        <v>1712</v>
      </c>
      <c r="D211" s="21" t="s">
        <v>1713</v>
      </c>
      <c r="E211" s="21" t="s">
        <v>1384</v>
      </c>
      <c r="F211" s="21" t="s">
        <v>1384</v>
      </c>
      <c r="G211" s="21" t="s">
        <v>1714</v>
      </c>
      <c r="H211" s="26"/>
    </row>
    <row r="212">
      <c r="A212" s="29"/>
      <c r="B212" s="21" t="s">
        <v>1321</v>
      </c>
      <c r="C212" s="21" t="s">
        <v>1672</v>
      </c>
      <c r="D212" s="21" t="s">
        <v>1670</v>
      </c>
      <c r="E212" s="21" t="s">
        <v>1236</v>
      </c>
      <c r="F212" s="21" t="s">
        <v>1621</v>
      </c>
      <c r="G212" s="21" t="s">
        <v>1411</v>
      </c>
      <c r="H212" s="26"/>
    </row>
    <row r="213">
      <c r="A213" s="24"/>
      <c r="B213" s="21" t="s">
        <v>1652</v>
      </c>
      <c r="C213" s="21" t="s">
        <v>1585</v>
      </c>
      <c r="D213" s="21" t="s">
        <v>1618</v>
      </c>
      <c r="E213" s="21" t="s">
        <v>1469</v>
      </c>
      <c r="F213" s="21" t="s">
        <v>1311</v>
      </c>
      <c r="G213" s="21" t="s">
        <v>1715</v>
      </c>
      <c r="H213" s="30"/>
      <c r="I213" s="14"/>
    </row>
  </sheetData>
  <mergeCells count="80">
    <mergeCell ref="H126:I135"/>
    <mergeCell ref="H137:I146"/>
    <mergeCell ref="H148:I157"/>
    <mergeCell ref="H159:I168"/>
    <mergeCell ref="H171:I180"/>
    <mergeCell ref="H182:I191"/>
    <mergeCell ref="H193:I202"/>
    <mergeCell ref="H204:I213"/>
    <mergeCell ref="H48:I57"/>
    <mergeCell ref="H59:I68"/>
    <mergeCell ref="H71:I80"/>
    <mergeCell ref="H82:I91"/>
    <mergeCell ref="H93:I102"/>
    <mergeCell ref="H104:I113"/>
    <mergeCell ref="H115:I124"/>
    <mergeCell ref="A171:A172"/>
    <mergeCell ref="A177:A180"/>
    <mergeCell ref="A182:A183"/>
    <mergeCell ref="A188:A191"/>
    <mergeCell ref="A193:A194"/>
    <mergeCell ref="A199:A202"/>
    <mergeCell ref="A204:A205"/>
    <mergeCell ref="A210:A213"/>
    <mergeCell ref="A132:A135"/>
    <mergeCell ref="A137:A138"/>
    <mergeCell ref="A143:A146"/>
    <mergeCell ref="A148:A149"/>
    <mergeCell ref="A154:A157"/>
    <mergeCell ref="A159:A160"/>
    <mergeCell ref="A165:A168"/>
    <mergeCell ref="B1:H1"/>
    <mergeCell ref="B2:H2"/>
    <mergeCell ref="A3:A4"/>
    <mergeCell ref="H3:I12"/>
    <mergeCell ref="A9:A12"/>
    <mergeCell ref="B13:H13"/>
    <mergeCell ref="H14:I23"/>
    <mergeCell ref="A14:A15"/>
    <mergeCell ref="A20:A23"/>
    <mergeCell ref="A26:A27"/>
    <mergeCell ref="A32:A35"/>
    <mergeCell ref="A37:A38"/>
    <mergeCell ref="A43:A46"/>
    <mergeCell ref="A48:A49"/>
    <mergeCell ref="B24:H24"/>
    <mergeCell ref="B25:H25"/>
    <mergeCell ref="H26:I35"/>
    <mergeCell ref="B36:H36"/>
    <mergeCell ref="H37:I46"/>
    <mergeCell ref="B47:H47"/>
    <mergeCell ref="B58:H58"/>
    <mergeCell ref="A54:A57"/>
    <mergeCell ref="A59:A60"/>
    <mergeCell ref="A65:A68"/>
    <mergeCell ref="A71:A72"/>
    <mergeCell ref="A77:A80"/>
    <mergeCell ref="A82:A83"/>
    <mergeCell ref="A88:A91"/>
    <mergeCell ref="A93:A94"/>
    <mergeCell ref="A99:A102"/>
    <mergeCell ref="A104:A105"/>
    <mergeCell ref="A110:A113"/>
    <mergeCell ref="A115:A116"/>
    <mergeCell ref="A121:A124"/>
    <mergeCell ref="A126:A127"/>
    <mergeCell ref="B136:H136"/>
    <mergeCell ref="B147:H147"/>
    <mergeCell ref="B158:H158"/>
    <mergeCell ref="B169:H169"/>
    <mergeCell ref="B170:H170"/>
    <mergeCell ref="B181:H181"/>
    <mergeCell ref="B192:H192"/>
    <mergeCell ref="B203:H203"/>
    <mergeCell ref="B69:H69"/>
    <mergeCell ref="B70:H70"/>
    <mergeCell ref="B81:H81"/>
    <mergeCell ref="B92:H92"/>
    <mergeCell ref="B103:H103"/>
    <mergeCell ref="B114:H114"/>
    <mergeCell ref="B125:H125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1716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1717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4)),Dex!$A$2:$C237,3,false),"")</f>
        <v/>
      </c>
      <c r="C3" s="21" t="str">
        <f t="array" ref="C3">iferror(VLOOKUP(INDIRECT(ADDRESS(ROW()+1,COLUMN(), 4)),Dex!$A$2:$C237,3,false),"")</f>
        <v/>
      </c>
      <c r="D3" s="21" t="str">
        <f t="array" ref="D3">iferror(VLOOKUP(INDIRECT(ADDRESS(ROW()+1,COLUMN(), 4)),Dex!$A$2:$C237,3,false),"")</f>
        <v/>
      </c>
      <c r="E3" s="21" t="str">
        <f t="array" ref="E3">iferror(VLOOKUP(INDIRECT(ADDRESS(ROW()+1,COLUMN(), 4)),Dex!$A$2:$C237,3,false),"")</f>
        <v/>
      </c>
      <c r="F3" s="21" t="s">
        <v>1177</v>
      </c>
      <c r="G3" s="21" t="s">
        <v>1177</v>
      </c>
      <c r="H3" s="22" t="str">
        <f t="array" ref="H3">iferror(VLOOKUP("TRAINER_PIC_HIKER",Sprites!$A$1:$B237,2,false),"")</f>
        <v/>
      </c>
      <c r="I3" s="23"/>
    </row>
    <row r="4">
      <c r="A4" s="24"/>
      <c r="B4" s="25" t="s">
        <v>1081</v>
      </c>
      <c r="C4" s="25" t="s">
        <v>600</v>
      </c>
      <c r="D4" s="25" t="s">
        <v>659</v>
      </c>
      <c r="E4" s="25" t="s">
        <v>58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1666</v>
      </c>
      <c r="C5" s="27" t="s">
        <v>1718</v>
      </c>
      <c r="D5" s="27" t="s">
        <v>1718</v>
      </c>
      <c r="E5" s="27" t="s">
        <v>1666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1209</v>
      </c>
      <c r="C6" s="28" t="s">
        <v>1295</v>
      </c>
      <c r="D6" s="28" t="s">
        <v>1209</v>
      </c>
      <c r="E6" s="28" t="s">
        <v>1719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1720</v>
      </c>
      <c r="C7" s="21" t="s">
        <v>1721</v>
      </c>
      <c r="D7" s="21" t="s">
        <v>1722</v>
      </c>
      <c r="E7" s="21" t="s">
        <v>1604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1406</v>
      </c>
      <c r="C8" s="28" t="s">
        <v>1256</v>
      </c>
      <c r="D8" s="28" t="s">
        <v>1248</v>
      </c>
      <c r="E8" s="28" t="s">
        <v>1284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1677</v>
      </c>
      <c r="C9" s="21" t="s">
        <v>1713</v>
      </c>
      <c r="D9" s="21" t="s">
        <v>1407</v>
      </c>
      <c r="E9" s="21" t="s">
        <v>1261</v>
      </c>
      <c r="F9" s="21" t="s">
        <v>1177</v>
      </c>
      <c r="G9" s="21" t="s">
        <v>1177</v>
      </c>
      <c r="H9" s="26"/>
    </row>
    <row r="10">
      <c r="A10" s="29"/>
      <c r="B10" s="21" t="s">
        <v>1678</v>
      </c>
      <c r="C10" s="21" t="s">
        <v>1723</v>
      </c>
      <c r="D10" s="21" t="s">
        <v>1372</v>
      </c>
      <c r="E10" s="21" t="s">
        <v>1468</v>
      </c>
      <c r="F10" s="21" t="s">
        <v>1177</v>
      </c>
      <c r="G10" s="21" t="s">
        <v>1177</v>
      </c>
      <c r="H10" s="26"/>
    </row>
    <row r="11">
      <c r="A11" s="29"/>
      <c r="B11" s="21" t="s">
        <v>1309</v>
      </c>
      <c r="C11" s="21" t="s">
        <v>1618</v>
      </c>
      <c r="D11" s="21" t="s">
        <v>1696</v>
      </c>
      <c r="E11" s="21" t="s">
        <v>1724</v>
      </c>
      <c r="F11" s="21" t="s">
        <v>1177</v>
      </c>
      <c r="G11" s="21" t="s">
        <v>1177</v>
      </c>
      <c r="H11" s="26"/>
    </row>
    <row r="12">
      <c r="A12" s="24"/>
      <c r="B12" s="21" t="s">
        <v>1725</v>
      </c>
      <c r="C12" s="21" t="s">
        <v>1724</v>
      </c>
      <c r="D12" s="21" t="s">
        <v>1353</v>
      </c>
      <c r="E12" s="21" t="s">
        <v>1726</v>
      </c>
      <c r="F12" s="21" t="s">
        <v>1177</v>
      </c>
      <c r="G12" s="21" t="s">
        <v>1177</v>
      </c>
      <c r="H12" s="30"/>
      <c r="I12" s="14"/>
    </row>
    <row r="13">
      <c r="A13" s="37"/>
      <c r="B13" s="38" t="s">
        <v>1727</v>
      </c>
      <c r="C13" s="14"/>
      <c r="D13" s="14"/>
      <c r="E13" s="14"/>
      <c r="F13" s="14"/>
      <c r="G13" s="14"/>
      <c r="H13" s="24"/>
      <c r="I13" s="33"/>
    </row>
    <row r="14">
      <c r="A14" s="16" t="s">
        <v>1174</v>
      </c>
      <c r="B14" s="17" t="s">
        <v>1728</v>
      </c>
      <c r="C14" s="18"/>
      <c r="D14" s="18"/>
      <c r="E14" s="18"/>
      <c r="F14" s="18"/>
      <c r="G14" s="18"/>
      <c r="H14" s="18"/>
      <c r="I14" s="16"/>
    </row>
    <row r="15" ht="60.0" customHeight="1">
      <c r="A15" s="20" t="s">
        <v>1176</v>
      </c>
      <c r="B15" s="21" t="str">
        <f t="array" ref="B15">iferror(VLOOKUP(INDIRECT(ADDRESS(ROW()+1,COLUMN(), 4)),Dex!$A$2:$C237,3,false),"")</f>
        <v/>
      </c>
      <c r="C15" s="21" t="str">
        <f t="array" ref="C15">iferror(VLOOKUP(INDIRECT(ADDRESS(ROW()+1,COLUMN(), 4)),Dex!$A$2:$C237,3,false),"")</f>
        <v/>
      </c>
      <c r="D15" s="21" t="str">
        <f t="array" ref="D15">iferror(VLOOKUP(INDIRECT(ADDRESS(ROW()+1,COLUMN(), 4)),Dex!$A$2:$C237,3,false),"")</f>
        <v/>
      </c>
      <c r="E15" s="21" t="str">
        <f t="array" ref="E15">iferror(VLOOKUP(INDIRECT(ADDRESS(ROW()+1,COLUMN(), 4)),Dex!$A$2:$C237,3,false),"")</f>
        <v/>
      </c>
      <c r="F15" s="21" t="s">
        <v>1177</v>
      </c>
      <c r="G15" s="21" t="s">
        <v>1177</v>
      </c>
      <c r="H15" s="22" t="str">
        <f t="array" ref="H15">iferror(VLOOKUP("TRAINER_PIC_POKEMON_BREEDER_F",Sprites!$A$1:$B237,2,false),"")</f>
        <v/>
      </c>
      <c r="I15" s="23"/>
    </row>
    <row r="16">
      <c r="A16" s="24"/>
      <c r="B16" s="25" t="s">
        <v>735</v>
      </c>
      <c r="C16" s="25" t="s">
        <v>161</v>
      </c>
      <c r="D16" s="25" t="s">
        <v>1087</v>
      </c>
      <c r="E16" s="25" t="s">
        <v>396</v>
      </c>
      <c r="F16" s="25" t="s">
        <v>1177</v>
      </c>
      <c r="G16" s="25" t="s">
        <v>1177</v>
      </c>
      <c r="H16" s="26"/>
    </row>
    <row r="17">
      <c r="A17" s="16" t="s">
        <v>1178</v>
      </c>
      <c r="B17" s="27" t="s">
        <v>1718</v>
      </c>
      <c r="C17" s="27" t="s">
        <v>1718</v>
      </c>
      <c r="D17" s="27" t="s">
        <v>1718</v>
      </c>
      <c r="E17" s="27" t="s">
        <v>1729</v>
      </c>
      <c r="F17" s="21" t="s">
        <v>1177</v>
      </c>
      <c r="G17" s="21" t="s">
        <v>1177</v>
      </c>
      <c r="H17" s="26"/>
    </row>
    <row r="18">
      <c r="A18" s="16" t="s">
        <v>1181</v>
      </c>
      <c r="B18" s="28" t="s">
        <v>1295</v>
      </c>
      <c r="C18" s="28" t="s">
        <v>1209</v>
      </c>
      <c r="D18" s="28" t="s">
        <v>1209</v>
      </c>
      <c r="E18" s="28" t="s">
        <v>1366</v>
      </c>
      <c r="F18" s="28" t="s">
        <v>1177</v>
      </c>
      <c r="G18" s="28" t="s">
        <v>1177</v>
      </c>
      <c r="H18" s="26"/>
    </row>
    <row r="19">
      <c r="A19" s="16" t="s">
        <v>1182</v>
      </c>
      <c r="B19" s="21" t="s">
        <v>1730</v>
      </c>
      <c r="C19" s="21" t="s">
        <v>1420</v>
      </c>
      <c r="D19" s="21" t="s">
        <v>1461</v>
      </c>
      <c r="E19" s="21" t="s">
        <v>1636</v>
      </c>
      <c r="F19" s="21" t="s">
        <v>1177</v>
      </c>
      <c r="G19" s="21" t="s">
        <v>1177</v>
      </c>
      <c r="H19" s="26"/>
    </row>
    <row r="20">
      <c r="A20" s="16" t="s">
        <v>1186</v>
      </c>
      <c r="B20" s="28" t="s">
        <v>1257</v>
      </c>
      <c r="C20" s="28" t="s">
        <v>1235</v>
      </c>
      <c r="D20" s="28" t="s">
        <v>1334</v>
      </c>
      <c r="E20" s="28" t="s">
        <v>1257</v>
      </c>
      <c r="F20" s="28" t="s">
        <v>1177</v>
      </c>
      <c r="G20" s="28" t="s">
        <v>1177</v>
      </c>
      <c r="H20" s="26"/>
    </row>
    <row r="21">
      <c r="A21" s="20" t="s">
        <v>1188</v>
      </c>
      <c r="B21" s="21" t="s">
        <v>1731</v>
      </c>
      <c r="C21" s="21" t="s">
        <v>1684</v>
      </c>
      <c r="D21" s="21" t="s">
        <v>1290</v>
      </c>
      <c r="E21" s="21" t="s">
        <v>1732</v>
      </c>
      <c r="F21" s="21" t="s">
        <v>1177</v>
      </c>
      <c r="G21" s="21" t="s">
        <v>1177</v>
      </c>
      <c r="H21" s="26"/>
    </row>
    <row r="22">
      <c r="A22" s="29"/>
      <c r="B22" s="21" t="s">
        <v>1261</v>
      </c>
      <c r="C22" s="21" t="s">
        <v>1324</v>
      </c>
      <c r="D22" s="21" t="s">
        <v>1423</v>
      </c>
      <c r="E22" s="21" t="s">
        <v>1388</v>
      </c>
      <c r="F22" s="21" t="s">
        <v>1177</v>
      </c>
      <c r="G22" s="21" t="s">
        <v>1177</v>
      </c>
      <c r="H22" s="26"/>
    </row>
    <row r="23">
      <c r="A23" s="29"/>
      <c r="B23" s="21" t="s">
        <v>1698</v>
      </c>
      <c r="C23" s="21" t="s">
        <v>1323</v>
      </c>
      <c r="D23" s="21" t="s">
        <v>1385</v>
      </c>
      <c r="E23" s="21" t="s">
        <v>1590</v>
      </c>
      <c r="F23" s="21" t="s">
        <v>1177</v>
      </c>
      <c r="G23" s="21" t="s">
        <v>1177</v>
      </c>
      <c r="H23" s="26"/>
    </row>
    <row r="24">
      <c r="A24" s="24"/>
      <c r="B24" s="21" t="s">
        <v>1473</v>
      </c>
      <c r="C24" s="21" t="s">
        <v>1448</v>
      </c>
      <c r="D24" s="21" t="s">
        <v>1733</v>
      </c>
      <c r="E24" s="21" t="s">
        <v>1398</v>
      </c>
      <c r="F24" s="21" t="s">
        <v>1177</v>
      </c>
      <c r="G24" s="21" t="s">
        <v>1177</v>
      </c>
      <c r="H24" s="30"/>
      <c r="I24" s="14"/>
    </row>
    <row r="25">
      <c r="A25" s="16" t="s">
        <v>1174</v>
      </c>
      <c r="B25" s="17" t="s">
        <v>1734</v>
      </c>
      <c r="C25" s="18"/>
      <c r="D25" s="18"/>
      <c r="E25" s="18"/>
      <c r="F25" s="18"/>
      <c r="G25" s="18"/>
      <c r="H25" s="18"/>
      <c r="I25" s="16"/>
    </row>
    <row r="26" ht="60.0" customHeight="1">
      <c r="A26" s="20" t="s">
        <v>1176</v>
      </c>
      <c r="B26" s="21" t="str">
        <f t="array" ref="B26">iferror(VLOOKUP(INDIRECT(ADDRESS(ROW()+1,COLUMN(), 4)),Dex!$A$2:$C237,3,false),"")</f>
        <v/>
      </c>
      <c r="C26" s="21" t="str">
        <f t="array" ref="C26">iferror(VLOOKUP(INDIRECT(ADDRESS(ROW()+1,COLUMN(), 4)),Dex!$A$2:$C237,3,false),"")</f>
        <v/>
      </c>
      <c r="D26" s="21" t="str">
        <f t="array" ref="D26">iferror(VLOOKUP(INDIRECT(ADDRESS(ROW()+1,COLUMN(), 4)),Dex!$A$2:$C237,3,false),"")</f>
        <v/>
      </c>
      <c r="E26" s="21" t="str">
        <f t="array" ref="E26">iferror(VLOOKUP(INDIRECT(ADDRESS(ROW()+1,COLUMN(), 4)),Dex!$A$2:$C237,3,false),"")</f>
        <v/>
      </c>
      <c r="F26" s="21" t="str">
        <f t="array" ref="F26">iferror(VLOOKUP(INDIRECT(ADDRESS(ROW()+1,COLUMN(), 4)),Dex!$A$2:$C237,3,false),"")</f>
        <v/>
      </c>
      <c r="G26" s="21" t="s">
        <v>1177</v>
      </c>
      <c r="H26" s="22" t="str">
        <f t="array" ref="H26">iferror(VLOOKUP("TRAINER_PIC_POKEMON_BREEDER_M",Sprites!$A$1:$B237,2,false),"")</f>
        <v/>
      </c>
      <c r="I26" s="23"/>
    </row>
    <row r="27">
      <c r="A27" s="24"/>
      <c r="B27" s="25" t="s">
        <v>90</v>
      </c>
      <c r="C27" s="25" t="s">
        <v>848</v>
      </c>
      <c r="D27" s="25" t="s">
        <v>568</v>
      </c>
      <c r="E27" s="25" t="s">
        <v>408</v>
      </c>
      <c r="F27" s="25" t="s">
        <v>1070</v>
      </c>
      <c r="G27" s="25" t="s">
        <v>1177</v>
      </c>
      <c r="H27" s="26"/>
    </row>
    <row r="28">
      <c r="A28" s="16" t="s">
        <v>1178</v>
      </c>
      <c r="B28" s="27" t="s">
        <v>1729</v>
      </c>
      <c r="C28" s="27" t="s">
        <v>1735</v>
      </c>
      <c r="D28" s="27" t="s">
        <v>1729</v>
      </c>
      <c r="E28" s="27" t="s">
        <v>1729</v>
      </c>
      <c r="F28" s="27" t="s">
        <v>1729</v>
      </c>
      <c r="G28" s="21" t="s">
        <v>1177</v>
      </c>
      <c r="H28" s="26"/>
    </row>
    <row r="29">
      <c r="A29" s="16" t="s">
        <v>1181</v>
      </c>
      <c r="B29" s="28" t="s">
        <v>1366</v>
      </c>
      <c r="C29" s="28" t="s">
        <v>1295</v>
      </c>
      <c r="D29" s="28" t="s">
        <v>1209</v>
      </c>
      <c r="E29" s="28" t="s">
        <v>1209</v>
      </c>
      <c r="F29" s="28" t="s">
        <v>1247</v>
      </c>
      <c r="G29" s="28" t="s">
        <v>1177</v>
      </c>
      <c r="H29" s="26"/>
    </row>
    <row r="30">
      <c r="A30" s="16" t="s">
        <v>1182</v>
      </c>
      <c r="B30" s="21" t="s">
        <v>1298</v>
      </c>
      <c r="C30" s="21" t="s">
        <v>1593</v>
      </c>
      <c r="D30" s="21" t="s">
        <v>1736</v>
      </c>
      <c r="E30" s="21" t="s">
        <v>1357</v>
      </c>
      <c r="F30" s="21" t="s">
        <v>1681</v>
      </c>
      <c r="G30" s="21" t="s">
        <v>1177</v>
      </c>
      <c r="H30" s="26"/>
    </row>
    <row r="31">
      <c r="A31" s="16" t="s">
        <v>1186</v>
      </c>
      <c r="B31" s="28" t="s">
        <v>1235</v>
      </c>
      <c r="C31" s="28" t="s">
        <v>1235</v>
      </c>
      <c r="D31" s="28" t="s">
        <v>1284</v>
      </c>
      <c r="E31" s="28" t="s">
        <v>1269</v>
      </c>
      <c r="F31" s="28" t="s">
        <v>1235</v>
      </c>
      <c r="G31" s="28" t="s">
        <v>1177</v>
      </c>
      <c r="H31" s="26"/>
    </row>
    <row r="32">
      <c r="A32" s="20" t="s">
        <v>1188</v>
      </c>
      <c r="B32" s="21" t="s">
        <v>1737</v>
      </c>
      <c r="C32" s="21" t="s">
        <v>1738</v>
      </c>
      <c r="D32" s="21" t="s">
        <v>1739</v>
      </c>
      <c r="E32" s="21" t="s">
        <v>1724</v>
      </c>
      <c r="F32" s="21" t="s">
        <v>1658</v>
      </c>
      <c r="G32" s="21" t="s">
        <v>1177</v>
      </c>
      <c r="H32" s="26"/>
    </row>
    <row r="33">
      <c r="A33" s="29"/>
      <c r="B33" s="21" t="s">
        <v>1704</v>
      </c>
      <c r="C33" s="21" t="s">
        <v>1662</v>
      </c>
      <c r="D33" s="21" t="s">
        <v>1723</v>
      </c>
      <c r="E33" s="21" t="s">
        <v>1740</v>
      </c>
      <c r="F33" s="21" t="s">
        <v>1741</v>
      </c>
      <c r="G33" s="21" t="s">
        <v>1177</v>
      </c>
      <c r="H33" s="26"/>
    </row>
    <row r="34">
      <c r="A34" s="29"/>
      <c r="B34" s="21" t="s">
        <v>1672</v>
      </c>
      <c r="C34" s="21" t="s">
        <v>1372</v>
      </c>
      <c r="D34" s="21" t="s">
        <v>1742</v>
      </c>
      <c r="E34" s="21" t="s">
        <v>1594</v>
      </c>
      <c r="F34" s="21" t="s">
        <v>1594</v>
      </c>
      <c r="G34" s="21" t="s">
        <v>1177</v>
      </c>
      <c r="H34" s="26"/>
    </row>
    <row r="35">
      <c r="A35" s="24"/>
      <c r="B35" s="21" t="s">
        <v>1590</v>
      </c>
      <c r="C35" s="21" t="s">
        <v>1260</v>
      </c>
      <c r="D35" s="21" t="s">
        <v>1743</v>
      </c>
      <c r="E35" s="21" t="s">
        <v>1330</v>
      </c>
      <c r="F35" s="21" t="s">
        <v>1353</v>
      </c>
      <c r="G35" s="21" t="s">
        <v>1177</v>
      </c>
      <c r="H35" s="30"/>
      <c r="I35" s="14"/>
    </row>
    <row r="36">
      <c r="A36" s="16" t="s">
        <v>1174</v>
      </c>
      <c r="B36" s="17" t="s">
        <v>1744</v>
      </c>
      <c r="C36" s="18"/>
      <c r="D36" s="18"/>
      <c r="E36" s="18"/>
      <c r="F36" s="18"/>
      <c r="G36" s="18"/>
      <c r="H36" s="18"/>
      <c r="I36" s="16"/>
    </row>
    <row r="37" ht="60.0" customHeight="1">
      <c r="A37" s="20" t="s">
        <v>1176</v>
      </c>
      <c r="B37" s="21" t="str">
        <f t="array" ref="B37">iferror(VLOOKUP(INDIRECT(ADDRESS(ROW()+1,COLUMN(), 4)),Dex!$A$2:$C237,3,false),"")</f>
        <v/>
      </c>
      <c r="C37" s="21" t="str">
        <f t="array" ref="C37">iferror(VLOOKUP(INDIRECT(ADDRESS(ROW()+1,COLUMN(), 4)),Dex!$A$2:$C237,3,false),"")</f>
        <v/>
      </c>
      <c r="D37" s="21" t="s">
        <v>1177</v>
      </c>
      <c r="E37" s="21" t="str">
        <f t="array" ref="E37">iferror(VLOOKUP(INDIRECT(ADDRESS(ROW()+1,COLUMN(), 4)),Dex!$A$2:$C237,3,false),"")</f>
        <v/>
      </c>
      <c r="F37" s="21" t="str">
        <f t="array" ref="F37">iferror(VLOOKUP(INDIRECT(ADDRESS(ROW()+1,COLUMN(), 4)),Dex!$A$2:$C237,3,false),"")</f>
        <v/>
      </c>
      <c r="G37" s="21" t="s">
        <v>1177</v>
      </c>
      <c r="H37" s="22" t="str">
        <f t="array" ref="H37">iferror(VLOOKUP("TRAINER_PIC_BATTLE_GIRL",Sprites!$A$1:$B237,2,false),"")</f>
        <v/>
      </c>
      <c r="I37" s="23"/>
    </row>
    <row r="38">
      <c r="A38" s="24"/>
      <c r="B38" s="25" t="s">
        <v>1058</v>
      </c>
      <c r="C38" s="25" t="s">
        <v>146</v>
      </c>
      <c r="D38" s="25" t="s">
        <v>1177</v>
      </c>
      <c r="E38" s="25" t="s">
        <v>575</v>
      </c>
      <c r="F38" s="25" t="s">
        <v>391</v>
      </c>
      <c r="G38" s="25" t="s">
        <v>1177</v>
      </c>
      <c r="H38" s="26"/>
    </row>
    <row r="39">
      <c r="A39" s="16" t="s">
        <v>1178</v>
      </c>
      <c r="B39" s="27" t="s">
        <v>1729</v>
      </c>
      <c r="C39" s="27" t="s">
        <v>1729</v>
      </c>
      <c r="D39" s="21" t="s">
        <v>1177</v>
      </c>
      <c r="E39" s="27" t="s">
        <v>1729</v>
      </c>
      <c r="F39" s="27" t="s">
        <v>1729</v>
      </c>
      <c r="G39" s="21" t="s">
        <v>1177</v>
      </c>
      <c r="H39" s="26"/>
    </row>
    <row r="40">
      <c r="A40" s="16" t="s">
        <v>1181</v>
      </c>
      <c r="B40" s="28" t="s">
        <v>1209</v>
      </c>
      <c r="C40" s="28" t="s">
        <v>1366</v>
      </c>
      <c r="D40" s="28" t="s">
        <v>1177</v>
      </c>
      <c r="E40" s="28" t="s">
        <v>1745</v>
      </c>
      <c r="F40" s="28" t="s">
        <v>1209</v>
      </c>
      <c r="G40" s="28" t="s">
        <v>1177</v>
      </c>
      <c r="H40" s="26"/>
    </row>
    <row r="41">
      <c r="A41" s="16" t="s">
        <v>1182</v>
      </c>
      <c r="B41" s="21" t="s">
        <v>1746</v>
      </c>
      <c r="C41" s="21" t="s">
        <v>1747</v>
      </c>
      <c r="D41" s="21" t="s">
        <v>1177</v>
      </c>
      <c r="E41" s="21" t="s">
        <v>1267</v>
      </c>
      <c r="F41" s="21" t="s">
        <v>1748</v>
      </c>
      <c r="G41" s="21" t="s">
        <v>1177</v>
      </c>
      <c r="H41" s="26"/>
    </row>
    <row r="42">
      <c r="A42" s="16" t="s">
        <v>1186</v>
      </c>
      <c r="B42" s="28" t="s">
        <v>1284</v>
      </c>
      <c r="C42" s="28" t="s">
        <v>1257</v>
      </c>
      <c r="D42" s="28" t="s">
        <v>1177</v>
      </c>
      <c r="E42" s="28" t="s">
        <v>1235</v>
      </c>
      <c r="F42" s="28" t="s">
        <v>1248</v>
      </c>
      <c r="G42" s="28" t="s">
        <v>1177</v>
      </c>
      <c r="H42" s="26"/>
    </row>
    <row r="43">
      <c r="A43" s="20" t="s">
        <v>1188</v>
      </c>
      <c r="B43" s="21" t="s">
        <v>1731</v>
      </c>
      <c r="C43" s="21" t="s">
        <v>1731</v>
      </c>
      <c r="D43" s="21" t="s">
        <v>1177</v>
      </c>
      <c r="E43" s="21" t="s">
        <v>1749</v>
      </c>
      <c r="F43" s="21" t="s">
        <v>1437</v>
      </c>
      <c r="G43" s="21" t="s">
        <v>1177</v>
      </c>
      <c r="H43" s="26"/>
    </row>
    <row r="44">
      <c r="A44" s="29"/>
      <c r="B44" s="21" t="s">
        <v>1650</v>
      </c>
      <c r="C44" s="21" t="s">
        <v>1605</v>
      </c>
      <c r="D44" s="21" t="s">
        <v>1177</v>
      </c>
      <c r="E44" s="21" t="s">
        <v>1437</v>
      </c>
      <c r="F44" s="21" t="s">
        <v>1438</v>
      </c>
      <c r="G44" s="21" t="s">
        <v>1177</v>
      </c>
      <c r="H44" s="26"/>
    </row>
    <row r="45">
      <c r="A45" s="29"/>
      <c r="B45" s="21" t="s">
        <v>1311</v>
      </c>
      <c r="C45" s="21" t="s">
        <v>1698</v>
      </c>
      <c r="D45" s="21" t="s">
        <v>1177</v>
      </c>
      <c r="E45" s="21" t="s">
        <v>1307</v>
      </c>
      <c r="F45" s="21" t="s">
        <v>1307</v>
      </c>
      <c r="G45" s="21" t="s">
        <v>1177</v>
      </c>
      <c r="H45" s="26"/>
    </row>
    <row r="46">
      <c r="A46" s="24"/>
      <c r="B46" s="21" t="s">
        <v>1398</v>
      </c>
      <c r="C46" s="21" t="s">
        <v>1750</v>
      </c>
      <c r="D46" s="21" t="s">
        <v>1177</v>
      </c>
      <c r="E46" s="21" t="s">
        <v>1225</v>
      </c>
      <c r="F46" s="21" t="s">
        <v>1225</v>
      </c>
      <c r="G46" s="21" t="s">
        <v>1177</v>
      </c>
      <c r="H46" s="30"/>
      <c r="I46" s="14"/>
    </row>
    <row r="47">
      <c r="A47" s="16" t="s">
        <v>1174</v>
      </c>
      <c r="B47" s="17" t="s">
        <v>1751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4)),Dex!$A$2:$C237,3,false),"")</f>
        <v/>
      </c>
      <c r="C48" s="21" t="str">
        <f t="array" ref="C48">iferror(VLOOKUP(INDIRECT(ADDRESS(ROW()+1,COLUMN(), 4)),Dex!$A$2:$C237,3,false),"")</f>
        <v/>
      </c>
      <c r="D48" s="21" t="str">
        <f t="array" ref="D48">iferror(VLOOKUP(INDIRECT(ADDRESS(ROW()+1,COLUMN(), 4)),Dex!$A$2:$C237,3,false),"")</f>
        <v/>
      </c>
      <c r="E48" s="21" t="str">
        <f t="array" ref="E48">iferror(VLOOKUP(INDIRECT(ADDRESS(ROW()+1,COLUMN(), 4)),Dex!$A$2:$C237,3,false),"")</f>
        <v/>
      </c>
      <c r="F48" s="21" t="str">
        <f t="array" ref="F48">iferror(VLOOKUP(INDIRECT(ADDRESS(ROW()+1,COLUMN(), 4)),Dex!$A$2:$C237,3,false),"")</f>
        <v/>
      </c>
      <c r="G48" s="21" t="s">
        <v>1177</v>
      </c>
      <c r="H48" s="22" t="str">
        <f t="array" ref="H48">iferror(VLOOKUP("TRAINER_PIC_BATTLE_GIRL",Sprites!$A$1:$B237,2,false),"")</f>
        <v/>
      </c>
      <c r="I48" s="23"/>
    </row>
    <row r="49">
      <c r="A49" s="24"/>
      <c r="B49" s="25" t="s">
        <v>588</v>
      </c>
      <c r="C49" s="25" t="s">
        <v>991</v>
      </c>
      <c r="D49" s="25" t="s">
        <v>958</v>
      </c>
      <c r="E49" s="25" t="s">
        <v>1093</v>
      </c>
      <c r="F49" s="25" t="s">
        <v>273</v>
      </c>
      <c r="G49" s="25" t="s">
        <v>1177</v>
      </c>
      <c r="H49" s="26"/>
    </row>
    <row r="50">
      <c r="A50" s="16" t="s">
        <v>1178</v>
      </c>
      <c r="B50" s="27" t="s">
        <v>1729</v>
      </c>
      <c r="C50" s="27" t="s">
        <v>1729</v>
      </c>
      <c r="D50" s="27" t="s">
        <v>1735</v>
      </c>
      <c r="E50" s="27" t="s">
        <v>1729</v>
      </c>
      <c r="F50" s="27" t="s">
        <v>1735</v>
      </c>
      <c r="G50" s="21" t="s">
        <v>1177</v>
      </c>
      <c r="H50" s="26"/>
    </row>
    <row r="51">
      <c r="A51" s="16" t="s">
        <v>1181</v>
      </c>
      <c r="B51" s="28" t="s">
        <v>1366</v>
      </c>
      <c r="C51" s="28" t="s">
        <v>1366</v>
      </c>
      <c r="D51" s="28" t="s">
        <v>1209</v>
      </c>
      <c r="E51" s="28" t="s">
        <v>1209</v>
      </c>
      <c r="F51" s="28" t="s">
        <v>1333</v>
      </c>
      <c r="G51" s="28" t="s">
        <v>1177</v>
      </c>
      <c r="H51" s="26"/>
    </row>
    <row r="52">
      <c r="A52" s="16" t="s">
        <v>1182</v>
      </c>
      <c r="B52" s="21" t="s">
        <v>1752</v>
      </c>
      <c r="C52" s="21" t="s">
        <v>1231</v>
      </c>
      <c r="D52" s="21" t="s">
        <v>1753</v>
      </c>
      <c r="E52" s="21" t="s">
        <v>1461</v>
      </c>
      <c r="F52" s="21" t="s">
        <v>1462</v>
      </c>
      <c r="G52" s="21" t="s">
        <v>1177</v>
      </c>
      <c r="H52" s="26"/>
    </row>
    <row r="53">
      <c r="A53" s="16" t="s">
        <v>1186</v>
      </c>
      <c r="B53" s="28" t="s">
        <v>1269</v>
      </c>
      <c r="C53" s="28" t="s">
        <v>1234</v>
      </c>
      <c r="D53" s="28" t="s">
        <v>1235</v>
      </c>
      <c r="E53" s="28" t="s">
        <v>1754</v>
      </c>
      <c r="F53" s="28" t="s">
        <v>1406</v>
      </c>
      <c r="G53" s="28" t="s">
        <v>1177</v>
      </c>
      <c r="H53" s="26"/>
    </row>
    <row r="54">
      <c r="A54" s="20" t="s">
        <v>1188</v>
      </c>
      <c r="B54" s="21" t="s">
        <v>1670</v>
      </c>
      <c r="C54" s="21" t="s">
        <v>1755</v>
      </c>
      <c r="D54" s="21" t="s">
        <v>1756</v>
      </c>
      <c r="E54" s="21" t="s">
        <v>1757</v>
      </c>
      <c r="F54" s="21" t="s">
        <v>1677</v>
      </c>
      <c r="G54" s="21" t="s">
        <v>1177</v>
      </c>
      <c r="H54" s="26"/>
    </row>
    <row r="55">
      <c r="A55" s="29"/>
      <c r="B55" s="21" t="s">
        <v>1682</v>
      </c>
      <c r="C55" s="21" t="s">
        <v>1758</v>
      </c>
      <c r="D55" s="21" t="s">
        <v>1307</v>
      </c>
      <c r="E55" s="21" t="s">
        <v>1385</v>
      </c>
      <c r="F55" s="21" t="s">
        <v>1323</v>
      </c>
      <c r="G55" s="21" t="s">
        <v>1177</v>
      </c>
      <c r="H55" s="26"/>
    </row>
    <row r="56">
      <c r="A56" s="29"/>
      <c r="B56" s="21" t="s">
        <v>1323</v>
      </c>
      <c r="C56" s="21" t="s">
        <v>1389</v>
      </c>
      <c r="D56" s="21" t="s">
        <v>1759</v>
      </c>
      <c r="E56" s="21" t="s">
        <v>1760</v>
      </c>
      <c r="F56" s="21" t="s">
        <v>1761</v>
      </c>
      <c r="G56" s="21" t="s">
        <v>1177</v>
      </c>
      <c r="H56" s="26"/>
    </row>
    <row r="57">
      <c r="A57" s="24"/>
      <c r="B57" s="21" t="s">
        <v>1320</v>
      </c>
      <c r="C57" s="21" t="s">
        <v>1590</v>
      </c>
      <c r="D57" s="21" t="s">
        <v>1217</v>
      </c>
      <c r="E57" s="21" t="s">
        <v>1762</v>
      </c>
      <c r="F57" s="21" t="s">
        <v>1398</v>
      </c>
      <c r="G57" s="21" t="s">
        <v>1177</v>
      </c>
      <c r="H57" s="30"/>
      <c r="I57" s="14"/>
    </row>
    <row r="58">
      <c r="A58" s="16" t="s">
        <v>1174</v>
      </c>
      <c r="B58" s="17" t="s">
        <v>1763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4)),Dex!$A$2:$C237,3,false),"")</f>
        <v/>
      </c>
      <c r="C59" s="21" t="str">
        <f t="array" ref="C59">iferror(VLOOKUP(INDIRECT(ADDRESS(ROW()+1,COLUMN(), 4)),Dex!$A$2:$C237,3,false),"")</f>
        <v/>
      </c>
      <c r="D59" s="21" t="str">
        <f t="array" ref="D59">iferror(VLOOKUP(INDIRECT(ADDRESS(ROW()+1,COLUMN(), 4)),Dex!$A$2:$C237,3,false),"")</f>
        <v/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iferror(VLOOKUP("TRAINER_PIC_RUNNING_TRIATHLETE_M",Sprites!$A$1:$B237,2,false),"")</f>
        <v/>
      </c>
      <c r="I59" s="23"/>
    </row>
    <row r="60">
      <c r="A60" s="24"/>
      <c r="B60" s="25" t="s">
        <v>776</v>
      </c>
      <c r="C60" s="25" t="s">
        <v>83</v>
      </c>
      <c r="D60" s="25" t="s">
        <v>130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1764</v>
      </c>
      <c r="C61" s="27" t="s">
        <v>1764</v>
      </c>
      <c r="D61" s="27" t="s">
        <v>1765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1583</v>
      </c>
      <c r="C62" s="28" t="s">
        <v>1766</v>
      </c>
      <c r="D62" s="28" t="s">
        <v>1209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1767</v>
      </c>
      <c r="C63" s="21" t="s">
        <v>1461</v>
      </c>
      <c r="D63" s="21" t="s">
        <v>1768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1284</v>
      </c>
      <c r="C64" s="28" t="s">
        <v>1284</v>
      </c>
      <c r="D64" s="28" t="s">
        <v>1235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1650</v>
      </c>
      <c r="C65" s="21" t="s">
        <v>1769</v>
      </c>
      <c r="D65" s="21" t="s">
        <v>1671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1373</v>
      </c>
      <c r="C66" s="21" t="s">
        <v>1290</v>
      </c>
      <c r="D66" s="21" t="s">
        <v>1349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1285</v>
      </c>
      <c r="C67" s="21" t="s">
        <v>1621</v>
      </c>
      <c r="D67" s="21" t="s">
        <v>1192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1770</v>
      </c>
      <c r="C68" s="21" t="s">
        <v>1771</v>
      </c>
      <c r="D68" s="21" t="s">
        <v>1772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1773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4)),Dex!$A$2:$C237,3,false),"")</f>
        <v/>
      </c>
      <c r="C70" s="21" t="str">
        <f t="array" ref="C70">iferror(VLOOKUP(INDIRECT(ADDRESS(ROW()+1,COLUMN(), 4)),Dex!$A$2:$C237,3,false),"")</f>
        <v/>
      </c>
      <c r="D70" s="21" t="str">
        <f t="array" ref="D70">iferror(VLOOKUP(INDIRECT(ADDRESS(ROW()+1,COLUMN(), 4)),Dex!$A$2:$C237,3,false),"")</f>
        <v/>
      </c>
      <c r="E70" s="21" t="s">
        <v>1177</v>
      </c>
      <c r="F70" s="21" t="s">
        <v>1177</v>
      </c>
      <c r="G70" s="21" t="s">
        <v>1177</v>
      </c>
      <c r="H70" s="22" t="str">
        <f t="array" ref="H70">iferror(VLOOKUP("TRAINER_PIC_RUNNING_TRIATHLETE_F",Sprites!$A$1:$B237,2,false),"")</f>
        <v/>
      </c>
      <c r="I70" s="23"/>
    </row>
    <row r="71">
      <c r="A71" s="24"/>
      <c r="B71" s="25" t="s">
        <v>116</v>
      </c>
      <c r="C71" s="25" t="s">
        <v>732</v>
      </c>
      <c r="D71" s="25" t="s">
        <v>370</v>
      </c>
      <c r="E71" s="25" t="s">
        <v>1177</v>
      </c>
      <c r="F71" s="25" t="s">
        <v>1177</v>
      </c>
      <c r="G71" s="25" t="s">
        <v>1177</v>
      </c>
      <c r="H71" s="26"/>
    </row>
    <row r="72">
      <c r="A72" s="16" t="s">
        <v>1178</v>
      </c>
      <c r="B72" s="27" t="s">
        <v>1764</v>
      </c>
      <c r="C72" s="27" t="s">
        <v>1765</v>
      </c>
      <c r="D72" s="27" t="s">
        <v>1764</v>
      </c>
      <c r="E72" s="21" t="s">
        <v>1177</v>
      </c>
      <c r="F72" s="21" t="s">
        <v>1177</v>
      </c>
      <c r="G72" s="21" t="s">
        <v>1177</v>
      </c>
      <c r="H72" s="26"/>
    </row>
    <row r="73">
      <c r="A73" s="16" t="s">
        <v>1181</v>
      </c>
      <c r="B73" s="28" t="s">
        <v>1209</v>
      </c>
      <c r="C73" s="28" t="s">
        <v>1209</v>
      </c>
      <c r="D73" s="28" t="s">
        <v>1345</v>
      </c>
      <c r="E73" s="28" t="s">
        <v>1177</v>
      </c>
      <c r="F73" s="28" t="s">
        <v>1177</v>
      </c>
      <c r="G73" s="28" t="s">
        <v>1177</v>
      </c>
      <c r="H73" s="26"/>
    </row>
    <row r="74">
      <c r="A74" s="16" t="s">
        <v>1182</v>
      </c>
      <c r="B74" s="21" t="s">
        <v>1318</v>
      </c>
      <c r="C74" s="21" t="s">
        <v>1774</v>
      </c>
      <c r="D74" s="21" t="s">
        <v>1419</v>
      </c>
      <c r="E74" s="21" t="s">
        <v>1177</v>
      </c>
      <c r="F74" s="21" t="s">
        <v>1177</v>
      </c>
      <c r="G74" s="21" t="s">
        <v>1177</v>
      </c>
      <c r="H74" s="26"/>
    </row>
    <row r="75">
      <c r="A75" s="16" t="s">
        <v>1186</v>
      </c>
      <c r="B75" s="28" t="s">
        <v>1235</v>
      </c>
      <c r="C75" s="28" t="s">
        <v>1235</v>
      </c>
      <c r="D75" s="28" t="s">
        <v>1269</v>
      </c>
      <c r="E75" s="28" t="s">
        <v>1177</v>
      </c>
      <c r="F75" s="28" t="s">
        <v>1177</v>
      </c>
      <c r="G75" s="28" t="s">
        <v>1177</v>
      </c>
      <c r="H75" s="26"/>
    </row>
    <row r="76">
      <c r="A76" s="20" t="s">
        <v>1188</v>
      </c>
      <c r="B76" s="21" t="s">
        <v>1737</v>
      </c>
      <c r="C76" s="21" t="s">
        <v>1775</v>
      </c>
      <c r="D76" s="21" t="s">
        <v>1776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1777</v>
      </c>
      <c r="C77" s="21" t="s">
        <v>1303</v>
      </c>
      <c r="D77" s="21" t="s">
        <v>1778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1779</v>
      </c>
      <c r="C78" s="21" t="s">
        <v>1440</v>
      </c>
      <c r="D78" s="21" t="s">
        <v>1629</v>
      </c>
      <c r="E78" s="21" t="s">
        <v>1177</v>
      </c>
      <c r="F78" s="21" t="s">
        <v>1177</v>
      </c>
      <c r="G78" s="21" t="s">
        <v>1177</v>
      </c>
      <c r="H78" s="26"/>
    </row>
    <row r="79">
      <c r="A79" s="24"/>
      <c r="B79" s="21" t="s">
        <v>1311</v>
      </c>
      <c r="C79" s="21" t="s">
        <v>1780</v>
      </c>
      <c r="D79" s="21" t="s">
        <v>1329</v>
      </c>
      <c r="E79" s="21" t="s">
        <v>1177</v>
      </c>
      <c r="F79" s="21" t="s">
        <v>1177</v>
      </c>
      <c r="G79" s="21" t="s">
        <v>1177</v>
      </c>
      <c r="H79" s="30"/>
      <c r="I79" s="14"/>
    </row>
    <row r="80">
      <c r="A80" s="16" t="s">
        <v>1174</v>
      </c>
      <c r="B80" s="17" t="s">
        <v>1781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4)),Dex!$A$2:$C237,3,false),"")</f>
        <v/>
      </c>
      <c r="C81" s="21" t="str">
        <f t="array" ref="C81">iferror(VLOOKUP(INDIRECT(ADDRESS(ROW()+1,COLUMN(), 4)),Dex!$A$2:$C237,3,false),"")</f>
        <v/>
      </c>
      <c r="D81" s="21" t="str">
        <f t="array" ref="D81">iferror(VLOOKUP(INDIRECT(ADDRESS(ROW()+1,COLUMN(), 4)),Dex!$A$2:$C237,3,false),"")</f>
        <v/>
      </c>
      <c r="E81" s="21" t="str">
        <f t="array" ref="E81">iferror(VLOOKUP(INDIRECT(ADDRESS(ROW()+1,COLUMN(), 4)),Dex!$A$2:$C237,3,false),"")</f>
        <v/>
      </c>
      <c r="F81" s="21" t="s">
        <v>1177</v>
      </c>
      <c r="G81" s="21" t="s">
        <v>1177</v>
      </c>
      <c r="H81" s="22" t="str">
        <f t="array" ref="H81">iferror(VLOOKUP("TRAINER_PIC_POKEMON_BREEDER_M",Sprites!$A$1:$B237,2,false),"")</f>
        <v/>
      </c>
      <c r="I81" s="23"/>
    </row>
    <row r="82">
      <c r="A82" s="24"/>
      <c r="B82" s="25" t="s">
        <v>446</v>
      </c>
      <c r="C82" s="25" t="s">
        <v>760</v>
      </c>
      <c r="D82" s="25" t="s">
        <v>152</v>
      </c>
      <c r="E82" s="25" t="s">
        <v>602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1765</v>
      </c>
      <c r="C83" s="27" t="s">
        <v>1764</v>
      </c>
      <c r="D83" s="27" t="s">
        <v>1765</v>
      </c>
      <c r="E83" s="27" t="s">
        <v>1764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1209</v>
      </c>
      <c r="C84" s="28" t="s">
        <v>1782</v>
      </c>
      <c r="D84" s="28" t="s">
        <v>1209</v>
      </c>
      <c r="E84" s="28" t="s">
        <v>1209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1368</v>
      </c>
      <c r="C85" s="21" t="s">
        <v>1783</v>
      </c>
      <c r="D85" s="21" t="s">
        <v>1357</v>
      </c>
      <c r="E85" s="21" t="s">
        <v>1393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1256</v>
      </c>
      <c r="C86" s="28" t="s">
        <v>1248</v>
      </c>
      <c r="D86" s="28" t="s">
        <v>1284</v>
      </c>
      <c r="E86" s="28" t="s">
        <v>1284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1618</v>
      </c>
      <c r="C87" s="21" t="s">
        <v>1784</v>
      </c>
      <c r="D87" s="21" t="s">
        <v>1785</v>
      </c>
      <c r="E87" s="21" t="s">
        <v>1468</v>
      </c>
      <c r="F87" s="21" t="s">
        <v>1177</v>
      </c>
      <c r="G87" s="21" t="s">
        <v>1177</v>
      </c>
      <c r="H87" s="26"/>
    </row>
    <row r="88">
      <c r="A88" s="29"/>
      <c r="B88" s="21" t="s">
        <v>1786</v>
      </c>
      <c r="C88" s="21" t="s">
        <v>1738</v>
      </c>
      <c r="D88" s="21" t="s">
        <v>1732</v>
      </c>
      <c r="E88" s="21" t="s">
        <v>1395</v>
      </c>
      <c r="F88" s="21" t="s">
        <v>1177</v>
      </c>
      <c r="G88" s="21" t="s">
        <v>1177</v>
      </c>
      <c r="H88" s="26"/>
    </row>
    <row r="89">
      <c r="A89" s="29"/>
      <c r="B89" s="21" t="s">
        <v>1587</v>
      </c>
      <c r="C89" s="21" t="s">
        <v>1704</v>
      </c>
      <c r="D89" s="21" t="s">
        <v>1723</v>
      </c>
      <c r="E89" s="21" t="s">
        <v>1262</v>
      </c>
      <c r="F89" s="21" t="s">
        <v>1177</v>
      </c>
      <c r="G89" s="21" t="s">
        <v>1177</v>
      </c>
      <c r="H89" s="26"/>
    </row>
    <row r="90">
      <c r="A90" s="24"/>
      <c r="B90" s="21" t="s">
        <v>1384</v>
      </c>
      <c r="C90" s="21" t="s">
        <v>1787</v>
      </c>
      <c r="D90" s="21" t="s">
        <v>1788</v>
      </c>
      <c r="E90" s="21" t="s">
        <v>1590</v>
      </c>
      <c r="F90" s="21" t="s">
        <v>1177</v>
      </c>
      <c r="G90" s="21" t="s">
        <v>1177</v>
      </c>
      <c r="H90" s="30"/>
      <c r="I90" s="14"/>
    </row>
    <row r="91">
      <c r="A91" s="16" t="s">
        <v>1174</v>
      </c>
      <c r="B91" s="17" t="s">
        <v>1789</v>
      </c>
      <c r="C91" s="18"/>
      <c r="D91" s="18"/>
      <c r="E91" s="18"/>
      <c r="F91" s="18"/>
      <c r="G91" s="18"/>
      <c r="H91" s="18"/>
      <c r="I91" s="16"/>
    </row>
    <row r="92" ht="60.0" customHeight="1">
      <c r="A92" s="20" t="s">
        <v>1176</v>
      </c>
      <c r="B92" s="21" t="str">
        <f t="array" ref="B92">iferror(VLOOKUP(INDIRECT(ADDRESS(ROW()+1,COLUMN(), 4)),Dex!$A$2:$C237,3,false),"")</f>
        <v/>
      </c>
      <c r="C92" s="21" t="str">
        <f t="array" ref="C92">iferror(VLOOKUP(INDIRECT(ADDRESS(ROW()+1,COLUMN(), 4)),Dex!$A$2:$C237,3,false),"")</f>
        <v/>
      </c>
      <c r="D92" s="21" t="str">
        <f t="array" ref="D92">iferror(VLOOKUP(INDIRECT(ADDRESS(ROW()+1,COLUMN(), 4)),Dex!$A$2:$C237,3,false),"")</f>
        <v/>
      </c>
      <c r="E92" s="21" t="str">
        <f t="array" ref="E92">iferror(VLOOKUP(INDIRECT(ADDRESS(ROW()+1,COLUMN(), 4)),Dex!$A$2:$C237,3,false),"")</f>
        <v/>
      </c>
      <c r="F92" s="21" t="s">
        <v>1177</v>
      </c>
      <c r="G92" s="21" t="s">
        <v>1177</v>
      </c>
      <c r="H92" s="22" t="str">
        <f t="array" ref="H92">iferror(VLOOKUP("TRAINER_PIC_SR_AND_JR",Sprites!$A$1:$B237,2,false),"")</f>
        <v/>
      </c>
      <c r="I92" s="23"/>
    </row>
    <row r="93">
      <c r="A93" s="24"/>
      <c r="B93" s="25" t="s">
        <v>746</v>
      </c>
      <c r="C93" s="25" t="s">
        <v>175</v>
      </c>
      <c r="D93" s="25" t="s">
        <v>247</v>
      </c>
      <c r="E93" s="25" t="s">
        <v>158</v>
      </c>
      <c r="F93" s="25" t="s">
        <v>1177</v>
      </c>
      <c r="G93" s="25" t="s">
        <v>1177</v>
      </c>
      <c r="H93" s="26"/>
    </row>
    <row r="94">
      <c r="A94" s="16" t="s">
        <v>1178</v>
      </c>
      <c r="B94" s="27" t="s">
        <v>1765</v>
      </c>
      <c r="C94" s="27" t="s">
        <v>1790</v>
      </c>
      <c r="D94" s="27" t="s">
        <v>1765</v>
      </c>
      <c r="E94" s="27" t="s">
        <v>1790</v>
      </c>
      <c r="F94" s="21" t="s">
        <v>1177</v>
      </c>
      <c r="G94" s="21" t="s">
        <v>1177</v>
      </c>
      <c r="H94" s="26"/>
    </row>
    <row r="95">
      <c r="A95" s="16" t="s">
        <v>1181</v>
      </c>
      <c r="B95" s="28" t="s">
        <v>1226</v>
      </c>
      <c r="C95" s="28" t="s">
        <v>1247</v>
      </c>
      <c r="D95" s="28" t="s">
        <v>1209</v>
      </c>
      <c r="E95" s="28" t="s">
        <v>1366</v>
      </c>
      <c r="F95" s="28" t="s">
        <v>1177</v>
      </c>
      <c r="G95" s="28" t="s">
        <v>1177</v>
      </c>
      <c r="H95" s="26"/>
    </row>
    <row r="96">
      <c r="A96" s="16" t="s">
        <v>1182</v>
      </c>
      <c r="B96" s="21" t="s">
        <v>1752</v>
      </c>
      <c r="C96" s="21" t="s">
        <v>1669</v>
      </c>
      <c r="D96" s="21" t="s">
        <v>1791</v>
      </c>
      <c r="E96" s="21" t="s">
        <v>1669</v>
      </c>
      <c r="F96" s="21" t="s">
        <v>1177</v>
      </c>
      <c r="G96" s="21" t="s">
        <v>1177</v>
      </c>
      <c r="H96" s="26"/>
    </row>
    <row r="97">
      <c r="A97" s="16" t="s">
        <v>1186</v>
      </c>
      <c r="B97" s="28" t="s">
        <v>1284</v>
      </c>
      <c r="C97" s="28" t="s">
        <v>1465</v>
      </c>
      <c r="D97" s="28" t="s">
        <v>1284</v>
      </c>
      <c r="E97" s="28" t="s">
        <v>1383</v>
      </c>
      <c r="F97" s="28" t="s">
        <v>1177</v>
      </c>
      <c r="G97" s="28" t="s">
        <v>1177</v>
      </c>
      <c r="H97" s="26"/>
    </row>
    <row r="98">
      <c r="A98" s="20" t="s">
        <v>1188</v>
      </c>
      <c r="B98" s="21" t="s">
        <v>1670</v>
      </c>
      <c r="C98" s="21" t="s">
        <v>1251</v>
      </c>
      <c r="D98" s="21" t="s">
        <v>1670</v>
      </c>
      <c r="E98" s="21" t="s">
        <v>1792</v>
      </c>
      <c r="F98" s="21" t="s">
        <v>1177</v>
      </c>
      <c r="G98" s="21" t="s">
        <v>1177</v>
      </c>
      <c r="H98" s="26"/>
    </row>
    <row r="99">
      <c r="A99" s="29"/>
      <c r="B99" s="21" t="s">
        <v>1177</v>
      </c>
      <c r="C99" s="21" t="s">
        <v>1793</v>
      </c>
      <c r="D99" s="21" t="s">
        <v>1387</v>
      </c>
      <c r="E99" s="21" t="s">
        <v>1740</v>
      </c>
      <c r="F99" s="21" t="s">
        <v>1177</v>
      </c>
      <c r="G99" s="21" t="s">
        <v>1177</v>
      </c>
      <c r="H99" s="26"/>
    </row>
    <row r="100">
      <c r="A100" s="29"/>
      <c r="B100" s="21" t="s">
        <v>1177</v>
      </c>
      <c r="C100" s="21" t="s">
        <v>1468</v>
      </c>
      <c r="D100" s="21" t="s">
        <v>1587</v>
      </c>
      <c r="E100" s="21" t="s">
        <v>1468</v>
      </c>
      <c r="F100" s="21" t="s">
        <v>1177</v>
      </c>
      <c r="G100" s="21" t="s">
        <v>1177</v>
      </c>
      <c r="H100" s="26"/>
    </row>
    <row r="101">
      <c r="A101" s="24"/>
      <c r="B101" s="21" t="s">
        <v>1177</v>
      </c>
      <c r="C101" s="21" t="s">
        <v>1252</v>
      </c>
      <c r="D101" s="21" t="s">
        <v>1621</v>
      </c>
      <c r="E101" s="21" t="s">
        <v>1384</v>
      </c>
      <c r="F101" s="21" t="s">
        <v>1177</v>
      </c>
      <c r="G101" s="21" t="s">
        <v>1177</v>
      </c>
      <c r="H101" s="30"/>
      <c r="I101" s="14"/>
    </row>
    <row r="102">
      <c r="A102" s="16" t="s">
        <v>1174</v>
      </c>
      <c r="B102" s="17" t="s">
        <v>1794</v>
      </c>
      <c r="C102" s="18"/>
      <c r="D102" s="18"/>
      <c r="E102" s="18"/>
      <c r="F102" s="18"/>
      <c r="G102" s="18"/>
      <c r="H102" s="18"/>
      <c r="I102" s="16"/>
    </row>
    <row r="103" ht="60.0" customHeight="1">
      <c r="A103" s="20" t="s">
        <v>1176</v>
      </c>
      <c r="B103" s="21" t="str">
        <f t="array" ref="B103">iferror(VLOOKUP(INDIRECT(ADDRESS(ROW()+1,COLUMN(), 4)),Dex!$A$2:$C237,3,false),"")</f>
        <v/>
      </c>
      <c r="C103" s="21" t="str">
        <f t="array" ref="C103">iferror(VLOOKUP(INDIRECT(ADDRESS(ROW()+1,COLUMN(), 4)),Dex!$A$2:$C237,3,false),"")</f>
        <v/>
      </c>
      <c r="D103" s="21" t="str">
        <f t="array" ref="D103">iferror(VLOOKUP(INDIRECT(ADDRESS(ROW()+1,COLUMN(), 4)),Dex!$A$2:$C237,3,false),"")</f>
        <v/>
      </c>
      <c r="E103" s="21" t="str">
        <f t="array" ref="E103">iferror(VLOOKUP(INDIRECT(ADDRESS(ROW()+1,COLUMN(), 4)),Dex!$A$2:$C237,3,false),"")</f>
        <v/>
      </c>
      <c r="F103" s="21" t="str">
        <f t="array" ref="F103">iferror(VLOOKUP(INDIRECT(ADDRESS(ROW()+1,COLUMN(), 4)),Dex!$A$2:$C237,3,false),"")</f>
        <v/>
      </c>
      <c r="G103" s="21" t="str">
        <f t="array" ref="G103">iferror(VLOOKUP(INDIRECT(ADDRESS(ROW()+1,COLUMN(), 4)),Dex!$A$2:$C237,3,false),"")</f>
        <v/>
      </c>
      <c r="H103" s="22" t="str">
        <f t="array" ref="H103">iferror(VLOOKUP("TRAINER_PIC_LEAF",Sprites!$A$1:$B237,2,false),"")</f>
        <v/>
      </c>
      <c r="I103" s="23"/>
    </row>
    <row r="104">
      <c r="A104" s="24"/>
      <c r="B104" s="25" t="s">
        <v>195</v>
      </c>
      <c r="C104" s="25" t="s">
        <v>167</v>
      </c>
      <c r="D104" s="25" t="s">
        <v>590</v>
      </c>
      <c r="E104" s="25" t="s">
        <v>533</v>
      </c>
      <c r="F104" s="25" t="s">
        <v>121</v>
      </c>
      <c r="G104" s="25" t="s">
        <v>395</v>
      </c>
      <c r="H104" s="26"/>
    </row>
    <row r="105">
      <c r="A105" s="16" t="s">
        <v>1178</v>
      </c>
      <c r="B105" s="27" t="s">
        <v>1765</v>
      </c>
      <c r="C105" s="27" t="s">
        <v>1795</v>
      </c>
      <c r="D105" s="27" t="s">
        <v>1765</v>
      </c>
      <c r="E105" s="27" t="s">
        <v>1790</v>
      </c>
      <c r="F105" s="27" t="s">
        <v>1790</v>
      </c>
      <c r="G105" s="27" t="s">
        <v>1795</v>
      </c>
      <c r="H105" s="26"/>
    </row>
    <row r="106">
      <c r="A106" s="16" t="s">
        <v>1181</v>
      </c>
      <c r="B106" s="28" t="s">
        <v>1366</v>
      </c>
      <c r="C106" s="28" t="s">
        <v>1403</v>
      </c>
      <c r="D106" s="28" t="s">
        <v>1571</v>
      </c>
      <c r="E106" s="28" t="s">
        <v>1209</v>
      </c>
      <c r="F106" s="28" t="s">
        <v>1796</v>
      </c>
      <c r="G106" s="28" t="s">
        <v>1345</v>
      </c>
      <c r="H106" s="26"/>
    </row>
    <row r="107">
      <c r="A107" s="16" t="s">
        <v>1182</v>
      </c>
      <c r="B107" s="21" t="s">
        <v>1462</v>
      </c>
      <c r="C107" s="21" t="s">
        <v>1692</v>
      </c>
      <c r="D107" s="21" t="s">
        <v>1797</v>
      </c>
      <c r="E107" s="21" t="s">
        <v>1798</v>
      </c>
      <c r="F107" s="21" t="s">
        <v>1799</v>
      </c>
      <c r="G107" s="21" t="s">
        <v>1800</v>
      </c>
      <c r="H107" s="26"/>
    </row>
    <row r="108">
      <c r="A108" s="16" t="s">
        <v>1186</v>
      </c>
      <c r="B108" s="28" t="s">
        <v>1234</v>
      </c>
      <c r="C108" s="28" t="s">
        <v>1406</v>
      </c>
      <c r="D108" s="28" t="s">
        <v>1284</v>
      </c>
      <c r="E108" s="28" t="s">
        <v>1754</v>
      </c>
      <c r="F108" s="28" t="s">
        <v>1406</v>
      </c>
      <c r="G108" s="28" t="s">
        <v>1235</v>
      </c>
      <c r="H108" s="26"/>
    </row>
    <row r="109">
      <c r="A109" s="20" t="s">
        <v>1188</v>
      </c>
      <c r="B109" s="21" t="s">
        <v>1801</v>
      </c>
      <c r="C109" s="21" t="s">
        <v>1772</v>
      </c>
      <c r="D109" s="21" t="s">
        <v>1335</v>
      </c>
      <c r="E109" s="21" t="s">
        <v>1802</v>
      </c>
      <c r="F109" s="21" t="s">
        <v>1749</v>
      </c>
      <c r="G109" s="21" t="s">
        <v>1803</v>
      </c>
      <c r="H109" s="26"/>
    </row>
    <row r="110">
      <c r="A110" s="29"/>
      <c r="B110" s="21" t="s">
        <v>1724</v>
      </c>
      <c r="C110" s="21" t="s">
        <v>1438</v>
      </c>
      <c r="D110" s="21" t="s">
        <v>1261</v>
      </c>
      <c r="E110" s="21" t="s">
        <v>1415</v>
      </c>
      <c r="F110" s="21" t="s">
        <v>1469</v>
      </c>
      <c r="G110" s="21" t="s">
        <v>1225</v>
      </c>
      <c r="H110" s="26"/>
    </row>
    <row r="111">
      <c r="A111" s="29"/>
      <c r="B111" s="21" t="s">
        <v>1804</v>
      </c>
      <c r="C111" s="21" t="s">
        <v>1805</v>
      </c>
      <c r="D111" s="21" t="s">
        <v>1726</v>
      </c>
      <c r="E111" s="21" t="s">
        <v>1713</v>
      </c>
      <c r="F111" s="21" t="s">
        <v>1598</v>
      </c>
      <c r="G111" s="21" t="s">
        <v>1177</v>
      </c>
      <c r="H111" s="26"/>
    </row>
    <row r="112">
      <c r="A112" s="24"/>
      <c r="B112" s="21" t="s">
        <v>1780</v>
      </c>
      <c r="C112" s="21" t="s">
        <v>1705</v>
      </c>
      <c r="D112" s="21" t="s">
        <v>1652</v>
      </c>
      <c r="E112" s="21" t="s">
        <v>1470</v>
      </c>
      <c r="F112" s="21" t="s">
        <v>1806</v>
      </c>
      <c r="G112" s="21" t="s">
        <v>1177</v>
      </c>
      <c r="H112" s="30"/>
      <c r="I112" s="14"/>
    </row>
    <row r="113">
      <c r="A113" s="37"/>
      <c r="B113" s="38" t="s">
        <v>1807</v>
      </c>
      <c r="C113" s="14"/>
      <c r="D113" s="14"/>
      <c r="E113" s="14"/>
      <c r="F113" s="14"/>
      <c r="G113" s="14"/>
      <c r="H113" s="24"/>
      <c r="I113" s="33"/>
    </row>
    <row r="114">
      <c r="A114" s="16" t="s">
        <v>1174</v>
      </c>
      <c r="B114" s="17" t="s">
        <v>1808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4)),Dex!$A$2:$C237,3,false),"")</f>
        <v/>
      </c>
      <c r="C115" s="21" t="str">
        <f t="array" ref="C115">iferror(VLOOKUP(INDIRECT(ADDRESS(ROW()+1,COLUMN(), 4)),Dex!$A$2:$C237,3,false),"")</f>
        <v/>
      </c>
      <c r="D115" s="21" t="str">
        <f t="array" ref="D115">iferror(VLOOKUP(INDIRECT(ADDRESS(ROW()+1,COLUMN(), 4)),Dex!$A$2:$C237,3,false),"")</f>
        <v/>
      </c>
      <c r="E115" s="21"/>
      <c r="F115" s="21" t="str">
        <f t="array" ref="F115">iferror(VLOOKUP(INDIRECT(ADDRESS(ROW()+1,COLUMN(), 4)),Dex!$A$2:$C237,3,false),"")</f>
        <v/>
      </c>
      <c r="G115" s="21" t="str">
        <f t="array" ref="G115">iferror(VLOOKUP(INDIRECT(ADDRESS(ROW()+1,COLUMN(), 4)),Dex!$A$2:$C237,3,false),"")</f>
        <v/>
      </c>
      <c r="H115" s="22" t="str">
        <f t="array" ref="H115">iferror(VLOOKUP("TRAINER_PIC_AROMA_LADY",Sprites!$A$1:$B237,2,false),"")</f>
        <v/>
      </c>
      <c r="I115" s="23"/>
    </row>
    <row r="116">
      <c r="A116" s="24"/>
      <c r="B116" s="25" t="s">
        <v>125</v>
      </c>
      <c r="C116" s="25" t="s">
        <v>656</v>
      </c>
      <c r="D116" s="25" t="s">
        <v>40</v>
      </c>
      <c r="E116" s="25"/>
      <c r="F116" s="25" t="s">
        <v>259</v>
      </c>
      <c r="G116" s="25" t="s">
        <v>69</v>
      </c>
      <c r="H116" s="26"/>
    </row>
    <row r="117">
      <c r="A117" s="16" t="s">
        <v>1178</v>
      </c>
      <c r="B117" s="27" t="s">
        <v>1795</v>
      </c>
      <c r="C117" s="27" t="s">
        <v>1809</v>
      </c>
      <c r="D117" s="27" t="s">
        <v>1809</v>
      </c>
      <c r="E117" s="21"/>
      <c r="F117" s="27" t="s">
        <v>1809</v>
      </c>
      <c r="G117" s="27" t="s">
        <v>1809</v>
      </c>
      <c r="H117" s="26"/>
    </row>
    <row r="118">
      <c r="A118" s="16" t="s">
        <v>1181</v>
      </c>
      <c r="B118" s="28" t="s">
        <v>1810</v>
      </c>
      <c r="C118" s="28" t="s">
        <v>1209</v>
      </c>
      <c r="D118" s="28" t="s">
        <v>1346</v>
      </c>
      <c r="E118" s="28"/>
      <c r="F118" s="28" t="s">
        <v>1209</v>
      </c>
      <c r="G118" s="28" t="s">
        <v>1209</v>
      </c>
      <c r="H118" s="26"/>
    </row>
    <row r="119">
      <c r="A119" s="16" t="s">
        <v>1182</v>
      </c>
      <c r="B119" s="21" t="s">
        <v>1356</v>
      </c>
      <c r="C119" s="21" t="s">
        <v>1811</v>
      </c>
      <c r="D119" s="21" t="s">
        <v>1298</v>
      </c>
      <c r="E119" s="21"/>
      <c r="F119" s="21" t="s">
        <v>1812</v>
      </c>
      <c r="G119" s="21" t="s">
        <v>1813</v>
      </c>
      <c r="H119" s="26"/>
    </row>
    <row r="120">
      <c r="A120" s="16" t="s">
        <v>1186</v>
      </c>
      <c r="B120" s="28" t="s">
        <v>1235</v>
      </c>
      <c r="C120" s="28" t="s">
        <v>1754</v>
      </c>
      <c r="D120" s="28" t="s">
        <v>1235</v>
      </c>
      <c r="E120" s="28"/>
      <c r="F120" s="28" t="s">
        <v>1256</v>
      </c>
      <c r="G120" s="28" t="s">
        <v>1256</v>
      </c>
      <c r="H120" s="26"/>
    </row>
    <row r="121">
      <c r="A121" s="20" t="s">
        <v>1188</v>
      </c>
      <c r="B121" s="21" t="s">
        <v>1776</v>
      </c>
      <c r="C121" s="21" t="s">
        <v>1627</v>
      </c>
      <c r="D121" s="21" t="s">
        <v>1814</v>
      </c>
      <c r="E121" s="21"/>
      <c r="F121" s="21" t="s">
        <v>1815</v>
      </c>
      <c r="G121" s="21" t="s">
        <v>1373</v>
      </c>
      <c r="H121" s="26"/>
    </row>
    <row r="122">
      <c r="A122" s="29"/>
      <c r="B122" s="21" t="s">
        <v>1628</v>
      </c>
      <c r="C122" s="21" t="s">
        <v>1662</v>
      </c>
      <c r="D122" s="21" t="s">
        <v>1411</v>
      </c>
      <c r="E122" s="21"/>
      <c r="F122" s="21" t="s">
        <v>1285</v>
      </c>
      <c r="G122" s="21" t="s">
        <v>1285</v>
      </c>
      <c r="H122" s="26"/>
    </row>
    <row r="123">
      <c r="A123" s="29"/>
      <c r="B123" s="21" t="s">
        <v>1816</v>
      </c>
      <c r="C123" s="21" t="s">
        <v>1817</v>
      </c>
      <c r="D123" s="21" t="s">
        <v>1471</v>
      </c>
      <c r="E123" s="21"/>
      <c r="F123" s="21" t="s">
        <v>1622</v>
      </c>
      <c r="G123" s="21" t="s">
        <v>1622</v>
      </c>
      <c r="H123" s="26"/>
    </row>
    <row r="124">
      <c r="A124" s="24"/>
      <c r="B124" s="21" t="s">
        <v>1577</v>
      </c>
      <c r="C124" s="21" t="s">
        <v>1757</v>
      </c>
      <c r="D124" s="21" t="s">
        <v>1818</v>
      </c>
      <c r="E124" s="21"/>
      <c r="F124" s="21" t="s">
        <v>1623</v>
      </c>
      <c r="G124" s="21" t="s">
        <v>1623</v>
      </c>
      <c r="H124" s="30"/>
      <c r="I124" s="14"/>
    </row>
    <row r="125">
      <c r="A125" s="16" t="s">
        <v>1174</v>
      </c>
      <c r="B125" s="17" t="s">
        <v>1819</v>
      </c>
      <c r="C125" s="18"/>
      <c r="D125" s="18"/>
      <c r="E125" s="18"/>
      <c r="F125" s="18"/>
      <c r="G125" s="18"/>
      <c r="H125" s="18"/>
      <c r="I125" s="16"/>
    </row>
    <row r="126" ht="60.0" customHeight="1">
      <c r="A126" s="20" t="s">
        <v>1176</v>
      </c>
      <c r="B126" s="21" t="str">
        <f t="array" ref="B126">iferror(VLOOKUP(INDIRECT(ADDRESS(ROW()+1,COLUMN(), 4)),Dex!$A$2:$C237,3,false),"")</f>
        <v/>
      </c>
      <c r="C126" s="21" t="str">
        <f t="array" ref="C126">iferror(VLOOKUP(INDIRECT(ADDRESS(ROW()+1,COLUMN(), 4)),Dex!$A$2:$C237,3,false),"")</f>
        <v/>
      </c>
      <c r="D126" s="21" t="str">
        <f t="array" ref="D126">iferror(VLOOKUP(INDIRECT(ADDRESS(ROW()+1,COLUMN(), 4)),Dex!$A$2:$C237,3,false),"")</f>
        <v/>
      </c>
      <c r="E126" s="21" t="s">
        <v>1177</v>
      </c>
      <c r="F126" s="21" t="s">
        <v>1177</v>
      </c>
      <c r="G126" s="21" t="s">
        <v>1177</v>
      </c>
      <c r="H126" s="22" t="str">
        <f t="array" ref="H126">iferror(VLOOKUP("TRAINER_PIC_PICNICKER",Sprites!$A$1:$B237,2,false),"")</f>
        <v/>
      </c>
      <c r="I126" s="23"/>
    </row>
    <row r="127">
      <c r="A127" s="24"/>
      <c r="B127" s="25" t="s">
        <v>23</v>
      </c>
      <c r="C127" s="25" t="s">
        <v>663</v>
      </c>
      <c r="D127" s="25" t="s">
        <v>320</v>
      </c>
      <c r="E127" s="25" t="s">
        <v>1177</v>
      </c>
      <c r="F127" s="25" t="s">
        <v>1177</v>
      </c>
      <c r="G127" s="25" t="s">
        <v>1177</v>
      </c>
      <c r="H127" s="26"/>
    </row>
    <row r="128">
      <c r="A128" s="16" t="s">
        <v>1178</v>
      </c>
      <c r="B128" s="27" t="s">
        <v>1809</v>
      </c>
      <c r="C128" s="27" t="s">
        <v>1809</v>
      </c>
      <c r="D128" s="27" t="s">
        <v>1809</v>
      </c>
      <c r="E128" s="21" t="s">
        <v>1177</v>
      </c>
      <c r="F128" s="21" t="s">
        <v>1177</v>
      </c>
      <c r="G128" s="21" t="s">
        <v>1177</v>
      </c>
      <c r="H128" s="26"/>
    </row>
    <row r="129">
      <c r="A129" s="16" t="s">
        <v>1181</v>
      </c>
      <c r="B129" s="28" t="s">
        <v>1341</v>
      </c>
      <c r="C129" s="28" t="s">
        <v>1572</v>
      </c>
      <c r="D129" s="28" t="s">
        <v>1209</v>
      </c>
      <c r="E129" s="28" t="s">
        <v>1177</v>
      </c>
      <c r="F129" s="28" t="s">
        <v>1177</v>
      </c>
      <c r="G129" s="28" t="s">
        <v>1177</v>
      </c>
      <c r="H129" s="26"/>
    </row>
    <row r="130">
      <c r="A130" s="16" t="s">
        <v>1182</v>
      </c>
      <c r="B130" s="21" t="s">
        <v>1820</v>
      </c>
      <c r="C130" s="21" t="s">
        <v>1821</v>
      </c>
      <c r="D130" s="21" t="s">
        <v>1298</v>
      </c>
      <c r="E130" s="21" t="s">
        <v>1177</v>
      </c>
      <c r="F130" s="21" t="s">
        <v>1177</v>
      </c>
      <c r="G130" s="21" t="s">
        <v>1177</v>
      </c>
      <c r="H130" s="26"/>
    </row>
    <row r="131">
      <c r="A131" s="16" t="s">
        <v>1186</v>
      </c>
      <c r="B131" s="28" t="s">
        <v>1284</v>
      </c>
      <c r="C131" s="28" t="s">
        <v>1269</v>
      </c>
      <c r="D131" s="28" t="s">
        <v>1235</v>
      </c>
      <c r="E131" s="28" t="s">
        <v>1177</v>
      </c>
      <c r="F131" s="28" t="s">
        <v>1177</v>
      </c>
      <c r="G131" s="28" t="s">
        <v>1177</v>
      </c>
      <c r="H131" s="26"/>
    </row>
    <row r="132">
      <c r="A132" s="20" t="s">
        <v>1188</v>
      </c>
      <c r="B132" s="21" t="s">
        <v>1822</v>
      </c>
      <c r="C132" s="21" t="s">
        <v>1823</v>
      </c>
      <c r="D132" s="21" t="s">
        <v>1805</v>
      </c>
      <c r="E132" s="21" t="s">
        <v>1177</v>
      </c>
      <c r="F132" s="21" t="s">
        <v>1177</v>
      </c>
      <c r="G132" s="21" t="s">
        <v>1177</v>
      </c>
      <c r="H132" s="26"/>
    </row>
    <row r="133">
      <c r="A133" s="29"/>
      <c r="B133" s="21" t="s">
        <v>1650</v>
      </c>
      <c r="C133" s="21" t="s">
        <v>1472</v>
      </c>
      <c r="D133" s="21" t="s">
        <v>1439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1177</v>
      </c>
      <c r="C134" s="21" t="s">
        <v>1438</v>
      </c>
      <c r="D134" s="21" t="s">
        <v>1469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4"/>
      <c r="B135" s="21" t="s">
        <v>1177</v>
      </c>
      <c r="C135" s="21" t="s">
        <v>1238</v>
      </c>
      <c r="D135" s="21" t="s">
        <v>1311</v>
      </c>
      <c r="E135" s="21" t="s">
        <v>1177</v>
      </c>
      <c r="F135" s="21" t="s">
        <v>1177</v>
      </c>
      <c r="G135" s="21" t="s">
        <v>1177</v>
      </c>
      <c r="H135" s="30"/>
      <c r="I135" s="14"/>
    </row>
    <row r="136">
      <c r="A136" s="16" t="s">
        <v>1174</v>
      </c>
      <c r="B136" s="17" t="s">
        <v>1824</v>
      </c>
      <c r="C136" s="18"/>
      <c r="D136" s="18"/>
      <c r="E136" s="18"/>
      <c r="F136" s="18"/>
      <c r="G136" s="18"/>
      <c r="H136" s="18"/>
      <c r="I136" s="16"/>
    </row>
    <row r="137" ht="60.0" customHeight="1">
      <c r="A137" s="20" t="s">
        <v>1176</v>
      </c>
      <c r="B137" s="21" t="str">
        <f t="array" ref="B137">iferror(VLOOKUP(INDIRECT(ADDRESS(ROW()+1,COLUMN(), 4)),Dex!$A$2:$C237,3,false),"")</f>
        <v/>
      </c>
      <c r="C137" s="21" t="str">
        <f t="array" ref="C137">iferror(VLOOKUP(INDIRECT(ADDRESS(ROW()+1,COLUMN(), 4)),Dex!$A$2:$C237,3,false),"")</f>
        <v/>
      </c>
      <c r="D137" s="21" t="str">
        <f t="array" ref="D137">iferror(VLOOKUP(INDIRECT(ADDRESS(ROW()+1,COLUMN(), 4)),Dex!$A$2:$C237,3,false),"")</f>
        <v/>
      </c>
      <c r="E137" s="21" t="str">
        <f t="array" ref="E137">iferror(VLOOKUP(INDIRECT(ADDRESS(ROW()+1,COLUMN(), 4)),Dex!$A$2:$C237,3,false),"")</f>
        <v/>
      </c>
      <c r="F137" s="21" t="s">
        <v>1177</v>
      </c>
      <c r="G137" s="21" t="s">
        <v>1177</v>
      </c>
      <c r="H137" s="22" t="str">
        <f t="array" ref="H137">iferror(VLOOKUP("TRAINER_PIC_KINDLER",Sprites!$A$1:$B237,2,false),"")</f>
        <v/>
      </c>
      <c r="I137" s="23"/>
    </row>
    <row r="138">
      <c r="A138" s="24"/>
      <c r="B138" s="25" t="s">
        <v>933</v>
      </c>
      <c r="C138" s="25" t="s">
        <v>792</v>
      </c>
      <c r="D138" s="25" t="s">
        <v>423</v>
      </c>
      <c r="E138" s="25" t="s">
        <v>991</v>
      </c>
      <c r="F138" s="25" t="s">
        <v>1177</v>
      </c>
      <c r="G138" s="25" t="s">
        <v>1177</v>
      </c>
      <c r="H138" s="26"/>
    </row>
    <row r="139">
      <c r="A139" s="16" t="s">
        <v>1178</v>
      </c>
      <c r="B139" s="27" t="s">
        <v>1809</v>
      </c>
      <c r="C139" s="27" t="s">
        <v>1809</v>
      </c>
      <c r="D139" s="27" t="s">
        <v>1825</v>
      </c>
      <c r="E139" s="27" t="s">
        <v>1825</v>
      </c>
      <c r="F139" s="21" t="s">
        <v>1177</v>
      </c>
      <c r="G139" s="21" t="s">
        <v>1177</v>
      </c>
      <c r="H139" s="26"/>
    </row>
    <row r="140">
      <c r="A140" s="16" t="s">
        <v>1181</v>
      </c>
      <c r="B140" s="28" t="s">
        <v>1366</v>
      </c>
      <c r="C140" s="28" t="s">
        <v>1209</v>
      </c>
      <c r="D140" s="28" t="s">
        <v>1209</v>
      </c>
      <c r="E140" s="28" t="s">
        <v>1209</v>
      </c>
      <c r="F140" s="28" t="s">
        <v>1177</v>
      </c>
      <c r="G140" s="28" t="s">
        <v>1177</v>
      </c>
      <c r="H140" s="26"/>
    </row>
    <row r="141">
      <c r="A141" s="16" t="s">
        <v>1182</v>
      </c>
      <c r="B141" s="21" t="s">
        <v>1634</v>
      </c>
      <c r="C141" s="21" t="s">
        <v>1826</v>
      </c>
      <c r="D141" s="21" t="s">
        <v>1382</v>
      </c>
      <c r="E141" s="21" t="s">
        <v>1231</v>
      </c>
      <c r="F141" s="21" t="s">
        <v>1177</v>
      </c>
      <c r="G141" s="21" t="s">
        <v>1177</v>
      </c>
      <c r="H141" s="26"/>
    </row>
    <row r="142">
      <c r="A142" s="16" t="s">
        <v>1186</v>
      </c>
      <c r="B142" s="28" t="s">
        <v>1284</v>
      </c>
      <c r="C142" s="28" t="s">
        <v>1300</v>
      </c>
      <c r="D142" s="28" t="s">
        <v>1754</v>
      </c>
      <c r="E142" s="28" t="s">
        <v>1465</v>
      </c>
      <c r="F142" s="28" t="s">
        <v>1177</v>
      </c>
      <c r="G142" s="28" t="s">
        <v>1177</v>
      </c>
      <c r="H142" s="26"/>
    </row>
    <row r="143">
      <c r="A143" s="20" t="s">
        <v>1188</v>
      </c>
      <c r="B143" s="21" t="s">
        <v>1637</v>
      </c>
      <c r="C143" s="21" t="s">
        <v>1827</v>
      </c>
      <c r="D143" s="21" t="s">
        <v>1677</v>
      </c>
      <c r="E143" s="21" t="s">
        <v>1828</v>
      </c>
      <c r="F143" s="21" t="s">
        <v>1177</v>
      </c>
      <c r="G143" s="21" t="s">
        <v>1177</v>
      </c>
      <c r="H143" s="26"/>
    </row>
    <row r="144">
      <c r="A144" s="29"/>
      <c r="B144" s="21" t="s">
        <v>1619</v>
      </c>
      <c r="C144" s="21" t="s">
        <v>1285</v>
      </c>
      <c r="D144" s="21" t="s">
        <v>1740</v>
      </c>
      <c r="E144" s="21" t="s">
        <v>1829</v>
      </c>
      <c r="F144" s="21" t="s">
        <v>1177</v>
      </c>
      <c r="G144" s="21" t="s">
        <v>1177</v>
      </c>
      <c r="H144" s="26"/>
    </row>
    <row r="145">
      <c r="A145" s="29"/>
      <c r="B145" s="21" t="s">
        <v>1698</v>
      </c>
      <c r="C145" s="21" t="s">
        <v>1411</v>
      </c>
      <c r="D145" s="21" t="s">
        <v>1830</v>
      </c>
      <c r="E145" s="21" t="s">
        <v>1830</v>
      </c>
      <c r="F145" s="21" t="s">
        <v>1177</v>
      </c>
      <c r="G145" s="21" t="s">
        <v>1177</v>
      </c>
      <c r="H145" s="26"/>
    </row>
    <row r="146">
      <c r="A146" s="24"/>
      <c r="B146" s="21" t="s">
        <v>1291</v>
      </c>
      <c r="C146" s="21" t="s">
        <v>1360</v>
      </c>
      <c r="D146" s="21" t="s">
        <v>1678</v>
      </c>
      <c r="E146" s="21" t="s">
        <v>1677</v>
      </c>
      <c r="F146" s="21" t="s">
        <v>1177</v>
      </c>
      <c r="G146" s="21" t="s">
        <v>1177</v>
      </c>
      <c r="H146" s="30"/>
      <c r="I146" s="14"/>
    </row>
    <row r="147">
      <c r="A147" s="37"/>
      <c r="B147" s="38" t="s">
        <v>1363</v>
      </c>
      <c r="C147" s="14"/>
      <c r="D147" s="14"/>
      <c r="E147" s="14"/>
      <c r="F147" s="14"/>
      <c r="G147" s="14"/>
      <c r="H147" s="24"/>
      <c r="I147" s="33"/>
    </row>
    <row r="148">
      <c r="A148" s="16" t="s">
        <v>1174</v>
      </c>
      <c r="B148" s="17" t="s">
        <v>1831</v>
      </c>
      <c r="C148" s="18"/>
      <c r="D148" s="18"/>
      <c r="E148" s="18"/>
      <c r="F148" s="18"/>
      <c r="G148" s="18"/>
      <c r="H148" s="18"/>
      <c r="I148" s="16"/>
    </row>
    <row r="149" ht="60.0" customHeight="1">
      <c r="A149" s="20" t="s">
        <v>1176</v>
      </c>
      <c r="B149" s="21" t="str">
        <f t="array" ref="B149">iferror(VLOOKUP(INDIRECT(ADDRESS(ROW()+1,COLUMN(), 4)),Dex!$A$2:$C237,3,false),"")</f>
        <v/>
      </c>
      <c r="C149" s="21" t="str">
        <f t="array" ref="C149">iferror(VLOOKUP(INDIRECT(ADDRESS(ROW()+1,COLUMN(), 4)),Dex!$A$2:$C237,3,false),"")</f>
        <v/>
      </c>
      <c r="D149" s="21" t="str">
        <f t="array" ref="D149">iferror(VLOOKUP(INDIRECT(ADDRESS(ROW()+1,COLUMN(), 4)),Dex!$A$2:$C237,3,false),"")</f>
        <v/>
      </c>
      <c r="E149" s="21" t="str">
        <f t="array" ref="E149">iferror(VLOOKUP(INDIRECT(ADDRESS(ROW()+1,COLUMN(), 4)),Dex!$A$2:$C237,3,false),"")</f>
        <v/>
      </c>
      <c r="F149" s="21" t="s">
        <v>1177</v>
      </c>
      <c r="G149" s="21" t="s">
        <v>1177</v>
      </c>
      <c r="H149" s="22" t="str">
        <f t="array" ref="H149">iferror(VLOOKUP("TRAINER_PIC_FISHERMAN",Sprites!$A$1:$B237,2,false),"")</f>
        <v/>
      </c>
      <c r="I149" s="23"/>
    </row>
    <row r="150">
      <c r="A150" s="24"/>
      <c r="B150" s="25" t="s">
        <v>85</v>
      </c>
      <c r="C150" s="25" t="s">
        <v>132</v>
      </c>
      <c r="D150" s="25" t="s">
        <v>740</v>
      </c>
      <c r="E150" s="25" t="s">
        <v>316</v>
      </c>
      <c r="F150" s="25" t="s">
        <v>1177</v>
      </c>
      <c r="G150" s="25" t="s">
        <v>1177</v>
      </c>
      <c r="H150" s="26"/>
    </row>
    <row r="151">
      <c r="A151" s="16" t="s">
        <v>1178</v>
      </c>
      <c r="B151" s="27" t="s">
        <v>1795</v>
      </c>
      <c r="C151" s="27" t="s">
        <v>1795</v>
      </c>
      <c r="D151" s="27" t="s">
        <v>1795</v>
      </c>
      <c r="E151" s="27" t="s">
        <v>1809</v>
      </c>
      <c r="F151" s="21" t="s">
        <v>1177</v>
      </c>
      <c r="G151" s="21" t="s">
        <v>1177</v>
      </c>
      <c r="H151" s="26"/>
    </row>
    <row r="152">
      <c r="A152" s="16" t="s">
        <v>1181</v>
      </c>
      <c r="B152" s="28" t="s">
        <v>1612</v>
      </c>
      <c r="C152" s="28" t="s">
        <v>1832</v>
      </c>
      <c r="D152" s="28" t="s">
        <v>1582</v>
      </c>
      <c r="E152" s="28" t="s">
        <v>1833</v>
      </c>
      <c r="F152" s="28" t="s">
        <v>1177</v>
      </c>
      <c r="G152" s="28" t="s">
        <v>1177</v>
      </c>
      <c r="H152" s="26"/>
    </row>
    <row r="153">
      <c r="A153" s="16" t="s">
        <v>1182</v>
      </c>
      <c r="B153" s="21" t="s">
        <v>1212</v>
      </c>
      <c r="C153" s="21" t="s">
        <v>1748</v>
      </c>
      <c r="D153" s="21" t="s">
        <v>1185</v>
      </c>
      <c r="E153" s="21" t="s">
        <v>1212</v>
      </c>
      <c r="F153" s="21" t="s">
        <v>1177</v>
      </c>
      <c r="G153" s="21" t="s">
        <v>1177</v>
      </c>
      <c r="H153" s="26"/>
    </row>
    <row r="154">
      <c r="A154" s="16" t="s">
        <v>1186</v>
      </c>
      <c r="B154" s="28" t="s">
        <v>1249</v>
      </c>
      <c r="C154" s="28" t="s">
        <v>1249</v>
      </c>
      <c r="D154" s="28" t="s">
        <v>1249</v>
      </c>
      <c r="E154" s="28" t="s">
        <v>1300</v>
      </c>
      <c r="F154" s="28" t="s">
        <v>1177</v>
      </c>
      <c r="G154" s="28" t="s">
        <v>1177</v>
      </c>
      <c r="H154" s="26"/>
    </row>
    <row r="155">
      <c r="A155" s="20" t="s">
        <v>1188</v>
      </c>
      <c r="B155" s="21" t="s">
        <v>1251</v>
      </c>
      <c r="C155" s="21" t="s">
        <v>1251</v>
      </c>
      <c r="D155" s="21" t="s">
        <v>1822</v>
      </c>
      <c r="E155" s="21" t="s">
        <v>1834</v>
      </c>
      <c r="F155" s="21" t="s">
        <v>1177</v>
      </c>
      <c r="G155" s="21" t="s">
        <v>1177</v>
      </c>
      <c r="H155" s="26"/>
    </row>
    <row r="156">
      <c r="A156" s="29"/>
      <c r="B156" s="21" t="s">
        <v>1682</v>
      </c>
      <c r="C156" s="21" t="s">
        <v>1835</v>
      </c>
      <c r="D156" s="21" t="s">
        <v>1251</v>
      </c>
      <c r="E156" s="21" t="s">
        <v>1588</v>
      </c>
      <c r="F156" s="21" t="s">
        <v>1177</v>
      </c>
      <c r="G156" s="21" t="s">
        <v>1177</v>
      </c>
      <c r="H156" s="26"/>
    </row>
    <row r="157">
      <c r="A157" s="29"/>
      <c r="B157" s="21" t="s">
        <v>1468</v>
      </c>
      <c r="C157" s="21" t="s">
        <v>1651</v>
      </c>
      <c r="D157" s="21" t="s">
        <v>1236</v>
      </c>
      <c r="E157" s="21" t="s">
        <v>1805</v>
      </c>
      <c r="F157" s="21" t="s">
        <v>1177</v>
      </c>
      <c r="G157" s="21" t="s">
        <v>1177</v>
      </c>
      <c r="H157" s="26"/>
    </row>
    <row r="158">
      <c r="A158" s="24"/>
      <c r="B158" s="21" t="s">
        <v>1731</v>
      </c>
      <c r="C158" s="21" t="s">
        <v>1777</v>
      </c>
      <c r="D158" s="21" t="s">
        <v>1836</v>
      </c>
      <c r="E158" s="21" t="s">
        <v>1338</v>
      </c>
      <c r="F158" s="21" t="s">
        <v>1177</v>
      </c>
      <c r="G158" s="21" t="s">
        <v>1177</v>
      </c>
      <c r="H158" s="30"/>
      <c r="I158" s="14"/>
    </row>
    <row r="159">
      <c r="A159" s="16" t="s">
        <v>1174</v>
      </c>
      <c r="B159" s="17" t="s">
        <v>1837</v>
      </c>
      <c r="C159" s="18"/>
      <c r="D159" s="18"/>
      <c r="E159" s="18"/>
      <c r="F159" s="18"/>
      <c r="G159" s="18"/>
      <c r="H159" s="18"/>
      <c r="I159" s="16"/>
    </row>
    <row r="160" ht="60.0" customHeight="1">
      <c r="A160" s="20" t="s">
        <v>1176</v>
      </c>
      <c r="B160" s="21" t="str">
        <f t="array" ref="B160">iferror(VLOOKUP(INDIRECT(ADDRESS(ROW()+1,COLUMN(), 4)),Dex!$A$2:$C237,3,false),"")</f>
        <v/>
      </c>
      <c r="C160" s="21" t="str">
        <f t="array" ref="C160">iferror(VLOOKUP(INDIRECT(ADDRESS(ROW()+1,COLUMN(), 4)),Dex!$A$2:$C237,3,false),"")</f>
        <v/>
      </c>
      <c r="D160" s="21" t="str">
        <f t="array" ref="D160">iferror(VLOOKUP(INDIRECT(ADDRESS(ROW()+1,COLUMN(), 4)),Dex!$A$2:$C237,3,false),"")</f>
        <v/>
      </c>
      <c r="E160" s="21" t="s">
        <v>1177</v>
      </c>
      <c r="F160" s="21" t="s">
        <v>1177</v>
      </c>
      <c r="G160" s="21" t="s">
        <v>1177</v>
      </c>
      <c r="H160" s="22" t="str">
        <f t="array" ref="H160">iferror(VLOOKUP("TRAINER_PIC_PSYCHIC_M",Sprites!$A$1:$B237,2,false),"")</f>
        <v/>
      </c>
      <c r="I160" s="23"/>
    </row>
    <row r="161">
      <c r="A161" s="24"/>
      <c r="B161" s="25" t="s">
        <v>461</v>
      </c>
      <c r="C161" s="25" t="s">
        <v>282</v>
      </c>
      <c r="D161" s="25" t="s">
        <v>679</v>
      </c>
      <c r="E161" s="25" t="s">
        <v>1177</v>
      </c>
      <c r="F161" s="25" t="s">
        <v>1177</v>
      </c>
      <c r="G161" s="25" t="s">
        <v>1177</v>
      </c>
      <c r="H161" s="26"/>
    </row>
    <row r="162">
      <c r="A162" s="16" t="s">
        <v>1178</v>
      </c>
      <c r="B162" s="27" t="s">
        <v>1809</v>
      </c>
      <c r="C162" s="27" t="s">
        <v>1809</v>
      </c>
      <c r="D162" s="27" t="s">
        <v>1825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1181</v>
      </c>
      <c r="B163" s="28" t="s">
        <v>1838</v>
      </c>
      <c r="C163" s="28" t="s">
        <v>1209</v>
      </c>
      <c r="D163" s="28" t="s">
        <v>1247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16" t="s">
        <v>1182</v>
      </c>
      <c r="B164" s="21" t="s">
        <v>1368</v>
      </c>
      <c r="C164" s="21" t="s">
        <v>1356</v>
      </c>
      <c r="D164" s="21" t="s">
        <v>1616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16" t="s">
        <v>1186</v>
      </c>
      <c r="B165" s="28" t="s">
        <v>1257</v>
      </c>
      <c r="C165" s="28" t="s">
        <v>1284</v>
      </c>
      <c r="D165" s="28" t="s">
        <v>1284</v>
      </c>
      <c r="E165" s="28" t="s">
        <v>1177</v>
      </c>
      <c r="F165" s="28" t="s">
        <v>1177</v>
      </c>
      <c r="G165" s="28" t="s">
        <v>1177</v>
      </c>
      <c r="H165" s="26"/>
    </row>
    <row r="166">
      <c r="A166" s="20" t="s">
        <v>1188</v>
      </c>
      <c r="B166" s="21" t="s">
        <v>1731</v>
      </c>
      <c r="C166" s="21" t="s">
        <v>1778</v>
      </c>
      <c r="D166" s="21" t="s">
        <v>1786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1605</v>
      </c>
      <c r="C167" s="21" t="s">
        <v>1839</v>
      </c>
      <c r="D167" s="21" t="s">
        <v>1619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9"/>
      <c r="B168" s="21" t="s">
        <v>1742</v>
      </c>
      <c r="C168" s="21" t="s">
        <v>1732</v>
      </c>
      <c r="D168" s="21" t="s">
        <v>1711</v>
      </c>
      <c r="E168" s="21" t="s">
        <v>1177</v>
      </c>
      <c r="F168" s="21" t="s">
        <v>1177</v>
      </c>
      <c r="G168" s="21" t="s">
        <v>1177</v>
      </c>
      <c r="H168" s="26"/>
    </row>
    <row r="169">
      <c r="A169" s="24"/>
      <c r="B169" s="21" t="s">
        <v>1840</v>
      </c>
      <c r="C169" s="21" t="s">
        <v>1311</v>
      </c>
      <c r="D169" s="21" t="s">
        <v>1698</v>
      </c>
      <c r="E169" s="21" t="s">
        <v>1177</v>
      </c>
      <c r="F169" s="21" t="s">
        <v>1177</v>
      </c>
      <c r="G169" s="21" t="s">
        <v>1177</v>
      </c>
      <c r="H169" s="30"/>
      <c r="I169" s="14"/>
    </row>
    <row r="170">
      <c r="A170" s="37"/>
      <c r="B170" s="38" t="s">
        <v>1841</v>
      </c>
      <c r="C170" s="14"/>
      <c r="D170" s="14"/>
      <c r="E170" s="14"/>
      <c r="F170" s="14"/>
      <c r="G170" s="14"/>
      <c r="H170" s="24"/>
      <c r="I170" s="33"/>
    </row>
    <row r="171">
      <c r="A171" s="16" t="s">
        <v>1174</v>
      </c>
      <c r="B171" s="17" t="s">
        <v>1842</v>
      </c>
      <c r="C171" s="18"/>
      <c r="D171" s="18"/>
      <c r="E171" s="18"/>
      <c r="F171" s="18"/>
      <c r="G171" s="18"/>
      <c r="H171" s="18"/>
      <c r="I171" s="16"/>
    </row>
    <row r="172" ht="60.0" customHeight="1">
      <c r="A172" s="20" t="s">
        <v>1176</v>
      </c>
      <c r="B172" s="21" t="str">
        <f t="array" ref="B172">iferror(VLOOKUP(INDIRECT(ADDRESS(ROW()+1,COLUMN(), 4)),Dex!$A$2:$C237,3,false),"")</f>
        <v/>
      </c>
      <c r="C172" s="21" t="str">
        <f t="array" ref="C172">iferror(VLOOKUP(INDIRECT(ADDRESS(ROW()+1,COLUMN(), 4)),Dex!$A$2:$C237,3,false),"")</f>
        <v/>
      </c>
      <c r="D172" s="21" t="s">
        <v>1177</v>
      </c>
      <c r="E172" s="21" t="s">
        <v>1177</v>
      </c>
      <c r="F172" s="21" t="s">
        <v>1177</v>
      </c>
      <c r="G172" s="21" t="s">
        <v>1177</v>
      </c>
      <c r="H172" s="22" t="str">
        <f t="array" ref="H172">iferror(VLOOKUP("TRAINER_PIC_WALLY",Sprites!$A$1:$B237,2,false),"")</f>
        <v/>
      </c>
      <c r="I172" s="23"/>
    </row>
    <row r="173">
      <c r="A173" s="24"/>
      <c r="B173" s="25" t="s">
        <v>374</v>
      </c>
      <c r="C173" s="25" t="s">
        <v>355</v>
      </c>
      <c r="D173" s="25" t="s">
        <v>1177</v>
      </c>
      <c r="E173" s="25" t="s">
        <v>1177</v>
      </c>
      <c r="F173" s="25" t="s">
        <v>1177</v>
      </c>
      <c r="G173" s="25" t="s">
        <v>1177</v>
      </c>
      <c r="H173" s="26"/>
    </row>
    <row r="174">
      <c r="A174" s="16" t="s">
        <v>1178</v>
      </c>
      <c r="B174" s="27" t="s">
        <v>1843</v>
      </c>
      <c r="C174" s="27" t="s">
        <v>1196</v>
      </c>
      <c r="D174" s="21" t="s">
        <v>1177</v>
      </c>
      <c r="E174" s="21" t="s">
        <v>1177</v>
      </c>
      <c r="F174" s="21" t="s">
        <v>1177</v>
      </c>
      <c r="G174" s="21" t="s">
        <v>1177</v>
      </c>
      <c r="H174" s="26"/>
    </row>
    <row r="175">
      <c r="A175" s="16" t="s">
        <v>1181</v>
      </c>
      <c r="B175" s="28" t="s">
        <v>1177</v>
      </c>
      <c r="C175" s="28" t="s">
        <v>1177</v>
      </c>
      <c r="D175" s="28" t="s">
        <v>1177</v>
      </c>
      <c r="E175" s="28" t="s">
        <v>1177</v>
      </c>
      <c r="F175" s="28" t="s">
        <v>1177</v>
      </c>
      <c r="G175" s="28" t="s">
        <v>1177</v>
      </c>
      <c r="H175" s="26"/>
    </row>
    <row r="176">
      <c r="A176" s="16" t="s">
        <v>1182</v>
      </c>
      <c r="B176" s="21" t="s">
        <v>1844</v>
      </c>
      <c r="C176" s="21" t="s">
        <v>1299</v>
      </c>
      <c r="D176" s="21" t="s">
        <v>1177</v>
      </c>
      <c r="E176" s="21" t="s">
        <v>1177</v>
      </c>
      <c r="F176" s="21" t="s">
        <v>1177</v>
      </c>
      <c r="G176" s="21" t="s">
        <v>1177</v>
      </c>
      <c r="H176" s="26"/>
    </row>
    <row r="177">
      <c r="A177" s="16" t="s">
        <v>1186</v>
      </c>
      <c r="B177" s="28" t="s">
        <v>1256</v>
      </c>
      <c r="C177" s="28" t="s">
        <v>1187</v>
      </c>
      <c r="D177" s="28" t="s">
        <v>1177</v>
      </c>
      <c r="E177" s="28" t="s">
        <v>1177</v>
      </c>
      <c r="F177" s="28" t="s">
        <v>1177</v>
      </c>
      <c r="G177" s="28" t="s">
        <v>1177</v>
      </c>
      <c r="H177" s="26"/>
    </row>
    <row r="178">
      <c r="A178" s="20" t="s">
        <v>1188</v>
      </c>
      <c r="B178" s="21" t="s">
        <v>1177</v>
      </c>
      <c r="C178" s="21" t="s">
        <v>1177</v>
      </c>
      <c r="D178" s="21" t="s">
        <v>1177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1177</v>
      </c>
      <c r="C179" s="21" t="s">
        <v>1177</v>
      </c>
      <c r="D179" s="21" t="s">
        <v>1177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9"/>
      <c r="B180" s="21" t="s">
        <v>1177</v>
      </c>
      <c r="C180" s="21" t="s">
        <v>1177</v>
      </c>
      <c r="D180" s="21" t="s">
        <v>1177</v>
      </c>
      <c r="E180" s="21" t="s">
        <v>1177</v>
      </c>
      <c r="F180" s="21" t="s">
        <v>1177</v>
      </c>
      <c r="G180" s="21" t="s">
        <v>1177</v>
      </c>
      <c r="H180" s="26"/>
    </row>
    <row r="181">
      <c r="A181" s="24"/>
      <c r="B181" s="21" t="s">
        <v>1177</v>
      </c>
      <c r="C181" s="21" t="s">
        <v>1177</v>
      </c>
      <c r="D181" s="21" t="s">
        <v>1177</v>
      </c>
      <c r="E181" s="21" t="s">
        <v>1177</v>
      </c>
      <c r="F181" s="21" t="s">
        <v>1177</v>
      </c>
      <c r="G181" s="21" t="s">
        <v>1177</v>
      </c>
      <c r="H181" s="30"/>
      <c r="I181" s="14"/>
    </row>
    <row r="182">
      <c r="A182" s="37"/>
      <c r="B182" s="38" t="s">
        <v>1845</v>
      </c>
      <c r="C182" s="14"/>
      <c r="D182" s="14"/>
      <c r="E182" s="14"/>
      <c r="F182" s="14"/>
      <c r="G182" s="14"/>
      <c r="H182" s="24"/>
      <c r="I182" s="33"/>
    </row>
    <row r="183">
      <c r="A183" s="16" t="s">
        <v>1174</v>
      </c>
      <c r="B183" s="17" t="s">
        <v>1846</v>
      </c>
      <c r="C183" s="18"/>
      <c r="D183" s="18"/>
      <c r="E183" s="18"/>
      <c r="F183" s="18"/>
      <c r="G183" s="18"/>
      <c r="H183" s="18"/>
      <c r="I183" s="16"/>
    </row>
    <row r="184" ht="60.0" customHeight="1">
      <c r="A184" s="20" t="s">
        <v>1176</v>
      </c>
      <c r="B184" s="21" t="str">
        <f t="array" ref="B184">iferror(VLOOKUP(INDIRECT(ADDRESS(ROW()+1,COLUMN(), 4)),Dex!$A$2:$C237,3,false),"")</f>
        <v/>
      </c>
      <c r="C184" s="21" t="str">
        <f t="array" ref="C184">iferror(VLOOKUP(INDIRECT(ADDRESS(ROW()+1,COLUMN(), 4)),Dex!$A$2:$C237,3,false),"")</f>
        <v/>
      </c>
      <c r="D184" s="21" t="str">
        <f t="array" ref="D184">iferror(VLOOKUP(INDIRECT(ADDRESS(ROW()+1,COLUMN(), 4)),Dex!$A$2:$C237,3,false),"")</f>
        <v/>
      </c>
      <c r="E184" s="21" t="str">
        <f t="array" ref="E184">iferror(VLOOKUP(INDIRECT(ADDRESS(ROW()+1,COLUMN(), 4)),Dex!$A$2:$C237,3,false),"")</f>
        <v/>
      </c>
      <c r="F184" s="21" t="s">
        <v>1177</v>
      </c>
      <c r="G184" s="21" t="s">
        <v>1177</v>
      </c>
      <c r="H184" s="22" t="str">
        <f t="array" ref="H184">iferror(VLOOKUP("TRAINER_PIC_GUITARIST",Sprites!$A$1:$B237,2,false),"")</f>
        <v/>
      </c>
      <c r="I184" s="23"/>
    </row>
    <row r="185">
      <c r="A185" s="24"/>
      <c r="B185" s="25" t="s">
        <v>1116</v>
      </c>
      <c r="C185" s="25" t="s">
        <v>543</v>
      </c>
      <c r="D185" s="25" t="s">
        <v>1087</v>
      </c>
      <c r="E185" s="25" t="s">
        <v>44</v>
      </c>
      <c r="F185" s="25" t="s">
        <v>1177</v>
      </c>
      <c r="G185" s="25" t="s">
        <v>1177</v>
      </c>
      <c r="H185" s="26"/>
    </row>
    <row r="186">
      <c r="A186" s="16" t="s">
        <v>1178</v>
      </c>
      <c r="B186" s="27" t="s">
        <v>1795</v>
      </c>
      <c r="C186" s="27" t="s">
        <v>1809</v>
      </c>
      <c r="D186" s="27" t="s">
        <v>1795</v>
      </c>
      <c r="E186" s="27" t="s">
        <v>1795</v>
      </c>
      <c r="F186" s="21" t="s">
        <v>1177</v>
      </c>
      <c r="G186" s="21" t="s">
        <v>1177</v>
      </c>
      <c r="H186" s="26"/>
    </row>
    <row r="187">
      <c r="A187" s="16" t="s">
        <v>1181</v>
      </c>
      <c r="B187" s="28" t="s">
        <v>1366</v>
      </c>
      <c r="C187" s="28" t="s">
        <v>1847</v>
      </c>
      <c r="D187" s="28" t="s">
        <v>1848</v>
      </c>
      <c r="E187" s="28" t="s">
        <v>1209</v>
      </c>
      <c r="F187" s="28" t="s">
        <v>1177</v>
      </c>
      <c r="G187" s="28" t="s">
        <v>1177</v>
      </c>
      <c r="H187" s="26"/>
    </row>
    <row r="188">
      <c r="A188" s="16" t="s">
        <v>1182</v>
      </c>
      <c r="B188" s="21" t="s">
        <v>1849</v>
      </c>
      <c r="C188" s="21" t="s">
        <v>1222</v>
      </c>
      <c r="D188" s="21" t="s">
        <v>1850</v>
      </c>
      <c r="E188" s="21" t="s">
        <v>1851</v>
      </c>
      <c r="F188" s="21" t="s">
        <v>1177</v>
      </c>
      <c r="G188" s="21" t="s">
        <v>1177</v>
      </c>
      <c r="H188" s="26"/>
    </row>
    <row r="189">
      <c r="A189" s="16" t="s">
        <v>1186</v>
      </c>
      <c r="B189" s="28" t="s">
        <v>1754</v>
      </c>
      <c r="C189" s="28" t="s">
        <v>1447</v>
      </c>
      <c r="D189" s="28" t="s">
        <v>1284</v>
      </c>
      <c r="E189" s="28" t="s">
        <v>1256</v>
      </c>
      <c r="F189" s="28" t="s">
        <v>1177</v>
      </c>
      <c r="G189" s="28" t="s">
        <v>1177</v>
      </c>
      <c r="H189" s="26"/>
    </row>
    <row r="190">
      <c r="A190" s="20" t="s">
        <v>1188</v>
      </c>
      <c r="B190" s="21" t="s">
        <v>1852</v>
      </c>
      <c r="C190" s="21" t="s">
        <v>1395</v>
      </c>
      <c r="D190" s="21" t="s">
        <v>1373</v>
      </c>
      <c r="E190" s="21" t="s">
        <v>1670</v>
      </c>
      <c r="F190" s="21" t="s">
        <v>1177</v>
      </c>
      <c r="G190" s="21" t="s">
        <v>1177</v>
      </c>
      <c r="H190" s="26"/>
    </row>
    <row r="191">
      <c r="A191" s="29"/>
      <c r="B191" s="21" t="s">
        <v>1760</v>
      </c>
      <c r="C191" s="21" t="s">
        <v>1238</v>
      </c>
      <c r="D191" s="21" t="s">
        <v>1853</v>
      </c>
      <c r="E191" s="21" t="s">
        <v>1839</v>
      </c>
      <c r="F191" s="21" t="s">
        <v>1177</v>
      </c>
      <c r="G191" s="21" t="s">
        <v>1177</v>
      </c>
      <c r="H191" s="26"/>
    </row>
    <row r="192">
      <c r="A192" s="29"/>
      <c r="B192" s="21" t="s">
        <v>1749</v>
      </c>
      <c r="C192" s="21" t="s">
        <v>1724</v>
      </c>
      <c r="D192" s="21" t="s">
        <v>1350</v>
      </c>
      <c r="E192" s="21" t="s">
        <v>1617</v>
      </c>
      <c r="F192" s="21" t="s">
        <v>1177</v>
      </c>
      <c r="G192" s="21" t="s">
        <v>1177</v>
      </c>
      <c r="H192" s="26"/>
    </row>
    <row r="193">
      <c r="A193" s="24"/>
      <c r="B193" s="21" t="s">
        <v>1854</v>
      </c>
      <c r="C193" s="21" t="s">
        <v>1623</v>
      </c>
      <c r="D193" s="21" t="s">
        <v>1778</v>
      </c>
      <c r="E193" s="21" t="s">
        <v>1587</v>
      </c>
      <c r="F193" s="21" t="s">
        <v>1177</v>
      </c>
      <c r="G193" s="21" t="s">
        <v>1177</v>
      </c>
      <c r="H193" s="30"/>
      <c r="I193" s="14"/>
    </row>
    <row r="194">
      <c r="A194" s="16" t="s">
        <v>1174</v>
      </c>
      <c r="B194" s="17" t="s">
        <v>1855</v>
      </c>
      <c r="C194" s="18"/>
      <c r="D194" s="18"/>
      <c r="E194" s="18"/>
      <c r="F194" s="18"/>
      <c r="G194" s="18"/>
      <c r="H194" s="18"/>
      <c r="I194" s="16"/>
    </row>
    <row r="195" ht="60.0" customHeight="1">
      <c r="A195" s="20" t="s">
        <v>1176</v>
      </c>
      <c r="B195" s="21" t="str">
        <f t="array" ref="B195">iferror(VLOOKUP(INDIRECT(ADDRESS(ROW()+1,COLUMN(), 4)),Dex!$A$2:$C237,3,false),"")</f>
        <v/>
      </c>
      <c r="C195" s="21" t="str">
        <f t="array" ref="C195">iferror(VLOOKUP(INDIRECT(ADDRESS(ROW()+1,COLUMN(), 4)),Dex!$A$2:$C237,3,false),"")</f>
        <v/>
      </c>
      <c r="D195" s="21" t="str">
        <f t="array" ref="D195">iferror(VLOOKUP(INDIRECT(ADDRESS(ROW()+1,COLUMN(), 4)),Dex!$A$2:$C237,3,false),"")</f>
        <v/>
      </c>
      <c r="E195" s="21" t="str">
        <f t="array" ref="E195">iferror(VLOOKUP(INDIRECT(ADDRESS(ROW()+1,COLUMN(), 4)),Dex!$A$2:$C237,3,false),"")</f>
        <v/>
      </c>
      <c r="F195" s="21" t="str">
        <f t="array" ref="F195">iferror(VLOOKUP(INDIRECT(ADDRESS(ROW()+1,COLUMN(), 4)),Dex!$A$2:$C237,3,false),"")</f>
        <v/>
      </c>
      <c r="G195" s="21" t="s">
        <v>1177</v>
      </c>
      <c r="H195" s="22" t="str">
        <f t="array" ref="H195">iferror(VLOOKUP("TRAINER_PIC_BATTLE_GIRL",Sprites!$A$1:$B237,2,false),"")</f>
        <v/>
      </c>
      <c r="I195" s="23"/>
    </row>
    <row r="196">
      <c r="A196" s="24"/>
      <c r="B196" s="25" t="s">
        <v>412</v>
      </c>
      <c r="C196" s="25" t="s">
        <v>201</v>
      </c>
      <c r="D196" s="25" t="s">
        <v>929</v>
      </c>
      <c r="E196" s="25" t="s">
        <v>674</v>
      </c>
      <c r="F196" s="25" t="s">
        <v>755</v>
      </c>
      <c r="G196" s="25" t="s">
        <v>1177</v>
      </c>
      <c r="H196" s="26"/>
    </row>
    <row r="197">
      <c r="A197" s="16" t="s">
        <v>1178</v>
      </c>
      <c r="B197" s="27" t="s">
        <v>1795</v>
      </c>
      <c r="C197" s="27" t="s">
        <v>1809</v>
      </c>
      <c r="D197" s="27" t="s">
        <v>1795</v>
      </c>
      <c r="E197" s="27" t="s">
        <v>1795</v>
      </c>
      <c r="F197" s="27" t="s">
        <v>1795</v>
      </c>
      <c r="G197" s="21" t="s">
        <v>1177</v>
      </c>
      <c r="H197" s="26"/>
    </row>
    <row r="198">
      <c r="A198" s="16" t="s">
        <v>1181</v>
      </c>
      <c r="B198" s="28" t="s">
        <v>1247</v>
      </c>
      <c r="C198" s="28" t="s">
        <v>1209</v>
      </c>
      <c r="D198" s="28" t="s">
        <v>1209</v>
      </c>
      <c r="E198" s="28" t="s">
        <v>1209</v>
      </c>
      <c r="F198" s="28" t="s">
        <v>1209</v>
      </c>
      <c r="G198" s="28" t="s">
        <v>1177</v>
      </c>
      <c r="H198" s="26"/>
    </row>
    <row r="199">
      <c r="A199" s="16" t="s">
        <v>1182</v>
      </c>
      <c r="B199" s="21" t="s">
        <v>1636</v>
      </c>
      <c r="C199" s="21" t="s">
        <v>1791</v>
      </c>
      <c r="D199" s="21" t="s">
        <v>1634</v>
      </c>
      <c r="E199" s="21" t="s">
        <v>1669</v>
      </c>
      <c r="F199" s="21" t="s">
        <v>1211</v>
      </c>
      <c r="G199" s="21" t="s">
        <v>1177</v>
      </c>
      <c r="H199" s="26"/>
    </row>
    <row r="200">
      <c r="A200" s="16" t="s">
        <v>1186</v>
      </c>
      <c r="B200" s="28" t="s">
        <v>1284</v>
      </c>
      <c r="C200" s="28" t="s">
        <v>1284</v>
      </c>
      <c r="D200" s="28" t="s">
        <v>1284</v>
      </c>
      <c r="E200" s="28" t="s">
        <v>1269</v>
      </c>
      <c r="F200" s="28" t="s">
        <v>1284</v>
      </c>
      <c r="G200" s="28" t="s">
        <v>1177</v>
      </c>
      <c r="H200" s="26"/>
    </row>
    <row r="201">
      <c r="A201" s="20" t="s">
        <v>1188</v>
      </c>
      <c r="B201" s="21" t="s">
        <v>1650</v>
      </c>
      <c r="C201" s="21" t="s">
        <v>1724</v>
      </c>
      <c r="D201" s="21" t="s">
        <v>1637</v>
      </c>
      <c r="E201" s="21" t="s">
        <v>1724</v>
      </c>
      <c r="F201" s="21" t="s">
        <v>1724</v>
      </c>
      <c r="G201" s="21" t="s">
        <v>1177</v>
      </c>
      <c r="H201" s="26"/>
    </row>
    <row r="202">
      <c r="A202" s="29"/>
      <c r="B202" s="21" t="s">
        <v>1670</v>
      </c>
      <c r="C202" s="21" t="s">
        <v>1778</v>
      </c>
      <c r="D202" s="21" t="s">
        <v>1619</v>
      </c>
      <c r="E202" s="21" t="s">
        <v>1740</v>
      </c>
      <c r="F202" s="21" t="s">
        <v>1587</v>
      </c>
      <c r="G202" s="21" t="s">
        <v>1177</v>
      </c>
      <c r="H202" s="26"/>
    </row>
    <row r="203">
      <c r="A203" s="29"/>
      <c r="B203" s="21" t="s">
        <v>1856</v>
      </c>
      <c r="C203" s="21" t="s">
        <v>1743</v>
      </c>
      <c r="D203" s="21" t="s">
        <v>1291</v>
      </c>
      <c r="E203" s="21" t="s">
        <v>1587</v>
      </c>
      <c r="F203" s="21" t="s">
        <v>1285</v>
      </c>
      <c r="G203" s="21" t="s">
        <v>1177</v>
      </c>
      <c r="H203" s="26"/>
    </row>
    <row r="204">
      <c r="A204" s="24"/>
      <c r="B204" s="21" t="s">
        <v>1857</v>
      </c>
      <c r="C204" s="21" t="s">
        <v>1780</v>
      </c>
      <c r="D204" s="21" t="s">
        <v>1377</v>
      </c>
      <c r="E204" s="21" t="s">
        <v>1759</v>
      </c>
      <c r="F204" s="21" t="s">
        <v>1788</v>
      </c>
      <c r="G204" s="21" t="s">
        <v>1177</v>
      </c>
      <c r="H204" s="30"/>
      <c r="I204" s="14"/>
    </row>
    <row r="205">
      <c r="A205" s="16" t="s">
        <v>1174</v>
      </c>
      <c r="B205" s="17" t="s">
        <v>1858</v>
      </c>
      <c r="C205" s="18"/>
      <c r="D205" s="18"/>
      <c r="E205" s="18"/>
      <c r="F205" s="18"/>
      <c r="G205" s="18"/>
      <c r="H205" s="18"/>
      <c r="I205" s="16"/>
    </row>
    <row r="206" ht="60.0" customHeight="1">
      <c r="A206" s="20" t="s">
        <v>1176</v>
      </c>
      <c r="B206" s="21" t="str">
        <f t="array" ref="B206">iferror(VLOOKUP(INDIRECT(ADDRESS(ROW()+1,COLUMN(), 4)),Dex!$A$2:$C237,3,false),"")</f>
        <v/>
      </c>
      <c r="C206" s="21" t="str">
        <f t="array" ref="C206">iferror(VLOOKUP(INDIRECT(ADDRESS(ROW()+1,COLUMN(), 4)),Dex!$A$2:$C237,3,false),"")</f>
        <v/>
      </c>
      <c r="D206" s="21" t="str">
        <f t="array" ref="D206">iferror(VLOOKUP(INDIRECT(ADDRESS(ROW()+1,COLUMN(), 4)),Dex!$A$2:$C237,3,false),"")</f>
        <v/>
      </c>
      <c r="E206" s="21" t="str">
        <f t="array" ref="E206">iferror(VLOOKUP(INDIRECT(ADDRESS(ROW()+1,COLUMN(), 4)),Dex!$A$2:$C237,3,false),"")</f>
        <v/>
      </c>
      <c r="F206" s="21" t="str">
        <f t="array" ref="F206">iferror(VLOOKUP(INDIRECT(ADDRESS(ROW()+1,COLUMN(), 4)),Dex!$A$2:$C237,3,false),"")</f>
        <v/>
      </c>
      <c r="G206" s="21" t="s">
        <v>1177</v>
      </c>
      <c r="H206" s="22" t="str">
        <f t="array" ref="H206">iferror(VLOOKUP("TRAINER_PIC_YOUNGSTER",Sprites!$A$1:$B237,2,false),"")</f>
        <v/>
      </c>
      <c r="I206" s="23"/>
    </row>
    <row r="207">
      <c r="A207" s="24"/>
      <c r="B207" s="25" t="s">
        <v>203</v>
      </c>
      <c r="C207" s="25" t="s">
        <v>603</v>
      </c>
      <c r="D207" s="25" t="s">
        <v>113</v>
      </c>
      <c r="E207" s="25" t="s">
        <v>152</v>
      </c>
      <c r="F207" s="25" t="s">
        <v>41</v>
      </c>
      <c r="G207" s="25" t="s">
        <v>1177</v>
      </c>
      <c r="H207" s="26"/>
    </row>
    <row r="208">
      <c r="A208" s="16" t="s">
        <v>1178</v>
      </c>
      <c r="B208" s="27" t="s">
        <v>1809</v>
      </c>
      <c r="C208" s="27" t="s">
        <v>1809</v>
      </c>
      <c r="D208" s="27" t="s">
        <v>1825</v>
      </c>
      <c r="E208" s="27" t="s">
        <v>1825</v>
      </c>
      <c r="F208" s="27" t="s">
        <v>1809</v>
      </c>
      <c r="G208" s="21" t="s">
        <v>1177</v>
      </c>
      <c r="H208" s="26"/>
    </row>
    <row r="209">
      <c r="A209" s="16" t="s">
        <v>1181</v>
      </c>
      <c r="B209" s="28" t="s">
        <v>1403</v>
      </c>
      <c r="C209" s="28" t="s">
        <v>1295</v>
      </c>
      <c r="D209" s="28" t="s">
        <v>1209</v>
      </c>
      <c r="E209" s="28" t="s">
        <v>1209</v>
      </c>
      <c r="F209" s="28" t="s">
        <v>1859</v>
      </c>
      <c r="G209" s="28" t="s">
        <v>1177</v>
      </c>
      <c r="H209" s="26"/>
    </row>
    <row r="210">
      <c r="A210" s="16" t="s">
        <v>1182</v>
      </c>
      <c r="B210" s="21" t="s">
        <v>1860</v>
      </c>
      <c r="C210" s="21" t="s">
        <v>1368</v>
      </c>
      <c r="D210" s="21" t="s">
        <v>1861</v>
      </c>
      <c r="E210" s="21" t="s">
        <v>1861</v>
      </c>
      <c r="F210" s="21" t="s">
        <v>1357</v>
      </c>
      <c r="G210" s="21" t="s">
        <v>1177</v>
      </c>
      <c r="H210" s="26"/>
    </row>
    <row r="211">
      <c r="A211" s="16" t="s">
        <v>1186</v>
      </c>
      <c r="B211" s="28" t="s">
        <v>1256</v>
      </c>
      <c r="C211" s="28" t="s">
        <v>1284</v>
      </c>
      <c r="D211" s="28" t="s">
        <v>1248</v>
      </c>
      <c r="E211" s="28" t="s">
        <v>1249</v>
      </c>
      <c r="F211" s="28" t="s">
        <v>1249</v>
      </c>
      <c r="G211" s="28" t="s">
        <v>1177</v>
      </c>
      <c r="H211" s="26"/>
    </row>
    <row r="212">
      <c r="A212" s="20" t="s">
        <v>1188</v>
      </c>
      <c r="B212" s="21" t="s">
        <v>1670</v>
      </c>
      <c r="C212" s="21" t="s">
        <v>1670</v>
      </c>
      <c r="D212" s="21" t="s">
        <v>1677</v>
      </c>
      <c r="E212" s="21" t="s">
        <v>1830</v>
      </c>
      <c r="F212" s="21" t="s">
        <v>1862</v>
      </c>
      <c r="G212" s="21" t="s">
        <v>1177</v>
      </c>
      <c r="H212" s="26"/>
    </row>
    <row r="213">
      <c r="A213" s="29"/>
      <c r="B213" s="21" t="s">
        <v>1468</v>
      </c>
      <c r="C213" s="21" t="s">
        <v>1395</v>
      </c>
      <c r="D213" s="21" t="s">
        <v>1830</v>
      </c>
      <c r="E213" s="21" t="s">
        <v>1863</v>
      </c>
      <c r="F213" s="21" t="s">
        <v>1662</v>
      </c>
      <c r="G213" s="21" t="s">
        <v>1177</v>
      </c>
      <c r="H213" s="26"/>
    </row>
    <row r="214">
      <c r="A214" s="29"/>
      <c r="B214" s="21" t="s">
        <v>1398</v>
      </c>
      <c r="C214" s="21" t="s">
        <v>1262</v>
      </c>
      <c r="D214" s="21" t="s">
        <v>1407</v>
      </c>
      <c r="E214" s="21" t="s">
        <v>1587</v>
      </c>
      <c r="F214" s="21" t="s">
        <v>1617</v>
      </c>
      <c r="G214" s="21" t="s">
        <v>1177</v>
      </c>
      <c r="H214" s="26"/>
    </row>
    <row r="215">
      <c r="A215" s="24"/>
      <c r="B215" s="21" t="s">
        <v>1262</v>
      </c>
      <c r="C215" s="21" t="s">
        <v>1590</v>
      </c>
      <c r="D215" s="21" t="s">
        <v>1320</v>
      </c>
      <c r="E215" s="21" t="s">
        <v>1470</v>
      </c>
      <c r="F215" s="21" t="s">
        <v>1672</v>
      </c>
      <c r="G215" s="21" t="s">
        <v>1177</v>
      </c>
      <c r="H215" s="30"/>
      <c r="I215" s="14"/>
    </row>
    <row r="216">
      <c r="A216" s="16" t="s">
        <v>1174</v>
      </c>
      <c r="B216" s="17" t="s">
        <v>1864</v>
      </c>
      <c r="C216" s="18"/>
      <c r="D216" s="18"/>
      <c r="E216" s="18"/>
      <c r="F216" s="18"/>
      <c r="G216" s="18"/>
      <c r="H216" s="18"/>
      <c r="I216" s="16"/>
    </row>
    <row r="217" ht="60.0" customHeight="1">
      <c r="A217" s="20" t="s">
        <v>1176</v>
      </c>
      <c r="B217" s="21" t="str">
        <f t="array" ref="B217">iferror(VLOOKUP(INDIRECT(ADDRESS(ROW()+1,COLUMN(), 4)),Dex!$A$2:$C237,3,false),"")</f>
        <v/>
      </c>
      <c r="C217" s="21" t="str">
        <f t="array" ref="C217">iferror(VLOOKUP(INDIRECT(ADDRESS(ROW()+1,COLUMN(), 4)),Dex!$A$2:$C237,3,false),"")</f>
        <v/>
      </c>
      <c r="D217" s="21" t="s">
        <v>1177</v>
      </c>
      <c r="E217" s="21" t="str">
        <f t="array" ref="E217">iferror(VLOOKUP(INDIRECT(ADDRESS(ROW()+1,COLUMN(), 4)),Dex!$A$2:$C237,3,false),"")</f>
        <v/>
      </c>
      <c r="F217" s="21" t="str">
        <f t="array" ref="F217">iferror(VLOOKUP(INDIRECT(ADDRESS(ROW()+1,COLUMN(), 4)),Dex!$A$2:$C237,3,false),"")</f>
        <v/>
      </c>
      <c r="G217" s="21" t="s">
        <v>1177</v>
      </c>
      <c r="H217" s="22" t="str">
        <f t="array" ref="H217">iferror(VLOOKUP("TRAINER_PIC_GUITARIST",Sprites!$A$1:$B237,2,false),"")</f>
        <v/>
      </c>
      <c r="I217" s="23"/>
    </row>
    <row r="218">
      <c r="A218" s="24"/>
      <c r="B218" s="25" t="s">
        <v>410</v>
      </c>
      <c r="C218" s="25" t="s">
        <v>876</v>
      </c>
      <c r="D218" s="25" t="s">
        <v>1177</v>
      </c>
      <c r="E218" s="25" t="s">
        <v>411</v>
      </c>
      <c r="F218" s="25" t="s">
        <v>760</v>
      </c>
      <c r="G218" s="25" t="s">
        <v>1177</v>
      </c>
      <c r="H218" s="26"/>
    </row>
    <row r="219">
      <c r="A219" s="16" t="s">
        <v>1178</v>
      </c>
      <c r="B219" s="27" t="s">
        <v>1809</v>
      </c>
      <c r="C219" s="27" t="s">
        <v>1825</v>
      </c>
      <c r="D219" s="21" t="s">
        <v>1177</v>
      </c>
      <c r="E219" s="27" t="s">
        <v>1825</v>
      </c>
      <c r="F219" s="27" t="s">
        <v>1825</v>
      </c>
      <c r="G219" s="21" t="s">
        <v>1177</v>
      </c>
      <c r="H219" s="26"/>
    </row>
    <row r="220">
      <c r="A220" s="16" t="s">
        <v>1181</v>
      </c>
      <c r="B220" s="28" t="s">
        <v>1702</v>
      </c>
      <c r="C220" s="28" t="s">
        <v>1247</v>
      </c>
      <c r="D220" s="28" t="s">
        <v>1177</v>
      </c>
      <c r="E220" s="28" t="s">
        <v>1865</v>
      </c>
      <c r="F220" s="28" t="s">
        <v>1209</v>
      </c>
      <c r="G220" s="28" t="s">
        <v>1177</v>
      </c>
      <c r="H220" s="26"/>
    </row>
    <row r="221">
      <c r="A221" s="16" t="s">
        <v>1182</v>
      </c>
      <c r="B221" s="21" t="s">
        <v>1866</v>
      </c>
      <c r="C221" s="21" t="s">
        <v>1866</v>
      </c>
      <c r="D221" s="21" t="s">
        <v>1177</v>
      </c>
      <c r="E221" s="21" t="s">
        <v>1867</v>
      </c>
      <c r="F221" s="21" t="s">
        <v>1867</v>
      </c>
      <c r="G221" s="21" t="s">
        <v>1177</v>
      </c>
      <c r="H221" s="26"/>
    </row>
    <row r="222">
      <c r="A222" s="16" t="s">
        <v>1186</v>
      </c>
      <c r="B222" s="28" t="s">
        <v>1284</v>
      </c>
      <c r="C222" s="28" t="s">
        <v>1284</v>
      </c>
      <c r="D222" s="28" t="s">
        <v>1177</v>
      </c>
      <c r="E222" s="28" t="s">
        <v>1284</v>
      </c>
      <c r="F222" s="28" t="s">
        <v>1256</v>
      </c>
      <c r="G222" s="28" t="s">
        <v>1177</v>
      </c>
      <c r="H222" s="26"/>
    </row>
    <row r="223">
      <c r="A223" s="20" t="s">
        <v>1188</v>
      </c>
      <c r="B223" s="21" t="s">
        <v>1724</v>
      </c>
      <c r="C223" s="21" t="s">
        <v>1724</v>
      </c>
      <c r="D223" s="21" t="s">
        <v>1177</v>
      </c>
      <c r="E223" s="21" t="s">
        <v>1724</v>
      </c>
      <c r="F223" s="21" t="s">
        <v>1868</v>
      </c>
      <c r="G223" s="21" t="s">
        <v>1177</v>
      </c>
      <c r="H223" s="26"/>
    </row>
    <row r="224">
      <c r="A224" s="29"/>
      <c r="B224" s="21" t="s">
        <v>1587</v>
      </c>
      <c r="C224" s="21" t="s">
        <v>1605</v>
      </c>
      <c r="D224" s="21" t="s">
        <v>1177</v>
      </c>
      <c r="E224" s="21" t="s">
        <v>1608</v>
      </c>
      <c r="F224" s="21" t="s">
        <v>1724</v>
      </c>
      <c r="G224" s="21" t="s">
        <v>1177</v>
      </c>
      <c r="H224" s="26"/>
    </row>
    <row r="225">
      <c r="A225" s="29"/>
      <c r="B225" s="21" t="s">
        <v>1788</v>
      </c>
      <c r="C225" s="21" t="s">
        <v>1852</v>
      </c>
      <c r="D225" s="21" t="s">
        <v>1177</v>
      </c>
      <c r="E225" s="21" t="s">
        <v>1869</v>
      </c>
      <c r="F225" s="21" t="s">
        <v>1852</v>
      </c>
      <c r="G225" s="21" t="s">
        <v>1177</v>
      </c>
      <c r="H225" s="26"/>
    </row>
    <row r="226">
      <c r="A226" s="24"/>
      <c r="B226" s="21" t="s">
        <v>1652</v>
      </c>
      <c r="C226" s="21" t="s">
        <v>1652</v>
      </c>
      <c r="D226" s="21" t="s">
        <v>1177</v>
      </c>
      <c r="E226" s="21" t="s">
        <v>1361</v>
      </c>
      <c r="F226" s="21" t="s">
        <v>1869</v>
      </c>
      <c r="G226" s="21" t="s">
        <v>1177</v>
      </c>
      <c r="H226" s="30"/>
      <c r="I226" s="14"/>
    </row>
    <row r="227">
      <c r="A227" s="16" t="s">
        <v>1174</v>
      </c>
      <c r="B227" s="17" t="s">
        <v>1870</v>
      </c>
      <c r="C227" s="18"/>
      <c r="D227" s="18"/>
      <c r="E227" s="18"/>
      <c r="F227" s="18"/>
      <c r="G227" s="18"/>
      <c r="H227" s="18"/>
      <c r="I227" s="16"/>
    </row>
    <row r="228" ht="60.0" customHeight="1">
      <c r="A228" s="20" t="s">
        <v>1176</v>
      </c>
      <c r="B228" s="21" t="str">
        <f t="array" ref="B228">iferror(VLOOKUP(INDIRECT(ADDRESS(ROW()+1,COLUMN(), 4)),Dex!$A$2:$C237,3,false),"")</f>
        <v/>
      </c>
      <c r="C228" s="21" t="str">
        <f t="array" ref="C228">iferror(VLOOKUP(INDIRECT(ADDRESS(ROW()+1,COLUMN(), 4)),Dex!$A$2:$C237,3,false),"")</f>
        <v/>
      </c>
      <c r="D228" s="21" t="str">
        <f t="array" ref="D228">iferror(VLOOKUP(INDIRECT(ADDRESS(ROW()+1,COLUMN(), 4)),Dex!$A$2:$C237,3,false),"")</f>
        <v/>
      </c>
      <c r="E228" s="21" t="str">
        <f t="array" ref="E228">iferror(VLOOKUP(INDIRECT(ADDRESS(ROW()+1,COLUMN(), 4)),Dex!$A$2:$C237,3,false),"")</f>
        <v/>
      </c>
      <c r="F228" s="21" t="str">
        <f t="array" ref="F228">iferror(VLOOKUP(INDIRECT(ADDRESS(ROW()+1,COLUMN(), 4)),Dex!$A$2:$C237,3,false),"")</f>
        <v/>
      </c>
      <c r="G228" s="21" t="str">
        <f t="array" ref="G228">iferror(VLOOKUP(INDIRECT(ADDRESS(ROW()+1,COLUMN(), 4)),Dex!$A$2:$C237,3,false),"")</f>
        <v/>
      </c>
      <c r="H228" s="22" t="str">
        <f t="array" ref="H228">iferror(VLOOKUP("TRAINER_PIC_LEADER_WATTSON",Sprites!$A$1:$B237,2,false),"")</f>
        <v/>
      </c>
      <c r="I228" s="23"/>
    </row>
    <row r="229">
      <c r="A229" s="24"/>
      <c r="B229" s="25" t="s">
        <v>584</v>
      </c>
      <c r="C229" s="25" t="s">
        <v>247</v>
      </c>
      <c r="D229" s="25" t="s">
        <v>607</v>
      </c>
      <c r="E229" s="25" t="s">
        <v>1034</v>
      </c>
      <c r="F229" s="25" t="s">
        <v>763</v>
      </c>
      <c r="G229" s="25" t="s">
        <v>258</v>
      </c>
      <c r="H229" s="26"/>
    </row>
    <row r="230">
      <c r="A230" s="16" t="s">
        <v>1178</v>
      </c>
      <c r="B230" s="27" t="s">
        <v>1825</v>
      </c>
      <c r="C230" s="27" t="s">
        <v>1871</v>
      </c>
      <c r="D230" s="27" t="s">
        <v>1871</v>
      </c>
      <c r="E230" s="27" t="s">
        <v>1871</v>
      </c>
      <c r="F230" s="27" t="s">
        <v>1825</v>
      </c>
      <c r="G230" s="27" t="s">
        <v>1871</v>
      </c>
      <c r="H230" s="26"/>
    </row>
    <row r="231">
      <c r="A231" s="16" t="s">
        <v>1181</v>
      </c>
      <c r="B231" s="28" t="s">
        <v>1703</v>
      </c>
      <c r="C231" s="28" t="s">
        <v>1295</v>
      </c>
      <c r="D231" s="28" t="s">
        <v>1209</v>
      </c>
      <c r="E231" s="28" t="s">
        <v>1702</v>
      </c>
      <c r="F231" s="28" t="s">
        <v>1295</v>
      </c>
      <c r="G231" s="28" t="s">
        <v>1872</v>
      </c>
      <c r="H231" s="26"/>
    </row>
    <row r="232">
      <c r="A232" s="16" t="s">
        <v>1182</v>
      </c>
      <c r="B232" s="21" t="s">
        <v>1199</v>
      </c>
      <c r="C232" s="21" t="s">
        <v>1791</v>
      </c>
      <c r="D232" s="21" t="s">
        <v>1368</v>
      </c>
      <c r="E232" s="21" t="s">
        <v>1791</v>
      </c>
      <c r="F232" s="21" t="s">
        <v>1368</v>
      </c>
      <c r="G232" s="21" t="s">
        <v>1690</v>
      </c>
      <c r="H232" s="26"/>
    </row>
    <row r="233">
      <c r="A233" s="16" t="s">
        <v>1186</v>
      </c>
      <c r="B233" s="28" t="s">
        <v>1447</v>
      </c>
      <c r="C233" s="28" t="s">
        <v>1257</v>
      </c>
      <c r="D233" s="28" t="s">
        <v>1284</v>
      </c>
      <c r="E233" s="28" t="s">
        <v>1464</v>
      </c>
      <c r="F233" s="28" t="s">
        <v>1406</v>
      </c>
      <c r="G233" s="28" t="s">
        <v>1256</v>
      </c>
      <c r="H233" s="26"/>
    </row>
    <row r="234">
      <c r="A234" s="20" t="s">
        <v>1188</v>
      </c>
      <c r="B234" s="21" t="s">
        <v>1670</v>
      </c>
      <c r="C234" s="21" t="s">
        <v>1670</v>
      </c>
      <c r="D234" s="21" t="s">
        <v>1670</v>
      </c>
      <c r="E234" s="21" t="s">
        <v>1873</v>
      </c>
      <c r="F234" s="21" t="s">
        <v>1425</v>
      </c>
      <c r="G234" s="21" t="s">
        <v>1670</v>
      </c>
      <c r="H234" s="26"/>
    </row>
    <row r="235">
      <c r="A235" s="29"/>
      <c r="B235" s="21" t="s">
        <v>1723</v>
      </c>
      <c r="C235" s="21" t="s">
        <v>1695</v>
      </c>
      <c r="D235" s="21" t="s">
        <v>1619</v>
      </c>
      <c r="E235" s="21" t="s">
        <v>1874</v>
      </c>
      <c r="F235" s="21" t="s">
        <v>1817</v>
      </c>
      <c r="G235" s="21" t="s">
        <v>1449</v>
      </c>
      <c r="H235" s="26"/>
    </row>
    <row r="236">
      <c r="A236" s="29"/>
      <c r="B236" s="21" t="s">
        <v>1830</v>
      </c>
      <c r="C236" s="21" t="s">
        <v>1468</v>
      </c>
      <c r="D236" s="21" t="s">
        <v>1395</v>
      </c>
      <c r="E236" s="21" t="s">
        <v>1307</v>
      </c>
      <c r="F236" s="21" t="s">
        <v>1423</v>
      </c>
      <c r="G236" s="21" t="s">
        <v>1473</v>
      </c>
      <c r="H236" s="26"/>
    </row>
    <row r="237">
      <c r="A237" s="24"/>
      <c r="B237" s="21" t="s">
        <v>1470</v>
      </c>
      <c r="C237" s="21" t="s">
        <v>1262</v>
      </c>
      <c r="D237" s="21" t="s">
        <v>1590</v>
      </c>
      <c r="E237" s="21" t="s">
        <v>1652</v>
      </c>
      <c r="F237" s="21" t="s">
        <v>1818</v>
      </c>
      <c r="G237" s="21" t="s">
        <v>1875</v>
      </c>
      <c r="H237" s="30"/>
      <c r="I237" s="14"/>
    </row>
  </sheetData>
  <mergeCells count="90">
    <mergeCell ref="A81:A82"/>
    <mergeCell ref="A87:A90"/>
    <mergeCell ref="A92:A93"/>
    <mergeCell ref="A98:A101"/>
    <mergeCell ref="A103:A104"/>
    <mergeCell ref="A109:A112"/>
    <mergeCell ref="A115:A116"/>
    <mergeCell ref="B58:H58"/>
    <mergeCell ref="B69:H69"/>
    <mergeCell ref="B80:H80"/>
    <mergeCell ref="B91:H91"/>
    <mergeCell ref="B102:H102"/>
    <mergeCell ref="B113:H113"/>
    <mergeCell ref="B114:H114"/>
    <mergeCell ref="H160:I169"/>
    <mergeCell ref="H172:I181"/>
    <mergeCell ref="H184:I193"/>
    <mergeCell ref="H195:I204"/>
    <mergeCell ref="H206:I215"/>
    <mergeCell ref="H217:I226"/>
    <mergeCell ref="H228:I237"/>
    <mergeCell ref="H81:I90"/>
    <mergeCell ref="H92:I101"/>
    <mergeCell ref="H103:I112"/>
    <mergeCell ref="H115:I124"/>
    <mergeCell ref="H126:I135"/>
    <mergeCell ref="H137:I146"/>
    <mergeCell ref="H149:I158"/>
    <mergeCell ref="A121:A124"/>
    <mergeCell ref="A126:A127"/>
    <mergeCell ref="A132:A135"/>
    <mergeCell ref="A137:A138"/>
    <mergeCell ref="A143:A146"/>
    <mergeCell ref="A149:A150"/>
    <mergeCell ref="A155:A158"/>
    <mergeCell ref="A212:A215"/>
    <mergeCell ref="A217:A218"/>
    <mergeCell ref="A223:A226"/>
    <mergeCell ref="A228:A229"/>
    <mergeCell ref="A234:A237"/>
    <mergeCell ref="A160:A161"/>
    <mergeCell ref="A166:A169"/>
    <mergeCell ref="A172:A173"/>
    <mergeCell ref="A178:A181"/>
    <mergeCell ref="A184:A185"/>
    <mergeCell ref="A190:A193"/>
    <mergeCell ref="A195:A196"/>
    <mergeCell ref="B1:H1"/>
    <mergeCell ref="B2:H2"/>
    <mergeCell ref="A3:A4"/>
    <mergeCell ref="A9:A12"/>
    <mergeCell ref="B13:H13"/>
    <mergeCell ref="B14:H14"/>
    <mergeCell ref="A15:A16"/>
    <mergeCell ref="A21:A24"/>
    <mergeCell ref="B25:H25"/>
    <mergeCell ref="A26:A27"/>
    <mergeCell ref="A32:A35"/>
    <mergeCell ref="B36:H36"/>
    <mergeCell ref="A37:A38"/>
    <mergeCell ref="B47:H47"/>
    <mergeCell ref="A43:A46"/>
    <mergeCell ref="A48:A49"/>
    <mergeCell ref="A54:A57"/>
    <mergeCell ref="A59:A60"/>
    <mergeCell ref="A65:A68"/>
    <mergeCell ref="A70:A71"/>
    <mergeCell ref="A76:A79"/>
    <mergeCell ref="H3:I12"/>
    <mergeCell ref="H15:I24"/>
    <mergeCell ref="H26:I35"/>
    <mergeCell ref="H37:I46"/>
    <mergeCell ref="H48:I57"/>
    <mergeCell ref="H59:I68"/>
    <mergeCell ref="H70:I79"/>
    <mergeCell ref="B182:H182"/>
    <mergeCell ref="B183:H183"/>
    <mergeCell ref="B194:H194"/>
    <mergeCell ref="B205:H205"/>
    <mergeCell ref="B216:H216"/>
    <mergeCell ref="B227:H227"/>
    <mergeCell ref="B125:H125"/>
    <mergeCell ref="B136:H136"/>
    <mergeCell ref="B147:H147"/>
    <mergeCell ref="B148:H148"/>
    <mergeCell ref="B159:H159"/>
    <mergeCell ref="B170:H170"/>
    <mergeCell ref="B171:H171"/>
    <mergeCell ref="A201:A204"/>
    <mergeCell ref="A206:A20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1363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1876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4)),Dex!$A$2:$C289,3,false),"")</f>
        <v/>
      </c>
      <c r="C3" s="21" t="str">
        <f t="array" ref="C3">iferror(VLOOKUP(INDIRECT(ADDRESS(ROW()+1,COLUMN(), 4)),Dex!$A$2:$C289,3,false),"")</f>
        <v/>
      </c>
      <c r="D3" s="21" t="str">
        <f t="array" ref="D3">iferror(VLOOKUP(INDIRECT(ADDRESS(ROW()+1,COLUMN(), 4)),Dex!$A$2:$C289,3,false),"")</f>
        <v/>
      </c>
      <c r="E3" s="21" t="str">
        <f t="array" ref="E3">iferror(VLOOKUP(INDIRECT(ADDRESS(ROW()+1,COLUMN(), 4)),Dex!$A$2:$C289,3,false),"")</f>
        <v/>
      </c>
      <c r="F3" s="21" t="s">
        <v>1177</v>
      </c>
      <c r="G3" s="21" t="s">
        <v>1177</v>
      </c>
      <c r="H3" s="22" t="str">
        <f t="array" ref="H3">iferror(VLOOKUP("TRAINER_PIC_PSYCHIC_F",Sprites!$A$1:$B289,2,false),"")</f>
        <v/>
      </c>
      <c r="I3" s="23"/>
    </row>
    <row r="4">
      <c r="A4" s="24"/>
      <c r="B4" s="25" t="s">
        <v>73</v>
      </c>
      <c r="C4" s="25" t="s">
        <v>254</v>
      </c>
      <c r="D4" s="25" t="s">
        <v>427</v>
      </c>
      <c r="E4" s="25" t="s">
        <v>598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1825</v>
      </c>
      <c r="C5" s="27" t="s">
        <v>1809</v>
      </c>
      <c r="D5" s="27" t="s">
        <v>1809</v>
      </c>
      <c r="E5" s="27" t="s">
        <v>1809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1209</v>
      </c>
      <c r="C6" s="28" t="s">
        <v>1366</v>
      </c>
      <c r="D6" s="28" t="s">
        <v>1265</v>
      </c>
      <c r="E6" s="28" t="s">
        <v>1209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1820</v>
      </c>
      <c r="C7" s="21" t="s">
        <v>1877</v>
      </c>
      <c r="D7" s="21" t="s">
        <v>1299</v>
      </c>
      <c r="E7" s="21" t="s">
        <v>1356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1284</v>
      </c>
      <c r="C8" s="28" t="s">
        <v>1249</v>
      </c>
      <c r="D8" s="28" t="s">
        <v>1256</v>
      </c>
      <c r="E8" s="28" t="s">
        <v>1406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1650</v>
      </c>
      <c r="C9" s="21" t="s">
        <v>1786</v>
      </c>
      <c r="D9" s="21" t="s">
        <v>1786</v>
      </c>
      <c r="E9" s="21" t="s">
        <v>1423</v>
      </c>
      <c r="F9" s="21" t="s">
        <v>1177</v>
      </c>
      <c r="G9" s="21" t="s">
        <v>1177</v>
      </c>
      <c r="H9" s="26"/>
    </row>
    <row r="10">
      <c r="A10" s="29"/>
      <c r="B10" s="21" t="s">
        <v>1373</v>
      </c>
      <c r="C10" s="21" t="s">
        <v>1671</v>
      </c>
      <c r="D10" s="21" t="s">
        <v>1878</v>
      </c>
      <c r="E10" s="21" t="s">
        <v>1714</v>
      </c>
      <c r="F10" s="21" t="s">
        <v>1177</v>
      </c>
      <c r="G10" s="21" t="s">
        <v>1177</v>
      </c>
      <c r="H10" s="26"/>
    </row>
    <row r="11">
      <c r="A11" s="29"/>
      <c r="B11" s="21" t="s">
        <v>1371</v>
      </c>
      <c r="C11" s="21" t="s">
        <v>1629</v>
      </c>
      <c r="D11" s="21" t="s">
        <v>1713</v>
      </c>
      <c r="E11" s="21" t="s">
        <v>1578</v>
      </c>
      <c r="F11" s="21" t="s">
        <v>1177</v>
      </c>
      <c r="G11" s="21" t="s">
        <v>1177</v>
      </c>
      <c r="H11" s="26"/>
    </row>
    <row r="12">
      <c r="A12" s="24"/>
      <c r="B12" s="21" t="s">
        <v>1731</v>
      </c>
      <c r="C12" s="21" t="s">
        <v>1879</v>
      </c>
      <c r="D12" s="21" t="s">
        <v>1880</v>
      </c>
      <c r="E12" s="21" t="s">
        <v>1410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1881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4)),Dex!$A$2:$C289,3,false),"")</f>
        <v/>
      </c>
      <c r="C14" s="21" t="str">
        <f t="array" ref="C14">iferror(VLOOKUP(INDIRECT(ADDRESS(ROW()+1,COLUMN(), 4)),Dex!$A$2:$C289,3,false),"")</f>
        <v/>
      </c>
      <c r="D14" s="21" t="str">
        <f t="array" ref="D14">iferror(VLOOKUP(INDIRECT(ADDRESS(ROW()+1,COLUMN(), 4)),Dex!$A$2:$C289,3,false),"")</f>
        <v/>
      </c>
      <c r="E14" s="21" t="str">
        <f t="array" ref="E14">iferror(VLOOKUP(INDIRECT(ADDRESS(ROW()+1,COLUMN(), 4)),Dex!$A$2:$C289,3,false),"")</f>
        <v/>
      </c>
      <c r="F14" s="21" t="s">
        <v>1177</v>
      </c>
      <c r="G14" s="21" t="s">
        <v>1177</v>
      </c>
      <c r="H14" s="22" t="str">
        <f t="array" ref="H14">iferror(VLOOKUP("TRAINER_PIC_CYCLING_TRIATHLETE_F",Sprites!$A$1:$B289,2,false),"")</f>
        <v/>
      </c>
      <c r="I14" s="23"/>
    </row>
    <row r="15">
      <c r="A15" s="24"/>
      <c r="B15" s="25" t="s">
        <v>780</v>
      </c>
      <c r="C15" s="25" t="s">
        <v>385</v>
      </c>
      <c r="D15" s="25" t="s">
        <v>76</v>
      </c>
      <c r="E15" s="25" t="s">
        <v>124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1795</v>
      </c>
      <c r="C16" s="27" t="s">
        <v>1809</v>
      </c>
      <c r="D16" s="27" t="s">
        <v>1825</v>
      </c>
      <c r="E16" s="27" t="s">
        <v>1825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1435</v>
      </c>
      <c r="C17" s="28" t="s">
        <v>1246</v>
      </c>
      <c r="D17" s="28" t="s">
        <v>1882</v>
      </c>
      <c r="E17" s="28" t="s">
        <v>1403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1883</v>
      </c>
      <c r="C18" s="21" t="s">
        <v>1884</v>
      </c>
      <c r="D18" s="21" t="s">
        <v>1675</v>
      </c>
      <c r="E18" s="21" t="s">
        <v>1885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1235</v>
      </c>
      <c r="C19" s="28" t="s">
        <v>1248</v>
      </c>
      <c r="D19" s="28" t="s">
        <v>1235</v>
      </c>
      <c r="E19" s="28" t="s">
        <v>1284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1439</v>
      </c>
      <c r="C20" s="21" t="s">
        <v>1886</v>
      </c>
      <c r="D20" s="21" t="s">
        <v>1677</v>
      </c>
      <c r="E20" s="21" t="s">
        <v>1724</v>
      </c>
      <c r="F20" s="21" t="s">
        <v>1177</v>
      </c>
      <c r="G20" s="21" t="s">
        <v>1177</v>
      </c>
      <c r="H20" s="26"/>
    </row>
    <row r="21">
      <c r="A21" s="29"/>
      <c r="B21" s="21" t="s">
        <v>1678</v>
      </c>
      <c r="C21" s="21" t="s">
        <v>1177</v>
      </c>
      <c r="D21" s="21" t="s">
        <v>1678</v>
      </c>
      <c r="E21" s="21" t="s">
        <v>1723</v>
      </c>
      <c r="F21" s="21" t="s">
        <v>1177</v>
      </c>
      <c r="G21" s="21" t="s">
        <v>1177</v>
      </c>
      <c r="H21" s="26"/>
    </row>
    <row r="22">
      <c r="A22" s="29"/>
      <c r="B22" s="21" t="s">
        <v>1887</v>
      </c>
      <c r="C22" s="21" t="s">
        <v>1177</v>
      </c>
      <c r="D22" s="21" t="s">
        <v>1577</v>
      </c>
      <c r="E22" s="21" t="s">
        <v>1804</v>
      </c>
      <c r="F22" s="21" t="s">
        <v>1177</v>
      </c>
      <c r="G22" s="21" t="s">
        <v>1177</v>
      </c>
      <c r="H22" s="26"/>
    </row>
    <row r="23">
      <c r="A23" s="24"/>
      <c r="B23" s="21" t="s">
        <v>1250</v>
      </c>
      <c r="C23" s="21" t="s">
        <v>1177</v>
      </c>
      <c r="D23" s="21" t="s">
        <v>1194</v>
      </c>
      <c r="E23" s="21" t="s">
        <v>1888</v>
      </c>
      <c r="F23" s="21" t="s">
        <v>1177</v>
      </c>
      <c r="G23" s="21" t="s">
        <v>1177</v>
      </c>
      <c r="H23" s="30"/>
      <c r="I23" s="14"/>
    </row>
    <row r="24">
      <c r="A24" s="16" t="s">
        <v>1174</v>
      </c>
      <c r="B24" s="17" t="s">
        <v>1889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4)),Dex!$A$2:$C289,3,false),"")</f>
        <v/>
      </c>
      <c r="C25" s="21" t="str">
        <f t="array" ref="C25">iferror(VLOOKUP(INDIRECT(ADDRESS(ROW()+1,COLUMN(), 4)),Dex!$A$2:$C289,3,false),"")</f>
        <v/>
      </c>
      <c r="D25" s="21" t="str">
        <f t="array" ref="D25">iferror(VLOOKUP(INDIRECT(ADDRESS(ROW()+1,COLUMN(), 4)),Dex!$A$2:$C289,3,false),"")</f>
        <v/>
      </c>
      <c r="E25" s="21" t="s">
        <v>1177</v>
      </c>
      <c r="F25" s="21" t="s">
        <v>1177</v>
      </c>
      <c r="G25" s="21" t="s">
        <v>1177</v>
      </c>
      <c r="H25" s="22" t="str">
        <f t="array" ref="H25">iferror(VLOOKUP("TRAINER_PIC_CYCLING_TRIATHLETE_M",Sprites!$A$1:$B289,2,false),"")</f>
        <v/>
      </c>
      <c r="I25" s="23"/>
    </row>
    <row r="26">
      <c r="A26" s="24"/>
      <c r="B26" s="25" t="s">
        <v>520</v>
      </c>
      <c r="C26" s="25" t="s">
        <v>418</v>
      </c>
      <c r="D26" s="25" t="s">
        <v>788</v>
      </c>
      <c r="E26" s="25" t="s">
        <v>1177</v>
      </c>
      <c r="F26" s="25" t="s">
        <v>1177</v>
      </c>
      <c r="G26" s="25" t="s">
        <v>1177</v>
      </c>
      <c r="H26" s="26"/>
    </row>
    <row r="27">
      <c r="A27" s="16" t="s">
        <v>1178</v>
      </c>
      <c r="B27" s="27" t="s">
        <v>1825</v>
      </c>
      <c r="C27" s="27" t="s">
        <v>1825</v>
      </c>
      <c r="D27" s="27" t="s">
        <v>1825</v>
      </c>
      <c r="E27" s="21" t="s">
        <v>1177</v>
      </c>
      <c r="F27" s="21" t="s">
        <v>1177</v>
      </c>
      <c r="G27" s="21" t="s">
        <v>1177</v>
      </c>
      <c r="H27" s="26"/>
    </row>
    <row r="28">
      <c r="A28" s="16" t="s">
        <v>1181</v>
      </c>
      <c r="B28" s="28" t="s">
        <v>1209</v>
      </c>
      <c r="C28" s="28" t="s">
        <v>1460</v>
      </c>
      <c r="D28" s="28" t="s">
        <v>1366</v>
      </c>
      <c r="E28" s="28" t="s">
        <v>1177</v>
      </c>
      <c r="F28" s="28" t="s">
        <v>1177</v>
      </c>
      <c r="G28" s="28" t="s">
        <v>1177</v>
      </c>
      <c r="H28" s="26"/>
    </row>
    <row r="29">
      <c r="A29" s="16" t="s">
        <v>1182</v>
      </c>
      <c r="B29" s="21" t="s">
        <v>1298</v>
      </c>
      <c r="C29" s="21" t="s">
        <v>1233</v>
      </c>
      <c r="D29" s="21" t="s">
        <v>1405</v>
      </c>
      <c r="E29" s="21" t="s">
        <v>1177</v>
      </c>
      <c r="F29" s="21" t="s">
        <v>1177</v>
      </c>
      <c r="G29" s="21" t="s">
        <v>1177</v>
      </c>
      <c r="H29" s="26"/>
    </row>
    <row r="30">
      <c r="A30" s="16" t="s">
        <v>1186</v>
      </c>
      <c r="B30" s="28" t="s">
        <v>1248</v>
      </c>
      <c r="C30" s="28" t="s">
        <v>1334</v>
      </c>
      <c r="D30" s="28" t="s">
        <v>1248</v>
      </c>
      <c r="E30" s="28" t="s">
        <v>1177</v>
      </c>
      <c r="F30" s="28" t="s">
        <v>1177</v>
      </c>
      <c r="G30" s="28" t="s">
        <v>1177</v>
      </c>
      <c r="H30" s="26"/>
    </row>
    <row r="31">
      <c r="A31" s="20" t="s">
        <v>1188</v>
      </c>
      <c r="B31" s="21" t="s">
        <v>1609</v>
      </c>
      <c r="C31" s="21" t="s">
        <v>1251</v>
      </c>
      <c r="D31" s="21" t="s">
        <v>1738</v>
      </c>
      <c r="E31" s="21" t="s">
        <v>1177</v>
      </c>
      <c r="F31" s="21" t="s">
        <v>1177</v>
      </c>
      <c r="G31" s="21" t="s">
        <v>1177</v>
      </c>
      <c r="H31" s="26"/>
    </row>
    <row r="32">
      <c r="A32" s="29"/>
      <c r="B32" s="21" t="s">
        <v>1372</v>
      </c>
      <c r="C32" s="21" t="s">
        <v>1890</v>
      </c>
      <c r="D32" s="21" t="s">
        <v>1415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1594</v>
      </c>
      <c r="C33" s="21" t="s">
        <v>1468</v>
      </c>
      <c r="D33" s="21" t="s">
        <v>1874</v>
      </c>
      <c r="E33" s="21" t="s">
        <v>1177</v>
      </c>
      <c r="F33" s="21" t="s">
        <v>1177</v>
      </c>
      <c r="G33" s="21" t="s">
        <v>1177</v>
      </c>
      <c r="H33" s="26"/>
    </row>
    <row r="34">
      <c r="A34" s="24"/>
      <c r="B34" s="21" t="s">
        <v>1891</v>
      </c>
      <c r="C34" s="21" t="s">
        <v>1741</v>
      </c>
      <c r="D34" s="21" t="s">
        <v>1891</v>
      </c>
      <c r="E34" s="21" t="s">
        <v>1177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1892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4)),Dex!$A$2:$C289,3,false),"")</f>
        <v/>
      </c>
      <c r="C36" s="21" t="str">
        <f t="array" ref="C36">iferror(VLOOKUP(INDIRECT(ADDRESS(ROW()+1,COLUMN(), 4)),Dex!$A$2:$C289,3,false),"")</f>
        <v/>
      </c>
      <c r="D36" s="21" t="s">
        <v>1177</v>
      </c>
      <c r="E36" s="21" t="s">
        <v>1177</v>
      </c>
      <c r="F36" s="21" t="s">
        <v>1177</v>
      </c>
      <c r="G36" s="21" t="s">
        <v>1177</v>
      </c>
      <c r="H36" s="22" t="str">
        <f t="array" ref="H36">iferror(VLOOKUP("TRAINER_PIC_CYCLING_TRIATHLETE_F",Sprites!$A$1:$B289,2,false),"")</f>
        <v/>
      </c>
      <c r="I36" s="23"/>
    </row>
    <row r="37">
      <c r="A37" s="24"/>
      <c r="B37" s="25" t="s">
        <v>462</v>
      </c>
      <c r="C37" s="25" t="s">
        <v>851</v>
      </c>
      <c r="D37" s="25" t="s">
        <v>1177</v>
      </c>
      <c r="E37" s="25" t="s">
        <v>1177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1893</v>
      </c>
      <c r="C38" s="27" t="s">
        <v>1894</v>
      </c>
      <c r="D38" s="21" t="s">
        <v>1177</v>
      </c>
      <c r="E38" s="21" t="s">
        <v>1177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1247</v>
      </c>
      <c r="C39" s="28" t="s">
        <v>1583</v>
      </c>
      <c r="D39" s="28" t="s">
        <v>1177</v>
      </c>
      <c r="E39" s="28" t="s">
        <v>1177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1797</v>
      </c>
      <c r="C40" s="21" t="s">
        <v>1895</v>
      </c>
      <c r="D40" s="21" t="s">
        <v>1177</v>
      </c>
      <c r="E40" s="21" t="s">
        <v>1177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1235</v>
      </c>
      <c r="C41" s="28" t="s">
        <v>1284</v>
      </c>
      <c r="D41" s="28" t="s">
        <v>1177</v>
      </c>
      <c r="E41" s="28" t="s">
        <v>1177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1307</v>
      </c>
      <c r="C42" s="21" t="s">
        <v>1731</v>
      </c>
      <c r="D42" s="21" t="s">
        <v>1177</v>
      </c>
      <c r="E42" s="21" t="s">
        <v>1177</v>
      </c>
      <c r="F42" s="21" t="s">
        <v>1177</v>
      </c>
      <c r="G42" s="21" t="s">
        <v>1177</v>
      </c>
      <c r="H42" s="26"/>
    </row>
    <row r="43">
      <c r="A43" s="29"/>
      <c r="B43" s="21" t="s">
        <v>1874</v>
      </c>
      <c r="C43" s="21" t="s">
        <v>1724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1372</v>
      </c>
      <c r="C44" s="21" t="s">
        <v>1742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4"/>
      <c r="B45" s="21" t="s">
        <v>1896</v>
      </c>
      <c r="C45" s="21" t="s">
        <v>1587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30"/>
      <c r="I45" s="14"/>
    </row>
    <row r="46">
      <c r="A46" s="16" t="s">
        <v>1174</v>
      </c>
      <c r="B46" s="17" t="s">
        <v>1897</v>
      </c>
      <c r="C46" s="18"/>
      <c r="D46" s="18"/>
      <c r="E46" s="18"/>
      <c r="F46" s="18"/>
      <c r="G46" s="18"/>
      <c r="H46" s="18"/>
      <c r="I46" s="16"/>
    </row>
    <row r="47" ht="60.0" customHeight="1">
      <c r="A47" s="20" t="s">
        <v>1176</v>
      </c>
      <c r="B47" s="21" t="str">
        <f t="array" ref="B47">iferror(VLOOKUP(INDIRECT(ADDRESS(ROW()+1,COLUMN(), 4)),Dex!$A$2:$C289,3,false),"")</f>
        <v/>
      </c>
      <c r="C47" s="21" t="str">
        <f t="array" ref="C47">iferror(VLOOKUP(INDIRECT(ADDRESS(ROW()+1,COLUMN(), 4)),Dex!$A$2:$C289,3,false),"")</f>
        <v/>
      </c>
      <c r="D47" s="21" t="str">
        <f t="array" ref="D47">iferror(VLOOKUP(INDIRECT(ADDRESS(ROW()+1,COLUMN(), 4)),Dex!$A$2:$C289,3,false),"")</f>
        <v/>
      </c>
      <c r="E47" s="21" t="str">
        <f t="array" ref="E47">iferror(VLOOKUP(INDIRECT(ADDRESS(ROW()+1,COLUMN(), 4)),Dex!$A$2:$C289,3,false),"")</f>
        <v/>
      </c>
      <c r="F47" s="21" t="s">
        <v>1177</v>
      </c>
      <c r="G47" s="21" t="s">
        <v>1177</v>
      </c>
      <c r="H47" s="22" t="str">
        <f t="array" ref="H47">iferror(VLOOKUP("TRAINER_PIC_CYCLING_TRIATHLETE_M",Sprites!$A$1:$B289,2,false),"")</f>
        <v/>
      </c>
      <c r="I47" s="23"/>
    </row>
    <row r="48">
      <c r="A48" s="24"/>
      <c r="B48" s="25" t="s">
        <v>534</v>
      </c>
      <c r="C48" s="25" t="s">
        <v>672</v>
      </c>
      <c r="D48" s="25" t="s">
        <v>35</v>
      </c>
      <c r="E48" s="25" t="s">
        <v>266</v>
      </c>
      <c r="F48" s="25" t="s">
        <v>1177</v>
      </c>
      <c r="G48" s="25" t="s">
        <v>1177</v>
      </c>
      <c r="H48" s="26"/>
    </row>
    <row r="49">
      <c r="A49" s="16" t="s">
        <v>1178</v>
      </c>
      <c r="B49" s="27" t="s">
        <v>1871</v>
      </c>
      <c r="C49" s="27" t="s">
        <v>1871</v>
      </c>
      <c r="D49" s="27" t="s">
        <v>1871</v>
      </c>
      <c r="E49" s="27" t="s">
        <v>1893</v>
      </c>
      <c r="F49" s="21" t="s">
        <v>1177</v>
      </c>
      <c r="G49" s="21" t="s">
        <v>1177</v>
      </c>
      <c r="H49" s="26"/>
    </row>
    <row r="50">
      <c r="A50" s="16" t="s">
        <v>1181</v>
      </c>
      <c r="B50" s="28" t="s">
        <v>1898</v>
      </c>
      <c r="C50" s="28" t="s">
        <v>1209</v>
      </c>
      <c r="D50" s="28" t="s">
        <v>1417</v>
      </c>
      <c r="E50" s="28" t="s">
        <v>1282</v>
      </c>
      <c r="F50" s="28" t="s">
        <v>1177</v>
      </c>
      <c r="G50" s="28" t="s">
        <v>1177</v>
      </c>
      <c r="H50" s="26"/>
    </row>
    <row r="51">
      <c r="A51" s="16" t="s">
        <v>1182</v>
      </c>
      <c r="B51" s="21" t="s">
        <v>1791</v>
      </c>
      <c r="C51" s="21" t="s">
        <v>1797</v>
      </c>
      <c r="D51" s="21" t="s">
        <v>1419</v>
      </c>
      <c r="E51" s="21" t="s">
        <v>1884</v>
      </c>
      <c r="F51" s="21" t="s">
        <v>1177</v>
      </c>
      <c r="G51" s="21" t="s">
        <v>1177</v>
      </c>
      <c r="H51" s="26"/>
    </row>
    <row r="52">
      <c r="A52" s="16" t="s">
        <v>1186</v>
      </c>
      <c r="B52" s="28" t="s">
        <v>1284</v>
      </c>
      <c r="C52" s="28" t="s">
        <v>1235</v>
      </c>
      <c r="D52" s="28" t="s">
        <v>1235</v>
      </c>
      <c r="E52" s="28" t="s">
        <v>1235</v>
      </c>
      <c r="F52" s="28" t="s">
        <v>1177</v>
      </c>
      <c r="G52" s="28" t="s">
        <v>1177</v>
      </c>
      <c r="H52" s="26"/>
    </row>
    <row r="53">
      <c r="A53" s="20" t="s">
        <v>1188</v>
      </c>
      <c r="B53" s="21" t="s">
        <v>1899</v>
      </c>
      <c r="C53" s="21" t="s">
        <v>1415</v>
      </c>
      <c r="D53" s="21" t="s">
        <v>1432</v>
      </c>
      <c r="E53" s="21" t="s">
        <v>1630</v>
      </c>
      <c r="F53" s="21" t="s">
        <v>1177</v>
      </c>
      <c r="G53" s="21" t="s">
        <v>1177</v>
      </c>
      <c r="H53" s="26"/>
    </row>
    <row r="54">
      <c r="A54" s="29"/>
      <c r="B54" s="21" t="s">
        <v>1376</v>
      </c>
      <c r="C54" s="21" t="s">
        <v>1192</v>
      </c>
      <c r="D54" s="21" t="s">
        <v>1192</v>
      </c>
      <c r="E54" s="21" t="s">
        <v>1238</v>
      </c>
      <c r="F54" s="21" t="s">
        <v>1177</v>
      </c>
      <c r="G54" s="21" t="s">
        <v>1177</v>
      </c>
      <c r="H54" s="26"/>
    </row>
    <row r="55">
      <c r="A55" s="29"/>
      <c r="B55" s="21" t="s">
        <v>1879</v>
      </c>
      <c r="C55" s="21" t="s">
        <v>1577</v>
      </c>
      <c r="D55" s="21" t="s">
        <v>1411</v>
      </c>
      <c r="E55" s="21" t="s">
        <v>1441</v>
      </c>
      <c r="F55" s="21" t="s">
        <v>1177</v>
      </c>
      <c r="G55" s="21" t="s">
        <v>1177</v>
      </c>
      <c r="H55" s="26"/>
    </row>
    <row r="56">
      <c r="A56" s="24"/>
      <c r="B56" s="21" t="s">
        <v>1880</v>
      </c>
      <c r="C56" s="21" t="s">
        <v>1600</v>
      </c>
      <c r="D56" s="21" t="s">
        <v>1641</v>
      </c>
      <c r="E56" s="21" t="s">
        <v>1641</v>
      </c>
      <c r="F56" s="21" t="s">
        <v>1177</v>
      </c>
      <c r="G56" s="21" t="s">
        <v>1177</v>
      </c>
      <c r="H56" s="30"/>
      <c r="I56" s="14"/>
    </row>
    <row r="57">
      <c r="A57" s="16" t="s">
        <v>1174</v>
      </c>
      <c r="B57" s="17" t="s">
        <v>1900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4)),Dex!$A$2:$C289,3,false),"")</f>
        <v/>
      </c>
      <c r="C58" s="21" t="str">
        <f t="array" ref="C58">iferror(VLOOKUP(INDIRECT(ADDRESS(ROW()+1,COLUMN(), 4)),Dex!$A$2:$C289,3,false),"")</f>
        <v/>
      </c>
      <c r="D58" s="21" t="str">
        <f t="array" ref="D58">iferror(VLOOKUP(INDIRECT(ADDRESS(ROW()+1,COLUMN(), 4)),Dex!$A$2:$C289,3,false),"")</f>
        <v/>
      </c>
      <c r="E58" s="21" t="s">
        <v>1177</v>
      </c>
      <c r="F58" s="21" t="s">
        <v>1177</v>
      </c>
      <c r="G58" s="21" t="s">
        <v>1177</v>
      </c>
      <c r="H58" s="22" t="str">
        <f t="array" ref="H58">iferror(VLOOKUP("TRAINER_PIC_CYCLING_TRIATHLETE_M",Sprites!$A$1:$B289,2,false),"")</f>
        <v/>
      </c>
      <c r="I58" s="23"/>
    </row>
    <row r="59">
      <c r="A59" s="24"/>
      <c r="B59" s="25" t="s">
        <v>536</v>
      </c>
      <c r="C59" s="25" t="s">
        <v>745</v>
      </c>
      <c r="D59" s="25" t="s">
        <v>953</v>
      </c>
      <c r="E59" s="25" t="s">
        <v>1177</v>
      </c>
      <c r="F59" s="25" t="s">
        <v>1177</v>
      </c>
      <c r="G59" s="25" t="s">
        <v>1177</v>
      </c>
      <c r="H59" s="26"/>
    </row>
    <row r="60">
      <c r="A60" s="16" t="s">
        <v>1178</v>
      </c>
      <c r="B60" s="27" t="s">
        <v>1871</v>
      </c>
      <c r="C60" s="27" t="s">
        <v>1871</v>
      </c>
      <c r="D60" s="27" t="s">
        <v>1871</v>
      </c>
      <c r="E60" s="21" t="s">
        <v>1177</v>
      </c>
      <c r="F60" s="21" t="s">
        <v>1177</v>
      </c>
      <c r="G60" s="21" t="s">
        <v>1177</v>
      </c>
      <c r="H60" s="26"/>
    </row>
    <row r="61">
      <c r="A61" s="16" t="s">
        <v>1181</v>
      </c>
      <c r="B61" s="28" t="s">
        <v>1882</v>
      </c>
      <c r="C61" s="28" t="s">
        <v>1901</v>
      </c>
      <c r="D61" s="28" t="s">
        <v>1346</v>
      </c>
      <c r="E61" s="28" t="s">
        <v>1177</v>
      </c>
      <c r="F61" s="28" t="s">
        <v>1177</v>
      </c>
      <c r="G61" s="28" t="s">
        <v>1177</v>
      </c>
      <c r="H61" s="26"/>
    </row>
    <row r="62">
      <c r="A62" s="16" t="s">
        <v>1182</v>
      </c>
      <c r="B62" s="21" t="s">
        <v>1614</v>
      </c>
      <c r="C62" s="21" t="s">
        <v>1902</v>
      </c>
      <c r="D62" s="21" t="s">
        <v>1903</v>
      </c>
      <c r="E62" s="21" t="s">
        <v>1177</v>
      </c>
      <c r="F62" s="21" t="s">
        <v>1177</v>
      </c>
      <c r="G62" s="21" t="s">
        <v>1177</v>
      </c>
      <c r="H62" s="26"/>
    </row>
    <row r="63">
      <c r="A63" s="16" t="s">
        <v>1186</v>
      </c>
      <c r="B63" s="28" t="s">
        <v>1249</v>
      </c>
      <c r="C63" s="28" t="s">
        <v>1235</v>
      </c>
      <c r="D63" s="28" t="s">
        <v>1284</v>
      </c>
      <c r="E63" s="28" t="s">
        <v>1177</v>
      </c>
      <c r="F63" s="28" t="s">
        <v>1177</v>
      </c>
      <c r="G63" s="28" t="s">
        <v>1177</v>
      </c>
      <c r="H63" s="26"/>
    </row>
    <row r="64">
      <c r="A64" s="20" t="s">
        <v>1188</v>
      </c>
      <c r="B64" s="21" t="s">
        <v>1251</v>
      </c>
      <c r="C64" s="21" t="s">
        <v>1214</v>
      </c>
      <c r="D64" s="21" t="s">
        <v>1740</v>
      </c>
      <c r="E64" s="21" t="s">
        <v>1177</v>
      </c>
      <c r="F64" s="21" t="s">
        <v>1177</v>
      </c>
      <c r="G64" s="21" t="s">
        <v>1177</v>
      </c>
      <c r="H64" s="26"/>
    </row>
    <row r="65">
      <c r="A65" s="29"/>
      <c r="B65" s="21" t="s">
        <v>1236</v>
      </c>
      <c r="C65" s="21" t="s">
        <v>1439</v>
      </c>
      <c r="D65" s="21" t="s">
        <v>1350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1878</v>
      </c>
      <c r="C66" s="21" t="s">
        <v>1250</v>
      </c>
      <c r="D66" s="21" t="s">
        <v>1389</v>
      </c>
      <c r="E66" s="21" t="s">
        <v>1177</v>
      </c>
      <c r="F66" s="21" t="s">
        <v>1177</v>
      </c>
      <c r="G66" s="21" t="s">
        <v>1177</v>
      </c>
      <c r="H66" s="26"/>
    </row>
    <row r="67">
      <c r="A67" s="24"/>
      <c r="B67" s="21" t="s">
        <v>1468</v>
      </c>
      <c r="C67" s="21" t="s">
        <v>1641</v>
      </c>
      <c r="D67" s="21" t="s">
        <v>1362</v>
      </c>
      <c r="E67" s="21" t="s">
        <v>1177</v>
      </c>
      <c r="F67" s="21" t="s">
        <v>1177</v>
      </c>
      <c r="G67" s="21" t="s">
        <v>1177</v>
      </c>
      <c r="H67" s="30"/>
      <c r="I67" s="14"/>
    </row>
    <row r="68">
      <c r="A68" s="16" t="s">
        <v>1174</v>
      </c>
      <c r="B68" s="17" t="s">
        <v>1904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4)),Dex!$A$2:$C289,3,false),"")</f>
        <v/>
      </c>
      <c r="C69" s="21" t="str">
        <f t="array" ref="C69">iferror(VLOOKUP(INDIRECT(ADDRESS(ROW()+1,COLUMN(), 4)),Dex!$A$2:$C289,3,false),"")</f>
        <v/>
      </c>
      <c r="D69" s="21" t="str">
        <f t="array" ref="D69">iferror(VLOOKUP(INDIRECT(ADDRESS(ROW()+1,COLUMN(), 4)),Dex!$A$2:$C289,3,false),"")</f>
        <v/>
      </c>
      <c r="E69" s="21" t="s">
        <v>1177</v>
      </c>
      <c r="F69" s="21" t="s">
        <v>1177</v>
      </c>
      <c r="G69" s="21" t="s">
        <v>1177</v>
      </c>
      <c r="H69" s="22" t="str">
        <f t="array" ref="H69">iferror(VLOOKUP("TRAINER_PIC_CYCLING_TRIATHLETE_F",Sprites!$A$1:$B289,2,false),"")</f>
        <v/>
      </c>
      <c r="I69" s="23"/>
    </row>
    <row r="70">
      <c r="A70" s="24"/>
      <c r="B70" s="25" t="s">
        <v>117</v>
      </c>
      <c r="C70" s="25" t="s">
        <v>730</v>
      </c>
      <c r="D70" s="25" t="s">
        <v>1107</v>
      </c>
      <c r="E70" s="25" t="s">
        <v>1177</v>
      </c>
      <c r="F70" s="25" t="s">
        <v>1177</v>
      </c>
      <c r="G70" s="25" t="s">
        <v>1177</v>
      </c>
      <c r="H70" s="26"/>
    </row>
    <row r="71">
      <c r="A71" s="16" t="s">
        <v>1178</v>
      </c>
      <c r="B71" s="27" t="s">
        <v>1893</v>
      </c>
      <c r="C71" s="27" t="s">
        <v>1871</v>
      </c>
      <c r="D71" s="27" t="s">
        <v>1871</v>
      </c>
      <c r="E71" s="21" t="s">
        <v>1177</v>
      </c>
      <c r="F71" s="21" t="s">
        <v>1177</v>
      </c>
      <c r="G71" s="21" t="s">
        <v>1177</v>
      </c>
      <c r="H71" s="26"/>
    </row>
    <row r="72">
      <c r="A72" s="16" t="s">
        <v>1181</v>
      </c>
      <c r="B72" s="28" t="s">
        <v>1209</v>
      </c>
      <c r="C72" s="28" t="s">
        <v>1766</v>
      </c>
      <c r="D72" s="28" t="s">
        <v>1688</v>
      </c>
      <c r="E72" s="28" t="s">
        <v>1177</v>
      </c>
      <c r="F72" s="28" t="s">
        <v>1177</v>
      </c>
      <c r="G72" s="28" t="s">
        <v>1177</v>
      </c>
      <c r="H72" s="26"/>
    </row>
    <row r="73">
      <c r="A73" s="16" t="s">
        <v>1182</v>
      </c>
      <c r="B73" s="21" t="s">
        <v>1905</v>
      </c>
      <c r="C73" s="21" t="s">
        <v>1906</v>
      </c>
      <c r="D73" s="21" t="s">
        <v>1907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1186</v>
      </c>
      <c r="B74" s="28" t="s">
        <v>1235</v>
      </c>
      <c r="C74" s="28" t="s">
        <v>1249</v>
      </c>
      <c r="D74" s="28" t="s">
        <v>1248</v>
      </c>
      <c r="E74" s="28" t="s">
        <v>1177</v>
      </c>
      <c r="F74" s="28" t="s">
        <v>1177</v>
      </c>
      <c r="G74" s="28" t="s">
        <v>1177</v>
      </c>
      <c r="H74" s="26"/>
    </row>
    <row r="75">
      <c r="A75" s="20" t="s">
        <v>1188</v>
      </c>
      <c r="B75" s="21" t="s">
        <v>1372</v>
      </c>
      <c r="C75" s="21" t="s">
        <v>1908</v>
      </c>
      <c r="D75" s="21" t="s">
        <v>1874</v>
      </c>
      <c r="E75" s="21" t="s">
        <v>1177</v>
      </c>
      <c r="F75" s="21" t="s">
        <v>1177</v>
      </c>
      <c r="G75" s="21" t="s">
        <v>1177</v>
      </c>
      <c r="H75" s="26"/>
    </row>
    <row r="76">
      <c r="A76" s="29"/>
      <c r="B76" s="21" t="s">
        <v>1469</v>
      </c>
      <c r="C76" s="21" t="s">
        <v>1307</v>
      </c>
      <c r="D76" s="21" t="s">
        <v>1177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1311</v>
      </c>
      <c r="C77" s="21" t="s">
        <v>1740</v>
      </c>
      <c r="D77" s="21" t="s">
        <v>1177</v>
      </c>
      <c r="E77" s="21" t="s">
        <v>1177</v>
      </c>
      <c r="F77" s="21" t="s">
        <v>1177</v>
      </c>
      <c r="G77" s="21" t="s">
        <v>1177</v>
      </c>
      <c r="H77" s="26"/>
    </row>
    <row r="78">
      <c r="A78" s="24"/>
      <c r="B78" s="21" t="s">
        <v>1590</v>
      </c>
      <c r="C78" s="21" t="s">
        <v>1373</v>
      </c>
      <c r="D78" s="21" t="s">
        <v>1177</v>
      </c>
      <c r="E78" s="21" t="s">
        <v>1177</v>
      </c>
      <c r="F78" s="21" t="s">
        <v>1177</v>
      </c>
      <c r="G78" s="21" t="s">
        <v>1177</v>
      </c>
      <c r="H78" s="30"/>
      <c r="I78" s="14"/>
    </row>
    <row r="79">
      <c r="A79" s="16" t="s">
        <v>1174</v>
      </c>
      <c r="B79" s="17" t="s">
        <v>1909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4)),Dex!$A$2:$C289,3,false),"")</f>
        <v/>
      </c>
      <c r="C80" s="21" t="str">
        <f t="array" ref="C80">iferror(VLOOKUP(INDIRECT(ADDRESS(ROW()+1,COLUMN(), 4)),Dex!$A$2:$C289,3,false),"")</f>
        <v/>
      </c>
      <c r="D80" s="21" t="str">
        <f t="array" ref="D80">iferror(VLOOKUP(INDIRECT(ADDRESS(ROW()+1,COLUMN(), 4)),Dex!$A$2:$C289,3,false),"")</f>
        <v/>
      </c>
      <c r="E80" s="21" t="str">
        <f t="array" ref="E80">iferror(VLOOKUP(INDIRECT(ADDRESS(ROW()+1,COLUMN(), 4)),Dex!$A$2:$C289,3,false),"")</f>
        <v/>
      </c>
      <c r="F80" s="21" t="str">
        <f t="array" ref="F80">iferror(VLOOKUP(INDIRECT(ADDRESS(ROW()+1,COLUMN(), 4)),Dex!$A$2:$C289,3,false),"")</f>
        <v/>
      </c>
      <c r="G80" s="21" t="str">
        <f t="array" ref="G80">iferror(VLOOKUP(INDIRECT(ADDRESS(ROW()+1,COLUMN(), 4)),Dex!$A$2:$C289,3,false),"")</f>
        <v/>
      </c>
      <c r="H80" s="22" t="str">
        <f t="array" ref="H80">iferror(VLOOKUP("TRAINER_PIC_MAY",Sprites!$A$1:$B289,2,false),"")</f>
        <v/>
      </c>
      <c r="I80" s="23"/>
    </row>
    <row r="81">
      <c r="A81" s="24"/>
      <c r="B81" s="25" t="s">
        <v>1122</v>
      </c>
      <c r="C81" s="25" t="s">
        <v>342</v>
      </c>
      <c r="D81" s="25" t="s">
        <v>314</v>
      </c>
      <c r="E81" s="25" t="s">
        <v>316</v>
      </c>
      <c r="F81" s="25" t="s">
        <v>875</v>
      </c>
      <c r="G81" s="25" t="s">
        <v>290</v>
      </c>
      <c r="H81" s="26"/>
    </row>
    <row r="82">
      <c r="A82" s="16" t="s">
        <v>1178</v>
      </c>
      <c r="B82" s="27" t="s">
        <v>1894</v>
      </c>
      <c r="C82" s="27" t="s">
        <v>1910</v>
      </c>
      <c r="D82" s="27" t="s">
        <v>1893</v>
      </c>
      <c r="E82" s="27" t="s">
        <v>1893</v>
      </c>
      <c r="F82" s="27" t="s">
        <v>1893</v>
      </c>
      <c r="G82" s="27" t="s">
        <v>1893</v>
      </c>
      <c r="H82" s="26"/>
    </row>
    <row r="83">
      <c r="A83" s="16" t="s">
        <v>1181</v>
      </c>
      <c r="B83" s="28" t="s">
        <v>1898</v>
      </c>
      <c r="C83" s="28" t="s">
        <v>1572</v>
      </c>
      <c r="D83" s="28" t="s">
        <v>1901</v>
      </c>
      <c r="E83" s="28" t="s">
        <v>1209</v>
      </c>
      <c r="F83" s="28" t="s">
        <v>1911</v>
      </c>
      <c r="G83" s="28" t="s">
        <v>1838</v>
      </c>
      <c r="H83" s="26"/>
    </row>
    <row r="84">
      <c r="A84" s="16" t="s">
        <v>1182</v>
      </c>
      <c r="B84" s="21" t="s">
        <v>1912</v>
      </c>
      <c r="C84" s="21" t="s">
        <v>1222</v>
      </c>
      <c r="D84" s="21" t="s">
        <v>1211</v>
      </c>
      <c r="E84" s="21" t="s">
        <v>1573</v>
      </c>
      <c r="F84" s="21" t="s">
        <v>1222</v>
      </c>
      <c r="G84" s="21" t="s">
        <v>1298</v>
      </c>
      <c r="H84" s="26"/>
    </row>
    <row r="85">
      <c r="A85" s="16" t="s">
        <v>1186</v>
      </c>
      <c r="B85" s="28" t="s">
        <v>1284</v>
      </c>
      <c r="C85" s="28" t="s">
        <v>1465</v>
      </c>
      <c r="D85" s="28" t="s">
        <v>1249</v>
      </c>
      <c r="E85" s="28" t="s">
        <v>1406</v>
      </c>
      <c r="F85" s="28" t="s">
        <v>1248</v>
      </c>
      <c r="G85" s="28" t="s">
        <v>1406</v>
      </c>
      <c r="H85" s="26"/>
    </row>
    <row r="86">
      <c r="A86" s="20" t="s">
        <v>1188</v>
      </c>
      <c r="B86" s="21" t="s">
        <v>1778</v>
      </c>
      <c r="C86" s="21" t="s">
        <v>1823</v>
      </c>
      <c r="D86" s="21" t="s">
        <v>1740</v>
      </c>
      <c r="E86" s="21" t="s">
        <v>1760</v>
      </c>
      <c r="F86" s="21" t="s">
        <v>1423</v>
      </c>
      <c r="G86" s="21" t="s">
        <v>1372</v>
      </c>
      <c r="H86" s="26"/>
    </row>
    <row r="87">
      <c r="A87" s="29"/>
      <c r="B87" s="21" t="s">
        <v>1913</v>
      </c>
      <c r="C87" s="21" t="s">
        <v>1816</v>
      </c>
      <c r="D87" s="21" t="s">
        <v>1890</v>
      </c>
      <c r="E87" s="21" t="s">
        <v>1588</v>
      </c>
      <c r="F87" s="21" t="s">
        <v>1238</v>
      </c>
      <c r="G87" s="21" t="s">
        <v>1677</v>
      </c>
      <c r="H87" s="26"/>
    </row>
    <row r="88">
      <c r="A88" s="29"/>
      <c r="B88" s="21" t="s">
        <v>1879</v>
      </c>
      <c r="C88" s="21" t="s">
        <v>1238</v>
      </c>
      <c r="D88" s="21" t="s">
        <v>1336</v>
      </c>
      <c r="E88" s="21" t="s">
        <v>1607</v>
      </c>
      <c r="F88" s="21" t="s">
        <v>1410</v>
      </c>
      <c r="G88" s="21" t="s">
        <v>1385</v>
      </c>
      <c r="H88" s="26"/>
    </row>
    <row r="89">
      <c r="A89" s="24"/>
      <c r="B89" s="21" t="s">
        <v>1880</v>
      </c>
      <c r="C89" s="21" t="s">
        <v>1640</v>
      </c>
      <c r="D89" s="21" t="s">
        <v>1914</v>
      </c>
      <c r="E89" s="21" t="s">
        <v>1915</v>
      </c>
      <c r="F89" s="21" t="s">
        <v>1377</v>
      </c>
      <c r="G89" s="21" t="s">
        <v>1896</v>
      </c>
      <c r="H89" s="30"/>
      <c r="I89" s="14"/>
    </row>
    <row r="90">
      <c r="A90" s="16" t="s">
        <v>1174</v>
      </c>
      <c r="B90" s="17" t="s">
        <v>1916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4)),Dex!$A$2:$C289,3,false),"")</f>
        <v/>
      </c>
      <c r="C91" s="21" t="str">
        <f t="array" ref="C91">iferror(VLOOKUP(INDIRECT(ADDRESS(ROW()+1,COLUMN(), 4)),Dex!$A$2:$C289,3,false),"")</f>
        <v/>
      </c>
      <c r="D91" s="21" t="str">
        <f t="array" ref="D91">iferror(VLOOKUP(INDIRECT(ADDRESS(ROW()+1,COLUMN(), 4)),Dex!$A$2:$C289,3,false),"")</f>
        <v/>
      </c>
      <c r="E91" s="21" t="str">
        <f t="array" ref="E91">iferror(VLOOKUP(INDIRECT(ADDRESS(ROW()+1,COLUMN(), 4)),Dex!$A$2:$C289,3,false),"")</f>
        <v/>
      </c>
      <c r="F91" s="21" t="str">
        <f t="array" ref="F91">iferror(VLOOKUP(INDIRECT(ADDRESS(ROW()+1,COLUMN(), 4)),Dex!$A$2:$C289,3,false),"")</f>
        <v/>
      </c>
      <c r="G91" s="21" t="str">
        <f t="array" ref="G91">iferror(VLOOKUP(INDIRECT(ADDRESS(ROW()+1,COLUMN(), 4)),Dex!$A$2:$C289,3,false),"")</f>
        <v/>
      </c>
      <c r="H91" s="22" t="str">
        <f t="array" ref="H91">iferror(VLOOKUP("TRAINER_PIC_MAY",Sprites!$A$1:$B289,2,false),"")</f>
        <v/>
      </c>
      <c r="I91" s="23"/>
    </row>
    <row r="92">
      <c r="A92" s="24"/>
      <c r="B92" s="25" t="s">
        <v>1122</v>
      </c>
      <c r="C92" s="25" t="s">
        <v>346</v>
      </c>
      <c r="D92" s="25" t="s">
        <v>316</v>
      </c>
      <c r="E92" s="25" t="s">
        <v>958</v>
      </c>
      <c r="F92" s="25" t="s">
        <v>583</v>
      </c>
      <c r="G92" s="25" t="s">
        <v>1113</v>
      </c>
      <c r="H92" s="26"/>
    </row>
    <row r="93">
      <c r="A93" s="16" t="s">
        <v>1178</v>
      </c>
      <c r="B93" s="27" t="s">
        <v>1894</v>
      </c>
      <c r="C93" s="27" t="s">
        <v>1910</v>
      </c>
      <c r="D93" s="27" t="s">
        <v>1893</v>
      </c>
      <c r="E93" s="27" t="s">
        <v>1893</v>
      </c>
      <c r="F93" s="27" t="s">
        <v>1893</v>
      </c>
      <c r="G93" s="27" t="s">
        <v>1893</v>
      </c>
      <c r="H93" s="26"/>
    </row>
    <row r="94">
      <c r="A94" s="16" t="s">
        <v>1181</v>
      </c>
      <c r="B94" s="28" t="s">
        <v>1898</v>
      </c>
      <c r="C94" s="28" t="s">
        <v>1572</v>
      </c>
      <c r="D94" s="28" t="s">
        <v>1295</v>
      </c>
      <c r="E94" s="28" t="s">
        <v>1838</v>
      </c>
      <c r="F94" s="28" t="s">
        <v>1247</v>
      </c>
      <c r="G94" s="28" t="s">
        <v>1911</v>
      </c>
      <c r="H94" s="26"/>
    </row>
    <row r="95">
      <c r="A95" s="16" t="s">
        <v>1182</v>
      </c>
      <c r="B95" s="21" t="s">
        <v>1912</v>
      </c>
      <c r="C95" s="21" t="s">
        <v>1233</v>
      </c>
      <c r="D95" s="21" t="s">
        <v>1573</v>
      </c>
      <c r="E95" s="21" t="s">
        <v>1917</v>
      </c>
      <c r="F95" s="21" t="s">
        <v>1356</v>
      </c>
      <c r="G95" s="21" t="s">
        <v>1917</v>
      </c>
      <c r="H95" s="26"/>
    </row>
    <row r="96">
      <c r="A96" s="16" t="s">
        <v>1186</v>
      </c>
      <c r="B96" s="28" t="s">
        <v>1284</v>
      </c>
      <c r="C96" s="28" t="s">
        <v>1300</v>
      </c>
      <c r="D96" s="28" t="s">
        <v>1248</v>
      </c>
      <c r="E96" s="28" t="s">
        <v>1235</v>
      </c>
      <c r="F96" s="28" t="s">
        <v>1235</v>
      </c>
      <c r="G96" s="28" t="s">
        <v>1257</v>
      </c>
      <c r="H96" s="26"/>
    </row>
    <row r="97">
      <c r="A97" s="20" t="s">
        <v>1188</v>
      </c>
      <c r="B97" s="21" t="s">
        <v>1778</v>
      </c>
      <c r="C97" s="21" t="s">
        <v>1918</v>
      </c>
      <c r="D97" s="21" t="s">
        <v>1760</v>
      </c>
      <c r="E97" s="21" t="s">
        <v>1756</v>
      </c>
      <c r="F97" s="21" t="s">
        <v>1577</v>
      </c>
      <c r="G97" s="21" t="s">
        <v>1605</v>
      </c>
      <c r="H97" s="26"/>
    </row>
    <row r="98">
      <c r="A98" s="29"/>
      <c r="B98" s="21" t="s">
        <v>1913</v>
      </c>
      <c r="C98" s="21" t="s">
        <v>1874</v>
      </c>
      <c r="D98" s="21" t="s">
        <v>1919</v>
      </c>
      <c r="E98" s="21" t="s">
        <v>1307</v>
      </c>
      <c r="F98" s="21" t="s">
        <v>1336</v>
      </c>
      <c r="G98" s="21" t="s">
        <v>1711</v>
      </c>
      <c r="H98" s="26"/>
    </row>
    <row r="99">
      <c r="A99" s="29"/>
      <c r="B99" s="21" t="s">
        <v>1879</v>
      </c>
      <c r="C99" s="21" t="s">
        <v>1887</v>
      </c>
      <c r="D99" s="21" t="s">
        <v>1607</v>
      </c>
      <c r="E99" s="21" t="s">
        <v>1440</v>
      </c>
      <c r="F99" s="21" t="s">
        <v>1920</v>
      </c>
      <c r="G99" s="21" t="s">
        <v>1921</v>
      </c>
      <c r="H99" s="26"/>
    </row>
    <row r="100">
      <c r="A100" s="24"/>
      <c r="B100" s="21" t="s">
        <v>1880</v>
      </c>
      <c r="C100" s="21" t="s">
        <v>1678</v>
      </c>
      <c r="D100" s="21" t="s">
        <v>1915</v>
      </c>
      <c r="E100" s="21" t="s">
        <v>1759</v>
      </c>
      <c r="F100" s="21" t="s">
        <v>1759</v>
      </c>
      <c r="G100" s="21" t="s">
        <v>1398</v>
      </c>
      <c r="H100" s="30"/>
      <c r="I100" s="14"/>
    </row>
    <row r="101">
      <c r="A101" s="16" t="s">
        <v>1174</v>
      </c>
      <c r="B101" s="17" t="s">
        <v>1922</v>
      </c>
      <c r="C101" s="18"/>
      <c r="D101" s="18"/>
      <c r="E101" s="18"/>
      <c r="F101" s="18"/>
      <c r="G101" s="18"/>
      <c r="H101" s="18"/>
      <c r="I101" s="16"/>
    </row>
    <row r="102" ht="60.0" customHeight="1">
      <c r="A102" s="20" t="s">
        <v>1176</v>
      </c>
      <c r="B102" s="21" t="str">
        <f t="array" ref="B102">iferror(VLOOKUP(INDIRECT(ADDRESS(ROW()+1,COLUMN(), 4)),Dex!$A$2:$C289,3,false),"")</f>
        <v/>
      </c>
      <c r="C102" s="21" t="str">
        <f t="array" ref="C102">iferror(VLOOKUP(INDIRECT(ADDRESS(ROW()+1,COLUMN(), 4)),Dex!$A$2:$C289,3,false),"")</f>
        <v/>
      </c>
      <c r="D102" s="21" t="str">
        <f t="array" ref="D102">iferror(VLOOKUP(INDIRECT(ADDRESS(ROW()+1,COLUMN(), 4)),Dex!$A$2:$C289,3,false),"")</f>
        <v/>
      </c>
      <c r="E102" s="21" t="str">
        <f t="array" ref="E102">iferror(VLOOKUP(INDIRECT(ADDRESS(ROW()+1,COLUMN(), 4)),Dex!$A$2:$C289,3,false),"")</f>
        <v/>
      </c>
      <c r="F102" s="21" t="str">
        <f t="array" ref="F102">iferror(VLOOKUP(INDIRECT(ADDRESS(ROW()+1,COLUMN(), 4)),Dex!$A$2:$C289,3,false),"")</f>
        <v/>
      </c>
      <c r="G102" s="21" t="str">
        <f t="array" ref="G102">iferror(VLOOKUP(INDIRECT(ADDRESS(ROW()+1,COLUMN(), 4)),Dex!$A$2:$C289,3,false),"")</f>
        <v/>
      </c>
      <c r="H102" s="22" t="str">
        <f t="array" ref="H102">iferror(VLOOKUP("TRAINER_PIC_MAY",Sprites!$A$1:$B289,2,false),"")</f>
        <v/>
      </c>
      <c r="I102" s="23"/>
    </row>
    <row r="103">
      <c r="A103" s="24"/>
      <c r="B103" s="25" t="s">
        <v>1122</v>
      </c>
      <c r="C103" s="25" t="s">
        <v>350</v>
      </c>
      <c r="D103" s="25" t="s">
        <v>958</v>
      </c>
      <c r="E103" s="25" t="s">
        <v>314</v>
      </c>
      <c r="F103" s="25" t="s">
        <v>875</v>
      </c>
      <c r="G103" s="25" t="s">
        <v>375</v>
      </c>
      <c r="H103" s="26"/>
    </row>
    <row r="104">
      <c r="A104" s="16" t="s">
        <v>1178</v>
      </c>
      <c r="B104" s="27" t="s">
        <v>1894</v>
      </c>
      <c r="C104" s="27" t="s">
        <v>1910</v>
      </c>
      <c r="D104" s="27" t="s">
        <v>1893</v>
      </c>
      <c r="E104" s="27" t="s">
        <v>1893</v>
      </c>
      <c r="F104" s="27" t="s">
        <v>1893</v>
      </c>
      <c r="G104" s="27" t="s">
        <v>1893</v>
      </c>
      <c r="H104" s="26"/>
    </row>
    <row r="105">
      <c r="A105" s="16" t="s">
        <v>1181</v>
      </c>
      <c r="B105" s="28" t="s">
        <v>1898</v>
      </c>
      <c r="C105" s="28" t="s">
        <v>1333</v>
      </c>
      <c r="D105" s="28" t="s">
        <v>1838</v>
      </c>
      <c r="E105" s="28" t="s">
        <v>1901</v>
      </c>
      <c r="F105" s="28" t="s">
        <v>1911</v>
      </c>
      <c r="G105" s="28" t="s">
        <v>1247</v>
      </c>
      <c r="H105" s="26"/>
    </row>
    <row r="106">
      <c r="A106" s="16" t="s">
        <v>1182</v>
      </c>
      <c r="B106" s="21" t="s">
        <v>1912</v>
      </c>
      <c r="C106" s="21" t="s">
        <v>1648</v>
      </c>
      <c r="D106" s="21" t="s">
        <v>1917</v>
      </c>
      <c r="E106" s="21" t="s">
        <v>1211</v>
      </c>
      <c r="F106" s="21" t="s">
        <v>1222</v>
      </c>
      <c r="G106" s="21" t="s">
        <v>1844</v>
      </c>
      <c r="H106" s="26"/>
    </row>
    <row r="107">
      <c r="A107" s="16" t="s">
        <v>1186</v>
      </c>
      <c r="B107" s="28" t="s">
        <v>1284</v>
      </c>
      <c r="C107" s="28" t="s">
        <v>1406</v>
      </c>
      <c r="D107" s="28" t="s">
        <v>1235</v>
      </c>
      <c r="E107" s="28" t="s">
        <v>1249</v>
      </c>
      <c r="F107" s="28" t="s">
        <v>1248</v>
      </c>
      <c r="G107" s="28" t="s">
        <v>1284</v>
      </c>
      <c r="H107" s="26"/>
    </row>
    <row r="108">
      <c r="A108" s="20" t="s">
        <v>1188</v>
      </c>
      <c r="B108" s="21" t="s">
        <v>1778</v>
      </c>
      <c r="C108" s="21" t="s">
        <v>1677</v>
      </c>
      <c r="D108" s="21" t="s">
        <v>1756</v>
      </c>
      <c r="E108" s="21" t="s">
        <v>1740</v>
      </c>
      <c r="F108" s="21" t="s">
        <v>1874</v>
      </c>
      <c r="G108" s="21" t="s">
        <v>1815</v>
      </c>
      <c r="H108" s="26"/>
    </row>
    <row r="109">
      <c r="A109" s="29"/>
      <c r="B109" s="21" t="s">
        <v>1913</v>
      </c>
      <c r="C109" s="21" t="s">
        <v>1760</v>
      </c>
      <c r="D109" s="21" t="s">
        <v>1307</v>
      </c>
      <c r="E109" s="21" t="s">
        <v>1890</v>
      </c>
      <c r="F109" s="21" t="s">
        <v>1238</v>
      </c>
      <c r="G109" s="21" t="s">
        <v>1839</v>
      </c>
      <c r="H109" s="26"/>
    </row>
    <row r="110">
      <c r="A110" s="29"/>
      <c r="B110" s="21" t="s">
        <v>1879</v>
      </c>
      <c r="C110" s="21" t="s">
        <v>1923</v>
      </c>
      <c r="D110" s="21" t="s">
        <v>1440</v>
      </c>
      <c r="E110" s="21" t="s">
        <v>1336</v>
      </c>
      <c r="F110" s="21" t="s">
        <v>1469</v>
      </c>
      <c r="G110" s="21" t="s">
        <v>1621</v>
      </c>
      <c r="H110" s="26"/>
    </row>
    <row r="111">
      <c r="A111" s="24"/>
      <c r="B111" s="21" t="s">
        <v>1880</v>
      </c>
      <c r="C111" s="21" t="s">
        <v>1761</v>
      </c>
      <c r="D111" s="21" t="s">
        <v>1759</v>
      </c>
      <c r="E111" s="21" t="s">
        <v>1914</v>
      </c>
      <c r="F111" s="21" t="s">
        <v>1641</v>
      </c>
      <c r="G111" s="21" t="s">
        <v>1924</v>
      </c>
      <c r="H111" s="30"/>
      <c r="I111" s="14"/>
    </row>
    <row r="112">
      <c r="A112" s="16" t="s">
        <v>1174</v>
      </c>
      <c r="B112" s="17" t="s">
        <v>1925</v>
      </c>
      <c r="C112" s="18"/>
      <c r="D112" s="18"/>
      <c r="E112" s="18"/>
      <c r="F112" s="18"/>
      <c r="G112" s="18"/>
      <c r="H112" s="18"/>
      <c r="I112" s="16"/>
    </row>
    <row r="113" ht="60.0" customHeight="1">
      <c r="A113" s="20" t="s">
        <v>1176</v>
      </c>
      <c r="B113" s="21" t="str">
        <f t="array" ref="B113">iferror(VLOOKUP(INDIRECT(ADDRESS(ROW()+1,COLUMN(), 4)),Dex!$A$2:$C289,3,false),"")</f>
        <v/>
      </c>
      <c r="C113" s="21" t="str">
        <f t="array" ref="C113">iferror(VLOOKUP(INDIRECT(ADDRESS(ROW()+1,COLUMN(), 4)),Dex!$A$2:$C289,3,false),"")</f>
        <v/>
      </c>
      <c r="D113" s="21" t="s">
        <v>1177</v>
      </c>
      <c r="E113" s="21" t="str">
        <f t="array" ref="E113">iferror(VLOOKUP(INDIRECT(ADDRESS(ROW()+1,COLUMN(), 4)),Dex!$A$2:$C289,3,false),"")</f>
        <v/>
      </c>
      <c r="F113" s="21" t="str">
        <f t="array" ref="F113">iferror(VLOOKUP(INDIRECT(ADDRESS(ROW()+1,COLUMN(), 4)),Dex!$A$2:$C289,3,false),"")</f>
        <v/>
      </c>
      <c r="G113" s="21" t="s">
        <v>1177</v>
      </c>
      <c r="H113" s="22" t="str">
        <f t="array" ref="H113">iferror(VLOOKUP("TRAINER_PIC_POKEFAN_M",Sprites!$A$1:$B289,2,false),"")</f>
        <v/>
      </c>
      <c r="I113" s="23"/>
    </row>
    <row r="114">
      <c r="A114" s="24"/>
      <c r="B114" s="25" t="s">
        <v>938</v>
      </c>
      <c r="C114" s="25" t="s">
        <v>105</v>
      </c>
      <c r="D114" s="25" t="s">
        <v>1177</v>
      </c>
      <c r="E114" s="25" t="s">
        <v>170</v>
      </c>
      <c r="F114" s="25" t="s">
        <v>38</v>
      </c>
      <c r="G114" s="25" t="s">
        <v>1177</v>
      </c>
      <c r="H114" s="26"/>
    </row>
    <row r="115">
      <c r="A115" s="16" t="s">
        <v>1178</v>
      </c>
      <c r="B115" s="27" t="s">
        <v>1894</v>
      </c>
      <c r="C115" s="27" t="s">
        <v>1894</v>
      </c>
      <c r="D115" s="21" t="s">
        <v>1177</v>
      </c>
      <c r="E115" s="27" t="s">
        <v>1894</v>
      </c>
      <c r="F115" s="27" t="s">
        <v>1910</v>
      </c>
      <c r="G115" s="21" t="s">
        <v>1177</v>
      </c>
      <c r="H115" s="26"/>
    </row>
    <row r="116">
      <c r="A116" s="16" t="s">
        <v>1181</v>
      </c>
      <c r="B116" s="28" t="s">
        <v>1247</v>
      </c>
      <c r="C116" s="28" t="s">
        <v>1265</v>
      </c>
      <c r="D116" s="28" t="s">
        <v>1177</v>
      </c>
      <c r="E116" s="28" t="s">
        <v>1366</v>
      </c>
      <c r="F116" s="28" t="s">
        <v>1209</v>
      </c>
      <c r="G116" s="28" t="s">
        <v>1177</v>
      </c>
      <c r="H116" s="26"/>
    </row>
    <row r="117">
      <c r="A117" s="16" t="s">
        <v>1182</v>
      </c>
      <c r="B117" s="21" t="s">
        <v>1926</v>
      </c>
      <c r="C117" s="21" t="s">
        <v>1299</v>
      </c>
      <c r="D117" s="21" t="s">
        <v>1177</v>
      </c>
      <c r="E117" s="21" t="s">
        <v>1356</v>
      </c>
      <c r="F117" s="21" t="s">
        <v>1573</v>
      </c>
      <c r="G117" s="21" t="s">
        <v>1177</v>
      </c>
      <c r="H117" s="26"/>
    </row>
    <row r="118">
      <c r="A118" s="16" t="s">
        <v>1186</v>
      </c>
      <c r="B118" s="28" t="s">
        <v>1235</v>
      </c>
      <c r="C118" s="28" t="s">
        <v>1300</v>
      </c>
      <c r="D118" s="28" t="s">
        <v>1177</v>
      </c>
      <c r="E118" s="28" t="s">
        <v>1235</v>
      </c>
      <c r="F118" s="28" t="s">
        <v>1235</v>
      </c>
      <c r="G118" s="28" t="s">
        <v>1177</v>
      </c>
      <c r="H118" s="26"/>
    </row>
    <row r="119">
      <c r="A119" s="20" t="s">
        <v>1188</v>
      </c>
      <c r="B119" s="21" t="s">
        <v>1438</v>
      </c>
      <c r="C119" s="21" t="s">
        <v>1270</v>
      </c>
      <c r="D119" s="21" t="s">
        <v>1177</v>
      </c>
      <c r="E119" s="21" t="s">
        <v>1738</v>
      </c>
      <c r="F119" s="21" t="s">
        <v>1738</v>
      </c>
      <c r="G119" s="21" t="s">
        <v>1177</v>
      </c>
      <c r="H119" s="26"/>
    </row>
    <row r="120">
      <c r="A120" s="29"/>
      <c r="B120" s="21" t="s">
        <v>1927</v>
      </c>
      <c r="C120" s="21" t="s">
        <v>1816</v>
      </c>
      <c r="D120" s="21" t="s">
        <v>1177</v>
      </c>
      <c r="E120" s="21" t="s">
        <v>1225</v>
      </c>
      <c r="F120" s="21" t="s">
        <v>1671</v>
      </c>
      <c r="G120" s="21" t="s">
        <v>1177</v>
      </c>
      <c r="H120" s="26"/>
    </row>
    <row r="121">
      <c r="A121" s="29"/>
      <c r="B121" s="21" t="s">
        <v>1411</v>
      </c>
      <c r="C121" s="21" t="s">
        <v>1749</v>
      </c>
      <c r="D121" s="21" t="s">
        <v>1177</v>
      </c>
      <c r="E121" s="21" t="s">
        <v>1928</v>
      </c>
      <c r="F121" s="21" t="s">
        <v>1772</v>
      </c>
      <c r="G121" s="21" t="s">
        <v>1177</v>
      </c>
      <c r="H121" s="26"/>
    </row>
    <row r="122">
      <c r="A122" s="24"/>
      <c r="B122" s="21" t="s">
        <v>1353</v>
      </c>
      <c r="C122" s="21" t="s">
        <v>1622</v>
      </c>
      <c r="D122" s="21" t="s">
        <v>1177</v>
      </c>
      <c r="E122" s="21" t="s">
        <v>1471</v>
      </c>
      <c r="F122" s="21" t="s">
        <v>1929</v>
      </c>
      <c r="G122" s="21" t="s">
        <v>1177</v>
      </c>
      <c r="H122" s="30"/>
      <c r="I122" s="14"/>
    </row>
    <row r="123">
      <c r="A123" s="16" t="s">
        <v>1174</v>
      </c>
      <c r="B123" s="17" t="s">
        <v>1930</v>
      </c>
      <c r="C123" s="18"/>
      <c r="D123" s="18"/>
      <c r="E123" s="18"/>
      <c r="F123" s="18"/>
      <c r="G123" s="18"/>
      <c r="H123" s="18"/>
      <c r="I123" s="16"/>
    </row>
    <row r="124" ht="60.0" customHeight="1">
      <c r="A124" s="20" t="s">
        <v>1176</v>
      </c>
      <c r="B124" s="21" t="str">
        <f t="array" ref="B124">iferror(VLOOKUP(INDIRECT(ADDRESS(ROW()+1,COLUMN(), 4)),Dex!$A$2:$C289,3,false),"")</f>
        <v/>
      </c>
      <c r="C124" s="21" t="str">
        <f t="array" ref="C124">iferror(VLOOKUP(INDIRECT(ADDRESS(ROW()+1,COLUMN(), 4)),Dex!$A$2:$C289,3,false),"")</f>
        <v/>
      </c>
      <c r="D124" s="21" t="str">
        <f t="array" ref="D124">iferror(VLOOKUP(INDIRECT(ADDRESS(ROW()+1,COLUMN(), 4)),Dex!$A$2:$C289,3,false),"")</f>
        <v/>
      </c>
      <c r="E124" s="21" t="str">
        <f t="array" ref="E124">iferror(VLOOKUP(INDIRECT(ADDRESS(ROW()+1,COLUMN(), 4)),Dex!$A$2:$C289,3,false),"")</f>
        <v/>
      </c>
      <c r="F124" s="21" t="s">
        <v>1177</v>
      </c>
      <c r="G124" s="21" t="s">
        <v>1177</v>
      </c>
      <c r="H124" s="22" t="str">
        <f t="array" ref="H124">iferror(VLOOKUP("TRAINER_PIC_GUITARIST",Sprites!$A$1:$B289,2,false),"")</f>
        <v/>
      </c>
      <c r="I124" s="23"/>
    </row>
    <row r="125">
      <c r="A125" s="24"/>
      <c r="B125" s="25" t="s">
        <v>389</v>
      </c>
      <c r="C125" s="25" t="s">
        <v>560</v>
      </c>
      <c r="D125" s="25" t="s">
        <v>869</v>
      </c>
      <c r="E125" s="25" t="s">
        <v>210</v>
      </c>
      <c r="F125" s="25" t="s">
        <v>1177</v>
      </c>
      <c r="G125" s="25" t="s">
        <v>1177</v>
      </c>
      <c r="H125" s="26"/>
    </row>
    <row r="126">
      <c r="A126" s="16" t="s">
        <v>1178</v>
      </c>
      <c r="B126" s="27" t="s">
        <v>1894</v>
      </c>
      <c r="C126" s="27" t="s">
        <v>1893</v>
      </c>
      <c r="D126" s="27" t="s">
        <v>1894</v>
      </c>
      <c r="E126" s="27" t="s">
        <v>1893</v>
      </c>
      <c r="F126" s="21" t="s">
        <v>1177</v>
      </c>
      <c r="G126" s="21" t="s">
        <v>1177</v>
      </c>
      <c r="H126" s="26"/>
    </row>
    <row r="127">
      <c r="A127" s="16" t="s">
        <v>1181</v>
      </c>
      <c r="B127" s="28" t="s">
        <v>1688</v>
      </c>
      <c r="C127" s="28" t="s">
        <v>1209</v>
      </c>
      <c r="D127" s="28" t="s">
        <v>1209</v>
      </c>
      <c r="E127" s="28" t="s">
        <v>1295</v>
      </c>
      <c r="F127" s="28" t="s">
        <v>1177</v>
      </c>
      <c r="G127" s="28" t="s">
        <v>1177</v>
      </c>
      <c r="H127" s="26"/>
    </row>
    <row r="128">
      <c r="A128" s="16" t="s">
        <v>1182</v>
      </c>
      <c r="B128" s="21" t="s">
        <v>1907</v>
      </c>
      <c r="C128" s="21" t="s">
        <v>1185</v>
      </c>
      <c r="D128" s="21" t="s">
        <v>1931</v>
      </c>
      <c r="E128" s="21" t="s">
        <v>1932</v>
      </c>
      <c r="F128" s="21" t="s">
        <v>1177</v>
      </c>
      <c r="G128" s="21" t="s">
        <v>1177</v>
      </c>
      <c r="H128" s="26"/>
    </row>
    <row r="129">
      <c r="A129" s="16" t="s">
        <v>1186</v>
      </c>
      <c r="B129" s="28" t="s">
        <v>1256</v>
      </c>
      <c r="C129" s="28" t="s">
        <v>1284</v>
      </c>
      <c r="D129" s="28" t="s">
        <v>1284</v>
      </c>
      <c r="E129" s="28" t="s">
        <v>1446</v>
      </c>
      <c r="F129" s="28" t="s">
        <v>1177</v>
      </c>
      <c r="G129" s="28" t="s">
        <v>1177</v>
      </c>
      <c r="H129" s="26"/>
    </row>
    <row r="130">
      <c r="A130" s="20" t="s">
        <v>1188</v>
      </c>
      <c r="B130" s="21" t="s">
        <v>1933</v>
      </c>
      <c r="C130" s="21" t="s">
        <v>1933</v>
      </c>
      <c r="D130" s="21" t="s">
        <v>1724</v>
      </c>
      <c r="E130" s="21" t="s">
        <v>1407</v>
      </c>
      <c r="F130" s="21" t="s">
        <v>1177</v>
      </c>
      <c r="G130" s="21" t="s">
        <v>1177</v>
      </c>
      <c r="H130" s="26"/>
    </row>
    <row r="131">
      <c r="A131" s="29"/>
      <c r="B131" s="21" t="s">
        <v>1177</v>
      </c>
      <c r="C131" s="21" t="s">
        <v>1934</v>
      </c>
      <c r="D131" s="21" t="s">
        <v>1778</v>
      </c>
      <c r="E131" s="21" t="s">
        <v>1677</v>
      </c>
      <c r="F131" s="21" t="s">
        <v>1177</v>
      </c>
      <c r="G131" s="21" t="s">
        <v>1177</v>
      </c>
      <c r="H131" s="26"/>
    </row>
    <row r="132">
      <c r="A132" s="29"/>
      <c r="B132" s="21" t="s">
        <v>1177</v>
      </c>
      <c r="C132" s="21" t="s">
        <v>1629</v>
      </c>
      <c r="D132" s="21" t="s">
        <v>1587</v>
      </c>
      <c r="E132" s="21" t="s">
        <v>1473</v>
      </c>
      <c r="F132" s="21" t="s">
        <v>1177</v>
      </c>
      <c r="G132" s="21" t="s">
        <v>1177</v>
      </c>
      <c r="H132" s="26"/>
    </row>
    <row r="133">
      <c r="A133" s="24"/>
      <c r="B133" s="21" t="s">
        <v>1177</v>
      </c>
      <c r="C133" s="21" t="s">
        <v>1780</v>
      </c>
      <c r="D133" s="21" t="s">
        <v>1652</v>
      </c>
      <c r="E133" s="21" t="s">
        <v>1875</v>
      </c>
      <c r="F133" s="21" t="s">
        <v>1177</v>
      </c>
      <c r="G133" s="21" t="s">
        <v>1177</v>
      </c>
      <c r="H133" s="30"/>
      <c r="I133" s="14"/>
    </row>
    <row r="134">
      <c r="A134" s="16" t="s">
        <v>1174</v>
      </c>
      <c r="B134" s="17" t="s">
        <v>1935</v>
      </c>
      <c r="C134" s="18"/>
      <c r="D134" s="18"/>
      <c r="E134" s="18"/>
      <c r="F134" s="18"/>
      <c r="G134" s="18"/>
      <c r="H134" s="18"/>
      <c r="I134" s="16"/>
    </row>
    <row r="135" ht="60.0" customHeight="1">
      <c r="A135" s="20" t="s">
        <v>1176</v>
      </c>
      <c r="B135" s="21" t="str">
        <f t="array" ref="B135">iferror(VLOOKUP(INDIRECT(ADDRESS(ROW()+1,COLUMN(), 4)),Dex!$A$2:$C289,3,false),"")</f>
        <v/>
      </c>
      <c r="C135" s="21" t="str">
        <f t="array" ref="C135">iferror(VLOOKUP(INDIRECT(ADDRESS(ROW()+1,COLUMN(), 4)),Dex!$A$2:$C289,3,false),"")</f>
        <v/>
      </c>
      <c r="D135" s="21" t="str">
        <f t="array" ref="D135">iferror(VLOOKUP(INDIRECT(ADDRESS(ROW()+1,COLUMN(), 4)),Dex!$A$2:$C289,3,false),"")</f>
        <v/>
      </c>
      <c r="E135" s="21" t="s">
        <v>1177</v>
      </c>
      <c r="F135" s="21" t="s">
        <v>1177</v>
      </c>
      <c r="G135" s="21" t="s">
        <v>1177</v>
      </c>
      <c r="H135" s="22" t="str">
        <f t="array" ref="H135">iferror(VLOOKUP("TRAINER_PIC_COLLECTOR",Sprites!$A$1:$B289,2,false),"")</f>
        <v/>
      </c>
      <c r="I135" s="23"/>
    </row>
    <row r="136">
      <c r="A136" s="24"/>
      <c r="B136" s="25" t="s">
        <v>232</v>
      </c>
      <c r="C136" s="25" t="s">
        <v>236</v>
      </c>
      <c r="D136" s="25" t="s">
        <v>229</v>
      </c>
      <c r="E136" s="25" t="s">
        <v>1177</v>
      </c>
      <c r="F136" s="25" t="s">
        <v>1177</v>
      </c>
      <c r="G136" s="25" t="s">
        <v>1177</v>
      </c>
      <c r="H136" s="26"/>
    </row>
    <row r="137">
      <c r="A137" s="16" t="s">
        <v>1178</v>
      </c>
      <c r="B137" s="27" t="s">
        <v>1910</v>
      </c>
      <c r="C137" s="27" t="s">
        <v>1910</v>
      </c>
      <c r="D137" s="27" t="s">
        <v>1936</v>
      </c>
      <c r="E137" s="21" t="s">
        <v>1177</v>
      </c>
      <c r="F137" s="21" t="s">
        <v>1177</v>
      </c>
      <c r="G137" s="21" t="s">
        <v>1177</v>
      </c>
      <c r="H137" s="26"/>
    </row>
    <row r="138">
      <c r="A138" s="16" t="s">
        <v>1181</v>
      </c>
      <c r="B138" s="28" t="s">
        <v>1316</v>
      </c>
      <c r="C138" s="28" t="s">
        <v>1281</v>
      </c>
      <c r="D138" s="28" t="s">
        <v>1937</v>
      </c>
      <c r="E138" s="28" t="s">
        <v>1177</v>
      </c>
      <c r="F138" s="28" t="s">
        <v>1177</v>
      </c>
      <c r="G138" s="28" t="s">
        <v>1177</v>
      </c>
      <c r="H138" s="26"/>
    </row>
    <row r="139">
      <c r="A139" s="16" t="s">
        <v>1182</v>
      </c>
      <c r="B139" s="21" t="s">
        <v>1444</v>
      </c>
      <c r="C139" s="21" t="s">
        <v>1938</v>
      </c>
      <c r="D139" s="21" t="s">
        <v>1748</v>
      </c>
      <c r="E139" s="21" t="s">
        <v>1177</v>
      </c>
      <c r="F139" s="21" t="s">
        <v>1177</v>
      </c>
      <c r="G139" s="21" t="s">
        <v>1177</v>
      </c>
      <c r="H139" s="26"/>
    </row>
    <row r="140">
      <c r="A140" s="16" t="s">
        <v>1186</v>
      </c>
      <c r="B140" s="28" t="s">
        <v>1249</v>
      </c>
      <c r="C140" s="28" t="s">
        <v>1235</v>
      </c>
      <c r="D140" s="28" t="s">
        <v>1235</v>
      </c>
      <c r="E140" s="28" t="s">
        <v>1177</v>
      </c>
      <c r="F140" s="28" t="s">
        <v>1177</v>
      </c>
      <c r="G140" s="28" t="s">
        <v>1177</v>
      </c>
      <c r="H140" s="26"/>
    </row>
    <row r="141">
      <c r="A141" s="20" t="s">
        <v>1188</v>
      </c>
      <c r="B141" s="21" t="s">
        <v>1939</v>
      </c>
      <c r="C141" s="21" t="s">
        <v>1760</v>
      </c>
      <c r="D141" s="21" t="s">
        <v>1630</v>
      </c>
      <c r="E141" s="21" t="s">
        <v>1177</v>
      </c>
      <c r="F141" s="21" t="s">
        <v>1177</v>
      </c>
      <c r="G141" s="21" t="s">
        <v>1177</v>
      </c>
      <c r="H141" s="26"/>
    </row>
    <row r="142">
      <c r="A142" s="29"/>
      <c r="B142" s="21" t="s">
        <v>1740</v>
      </c>
      <c r="C142" s="21" t="s">
        <v>1594</v>
      </c>
      <c r="D142" s="21" t="s">
        <v>1677</v>
      </c>
      <c r="E142" s="21" t="s">
        <v>1177</v>
      </c>
      <c r="F142" s="21" t="s">
        <v>1177</v>
      </c>
      <c r="G142" s="21" t="s">
        <v>1177</v>
      </c>
      <c r="H142" s="26"/>
    </row>
    <row r="143">
      <c r="A143" s="29"/>
      <c r="B143" s="21" t="s">
        <v>1878</v>
      </c>
      <c r="C143" s="21" t="s">
        <v>1940</v>
      </c>
      <c r="D143" s="21" t="s">
        <v>1407</v>
      </c>
      <c r="E143" s="21" t="s">
        <v>1177</v>
      </c>
      <c r="F143" s="21" t="s">
        <v>1177</v>
      </c>
      <c r="G143" s="21" t="s">
        <v>1177</v>
      </c>
      <c r="H143" s="26"/>
    </row>
    <row r="144">
      <c r="A144" s="24"/>
      <c r="B144" s="21" t="s">
        <v>1704</v>
      </c>
      <c r="C144" s="21" t="s">
        <v>1641</v>
      </c>
      <c r="D144" s="21" t="s">
        <v>1641</v>
      </c>
      <c r="E144" s="21" t="s">
        <v>1177</v>
      </c>
      <c r="F144" s="21" t="s">
        <v>1177</v>
      </c>
      <c r="G144" s="21" t="s">
        <v>1177</v>
      </c>
      <c r="H144" s="30"/>
      <c r="I144" s="14"/>
    </row>
    <row r="145">
      <c r="A145" s="37"/>
      <c r="B145" s="38" t="s">
        <v>1941</v>
      </c>
      <c r="C145" s="14"/>
      <c r="D145" s="14"/>
      <c r="E145" s="14"/>
      <c r="F145" s="14"/>
      <c r="G145" s="14"/>
      <c r="H145" s="24"/>
      <c r="I145" s="33"/>
    </row>
    <row r="146">
      <c r="A146" s="16" t="s">
        <v>1174</v>
      </c>
      <c r="B146" s="17" t="s">
        <v>1942</v>
      </c>
      <c r="C146" s="18"/>
      <c r="D146" s="18"/>
      <c r="E146" s="18"/>
      <c r="F146" s="18"/>
      <c r="G146" s="18"/>
      <c r="H146" s="18"/>
      <c r="I146" s="16"/>
    </row>
    <row r="147" ht="60.0" customHeight="1">
      <c r="A147" s="20" t="s">
        <v>1176</v>
      </c>
      <c r="B147" s="21" t="str">
        <f t="array" ref="B147">iferror(VLOOKUP(INDIRECT(ADDRESS(ROW()+1,COLUMN(), 4)),Dex!$A$2:$C289,3,false),"")</f>
        <v/>
      </c>
      <c r="C147" s="21" t="str">
        <f t="array" ref="C147">iferror(VLOOKUP(INDIRECT(ADDRESS(ROW()+1,COLUMN(), 4)),Dex!$A$2:$C289,3,false),"")</f>
        <v/>
      </c>
      <c r="D147" s="21" t="str">
        <f t="array" ref="D147">iferror(VLOOKUP(INDIRECT(ADDRESS(ROW()+1,COLUMN(), 4)),Dex!$A$2:$C289,3,false),"")</f>
        <v/>
      </c>
      <c r="E147" s="21"/>
      <c r="F147" s="21" t="str">
        <f t="array" ref="F147">iferror(VLOOKUP(INDIRECT(ADDRESS(ROW()+1,COLUMN(), 4)),Dex!$A$2:$C289,3,false),"")</f>
        <v/>
      </c>
      <c r="G147" s="21" t="str">
        <f t="array" ref="G147">iferror(VLOOKUP(INDIRECT(ADDRESS(ROW()+1,COLUMN(), 4)),Dex!$A$2:$C289,3,false),"")</f>
        <v/>
      </c>
      <c r="H147" s="22" t="str">
        <f t="array" ref="H147">iferror(VLOOKUP("TRAINER_PIC_GUITARIST",Sprites!$A$1:$B289,2,false),"")</f>
        <v/>
      </c>
      <c r="I147" s="23"/>
    </row>
    <row r="148">
      <c r="A148" s="24"/>
      <c r="B148" s="25" t="s">
        <v>927</v>
      </c>
      <c r="C148" s="25" t="s">
        <v>296</v>
      </c>
      <c r="D148" s="25" t="s">
        <v>94</v>
      </c>
      <c r="E148" s="25"/>
      <c r="F148" s="25" t="s">
        <v>245</v>
      </c>
      <c r="G148" s="25" t="s">
        <v>895</v>
      </c>
      <c r="H148" s="26"/>
    </row>
    <row r="149">
      <c r="A149" s="16" t="s">
        <v>1178</v>
      </c>
      <c r="B149" s="27" t="s">
        <v>1910</v>
      </c>
      <c r="C149" s="27" t="s">
        <v>1910</v>
      </c>
      <c r="D149" s="27" t="s">
        <v>1910</v>
      </c>
      <c r="E149" s="21"/>
      <c r="F149" s="27" t="s">
        <v>1910</v>
      </c>
      <c r="G149" s="27" t="s">
        <v>1894</v>
      </c>
      <c r="H149" s="26"/>
    </row>
    <row r="150">
      <c r="A150" s="16" t="s">
        <v>1181</v>
      </c>
      <c r="B150" s="28" t="s">
        <v>1209</v>
      </c>
      <c r="C150" s="28" t="s">
        <v>1417</v>
      </c>
      <c r="D150" s="28" t="s">
        <v>1366</v>
      </c>
      <c r="E150" s="28"/>
      <c r="F150" s="28" t="s">
        <v>1209</v>
      </c>
      <c r="G150" s="28" t="s">
        <v>1209</v>
      </c>
      <c r="H150" s="26"/>
    </row>
    <row r="151">
      <c r="A151" s="16" t="s">
        <v>1182</v>
      </c>
      <c r="B151" s="21" t="s">
        <v>1654</v>
      </c>
      <c r="C151" s="21" t="s">
        <v>1419</v>
      </c>
      <c r="D151" s="21" t="s">
        <v>1462</v>
      </c>
      <c r="E151" s="21"/>
      <c r="F151" s="21" t="s">
        <v>1356</v>
      </c>
      <c r="G151" s="21" t="s">
        <v>1884</v>
      </c>
      <c r="H151" s="26"/>
    </row>
    <row r="152">
      <c r="A152" s="16" t="s">
        <v>1186</v>
      </c>
      <c r="B152" s="28" t="s">
        <v>1235</v>
      </c>
      <c r="C152" s="28" t="s">
        <v>1235</v>
      </c>
      <c r="D152" s="28" t="s">
        <v>1235</v>
      </c>
      <c r="E152" s="28"/>
      <c r="F152" s="28" t="s">
        <v>1235</v>
      </c>
      <c r="G152" s="28" t="s">
        <v>1284</v>
      </c>
      <c r="H152" s="26"/>
    </row>
    <row r="153">
      <c r="A153" s="20" t="s">
        <v>1188</v>
      </c>
      <c r="B153" s="21" t="s">
        <v>1874</v>
      </c>
      <c r="C153" s="21" t="s">
        <v>1575</v>
      </c>
      <c r="D153" s="21" t="s">
        <v>1760</v>
      </c>
      <c r="E153" s="21"/>
      <c r="F153" s="21" t="s">
        <v>1415</v>
      </c>
      <c r="G153" s="21" t="s">
        <v>1828</v>
      </c>
      <c r="H153" s="26"/>
    </row>
    <row r="154">
      <c r="A154" s="29"/>
      <c r="B154" s="21" t="s">
        <v>1323</v>
      </c>
      <c r="C154" s="21" t="s">
        <v>1321</v>
      </c>
      <c r="D154" s="21" t="s">
        <v>1423</v>
      </c>
      <c r="E154" s="21"/>
      <c r="F154" s="21" t="s">
        <v>1376</v>
      </c>
      <c r="G154" s="21" t="s">
        <v>1619</v>
      </c>
      <c r="H154" s="26"/>
    </row>
    <row r="155">
      <c r="A155" s="29"/>
      <c r="B155" s="21" t="s">
        <v>1943</v>
      </c>
      <c r="C155" s="21" t="s">
        <v>1432</v>
      </c>
      <c r="D155" s="21" t="s">
        <v>1323</v>
      </c>
      <c r="E155" s="21"/>
      <c r="F155" s="21" t="s">
        <v>1311</v>
      </c>
      <c r="G155" s="21" t="s">
        <v>1740</v>
      </c>
      <c r="H155" s="26"/>
    </row>
    <row r="156">
      <c r="A156" s="24"/>
      <c r="B156" s="21" t="s">
        <v>1389</v>
      </c>
      <c r="C156" s="21" t="s">
        <v>1389</v>
      </c>
      <c r="D156" s="21" t="s">
        <v>1306</v>
      </c>
      <c r="E156" s="21"/>
      <c r="F156" s="21" t="s">
        <v>1944</v>
      </c>
      <c r="G156" s="21" t="s">
        <v>1944</v>
      </c>
      <c r="H156" s="30"/>
      <c r="I156" s="14"/>
    </row>
    <row r="157">
      <c r="A157" s="16" t="s">
        <v>1174</v>
      </c>
      <c r="B157" s="17" t="s">
        <v>1945</v>
      </c>
      <c r="C157" s="18"/>
      <c r="D157" s="18"/>
      <c r="E157" s="18"/>
      <c r="F157" s="18"/>
      <c r="G157" s="18"/>
      <c r="H157" s="18"/>
      <c r="I157" s="16"/>
    </row>
    <row r="158" ht="60.0" customHeight="1">
      <c r="A158" s="20" t="s">
        <v>1176</v>
      </c>
      <c r="B158" s="21" t="str">
        <f t="array" ref="B158">iferror(VLOOKUP(INDIRECT(ADDRESS(ROW()+1,COLUMN(), 4)),Dex!$A$2:$C289,3,false),"")</f>
        <v/>
      </c>
      <c r="C158" s="21" t="str">
        <f t="array" ref="C158">iferror(VLOOKUP(INDIRECT(ADDRESS(ROW()+1,COLUMN(), 4)),Dex!$A$2:$C289,3,false),"")</f>
        <v/>
      </c>
      <c r="D158" s="21" t="str">
        <f t="array" ref="D158">iferror(VLOOKUP(INDIRECT(ADDRESS(ROW()+1,COLUMN(), 4)),Dex!$A$2:$C289,3,false),"")</f>
        <v/>
      </c>
      <c r="E158" s="21" t="s">
        <v>1177</v>
      </c>
      <c r="F158" s="21" t="s">
        <v>1177</v>
      </c>
      <c r="G158" s="21" t="s">
        <v>1177</v>
      </c>
      <c r="H158" s="22" t="str">
        <f t="array" ref="H158">iferror(VLOOKUP("TRAINER_PIC_POKEFAN_M",Sprites!$A$1:$B289,2,false),"")</f>
        <v/>
      </c>
      <c r="I158" s="23"/>
    </row>
    <row r="159">
      <c r="A159" s="24"/>
      <c r="B159" s="25" t="s">
        <v>876</v>
      </c>
      <c r="C159" s="25" t="s">
        <v>992</v>
      </c>
      <c r="D159" s="25" t="s">
        <v>993</v>
      </c>
      <c r="E159" s="25" t="s">
        <v>1177</v>
      </c>
      <c r="F159" s="25" t="s">
        <v>1177</v>
      </c>
      <c r="G159" s="25" t="s">
        <v>1177</v>
      </c>
      <c r="H159" s="26"/>
    </row>
    <row r="160">
      <c r="A160" s="16" t="s">
        <v>1178</v>
      </c>
      <c r="B160" s="27" t="s">
        <v>1936</v>
      </c>
      <c r="C160" s="27" t="s">
        <v>1936</v>
      </c>
      <c r="D160" s="27" t="s">
        <v>1936</v>
      </c>
      <c r="E160" s="21" t="s">
        <v>1177</v>
      </c>
      <c r="F160" s="21" t="s">
        <v>1177</v>
      </c>
      <c r="G160" s="21" t="s">
        <v>1177</v>
      </c>
      <c r="H160" s="26"/>
    </row>
    <row r="161">
      <c r="A161" s="16" t="s">
        <v>1181</v>
      </c>
      <c r="B161" s="28" t="s">
        <v>1247</v>
      </c>
      <c r="C161" s="28" t="s">
        <v>1391</v>
      </c>
      <c r="D161" s="28" t="s">
        <v>1209</v>
      </c>
      <c r="E161" s="28" t="s">
        <v>1177</v>
      </c>
      <c r="F161" s="28" t="s">
        <v>1177</v>
      </c>
      <c r="G161" s="28" t="s">
        <v>1177</v>
      </c>
      <c r="H161" s="26"/>
    </row>
    <row r="162">
      <c r="A162" s="16" t="s">
        <v>1182</v>
      </c>
      <c r="B162" s="21" t="s">
        <v>1602</v>
      </c>
      <c r="C162" s="21" t="s">
        <v>1946</v>
      </c>
      <c r="D162" s="21" t="s">
        <v>1947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1186</v>
      </c>
      <c r="B163" s="28" t="s">
        <v>1284</v>
      </c>
      <c r="C163" s="28" t="s">
        <v>1235</v>
      </c>
      <c r="D163" s="28" t="s">
        <v>1235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20" t="s">
        <v>1188</v>
      </c>
      <c r="B164" s="21" t="s">
        <v>1724</v>
      </c>
      <c r="C164" s="21" t="s">
        <v>1948</v>
      </c>
      <c r="D164" s="21" t="s">
        <v>1372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29"/>
      <c r="B165" s="21" t="s">
        <v>1605</v>
      </c>
      <c r="C165" s="21" t="s">
        <v>1607</v>
      </c>
      <c r="D165" s="21" t="s">
        <v>1578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1376</v>
      </c>
      <c r="C166" s="21" t="s">
        <v>1609</v>
      </c>
      <c r="D166" s="21" t="s">
        <v>1423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4"/>
      <c r="B167" s="21" t="s">
        <v>1869</v>
      </c>
      <c r="C167" s="21" t="s">
        <v>1743</v>
      </c>
      <c r="D167" s="21" t="s">
        <v>1641</v>
      </c>
      <c r="E167" s="21" t="s">
        <v>1177</v>
      </c>
      <c r="F167" s="21" t="s">
        <v>1177</v>
      </c>
      <c r="G167" s="21" t="s">
        <v>1177</v>
      </c>
      <c r="H167" s="30"/>
      <c r="I167" s="14"/>
    </row>
    <row r="168">
      <c r="A168" s="16" t="s">
        <v>1174</v>
      </c>
      <c r="B168" s="17" t="s">
        <v>1949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4)),Dex!$A$2:$C289,3,false),"")</f>
        <v/>
      </c>
      <c r="C169" s="21" t="str">
        <f t="array" ref="C169">iferror(VLOOKUP(INDIRECT(ADDRESS(ROW()+1,COLUMN(), 4)),Dex!$A$2:$C289,3,false),"")</f>
        <v/>
      </c>
      <c r="D169" s="21" t="str">
        <f t="array" ref="D169">iferror(VLOOKUP(INDIRECT(ADDRESS(ROW()+1,COLUMN(), 4)),Dex!$A$2:$C289,3,false),"")</f>
        <v/>
      </c>
      <c r="E169" s="21" t="str">
        <f t="array" ref="E169">iferror(VLOOKUP(INDIRECT(ADDRESS(ROW()+1,COLUMN(), 4)),Dex!$A$2:$C289,3,false),"")</f>
        <v/>
      </c>
      <c r="F169" s="21" t="s">
        <v>1177</v>
      </c>
      <c r="G169" s="21" t="s">
        <v>1177</v>
      </c>
      <c r="H169" s="22" t="str">
        <f t="array" ref="H169">iferror(VLOOKUP("TRAINER_PIC_AROMA_LADY",Sprites!$A$1:$B289,2,false),"")</f>
        <v/>
      </c>
      <c r="I169" s="23"/>
    </row>
    <row r="170">
      <c r="A170" s="24"/>
      <c r="B170" s="25" t="s">
        <v>889</v>
      </c>
      <c r="C170" s="25" t="s">
        <v>949</v>
      </c>
      <c r="D170" s="25" t="s">
        <v>156</v>
      </c>
      <c r="E170" s="25" t="s">
        <v>843</v>
      </c>
      <c r="F170" s="25" t="s">
        <v>1177</v>
      </c>
      <c r="G170" s="25" t="s">
        <v>1177</v>
      </c>
      <c r="H170" s="26"/>
    </row>
    <row r="171">
      <c r="A171" s="16" t="s">
        <v>1178</v>
      </c>
      <c r="B171" s="27" t="s">
        <v>1936</v>
      </c>
      <c r="C171" s="27" t="s">
        <v>1936</v>
      </c>
      <c r="D171" s="27" t="s">
        <v>1910</v>
      </c>
      <c r="E171" s="27" t="s">
        <v>1936</v>
      </c>
      <c r="F171" s="21" t="s">
        <v>1177</v>
      </c>
      <c r="G171" s="21" t="s">
        <v>1177</v>
      </c>
      <c r="H171" s="26"/>
    </row>
    <row r="172">
      <c r="A172" s="16" t="s">
        <v>1181</v>
      </c>
      <c r="B172" s="28" t="s">
        <v>1209</v>
      </c>
      <c r="C172" s="28" t="s">
        <v>1838</v>
      </c>
      <c r="D172" s="28" t="s">
        <v>1366</v>
      </c>
      <c r="E172" s="28" t="s">
        <v>1295</v>
      </c>
      <c r="F172" s="28" t="s">
        <v>1177</v>
      </c>
      <c r="G172" s="28" t="s">
        <v>1177</v>
      </c>
      <c r="H172" s="26"/>
    </row>
    <row r="173">
      <c r="A173" s="16" t="s">
        <v>1182</v>
      </c>
      <c r="B173" s="21" t="s">
        <v>1381</v>
      </c>
      <c r="C173" s="21" t="s">
        <v>1950</v>
      </c>
      <c r="D173" s="21" t="s">
        <v>1268</v>
      </c>
      <c r="E173" s="21" t="s">
        <v>1951</v>
      </c>
      <c r="F173" s="21" t="s">
        <v>1177</v>
      </c>
      <c r="G173" s="21" t="s">
        <v>1177</v>
      </c>
      <c r="H173" s="26"/>
    </row>
    <row r="174">
      <c r="A174" s="16" t="s">
        <v>1186</v>
      </c>
      <c r="B174" s="28" t="s">
        <v>1754</v>
      </c>
      <c r="C174" s="28" t="s">
        <v>1234</v>
      </c>
      <c r="D174" s="28" t="s">
        <v>1754</v>
      </c>
      <c r="E174" s="28" t="s">
        <v>1234</v>
      </c>
      <c r="F174" s="28" t="s">
        <v>1177</v>
      </c>
      <c r="G174" s="28" t="s">
        <v>1177</v>
      </c>
      <c r="H174" s="26"/>
    </row>
    <row r="175">
      <c r="A175" s="20" t="s">
        <v>1188</v>
      </c>
      <c r="B175" s="21" t="s">
        <v>1630</v>
      </c>
      <c r="C175" s="21" t="s">
        <v>1823</v>
      </c>
      <c r="D175" s="21" t="s">
        <v>1646</v>
      </c>
      <c r="E175" s="21" t="s">
        <v>1605</v>
      </c>
      <c r="F175" s="21" t="s">
        <v>1177</v>
      </c>
      <c r="G175" s="21" t="s">
        <v>1177</v>
      </c>
      <c r="H175" s="26"/>
    </row>
    <row r="176">
      <c r="A176" s="29"/>
      <c r="B176" s="21" t="s">
        <v>1952</v>
      </c>
      <c r="C176" s="21" t="s">
        <v>1472</v>
      </c>
      <c r="D176" s="21" t="s">
        <v>1953</v>
      </c>
      <c r="E176" s="21" t="s">
        <v>1731</v>
      </c>
      <c r="F176" s="21" t="s">
        <v>1177</v>
      </c>
      <c r="G176" s="21" t="s">
        <v>1177</v>
      </c>
      <c r="H176" s="26"/>
    </row>
    <row r="177">
      <c r="A177" s="29"/>
      <c r="B177" s="21" t="s">
        <v>1830</v>
      </c>
      <c r="C177" s="21" t="s">
        <v>1816</v>
      </c>
      <c r="D177" s="21" t="s">
        <v>1622</v>
      </c>
      <c r="E177" s="21" t="s">
        <v>1285</v>
      </c>
      <c r="F177" s="21" t="s">
        <v>1177</v>
      </c>
      <c r="G177" s="21" t="s">
        <v>1177</v>
      </c>
      <c r="H177" s="26"/>
    </row>
    <row r="178">
      <c r="A178" s="24"/>
      <c r="B178" s="21" t="s">
        <v>1954</v>
      </c>
      <c r="C178" s="21" t="s">
        <v>1432</v>
      </c>
      <c r="D178" s="21" t="s">
        <v>1954</v>
      </c>
      <c r="E178" s="21" t="s">
        <v>1217</v>
      </c>
      <c r="F178" s="21" t="s">
        <v>1177</v>
      </c>
      <c r="G178" s="21" t="s">
        <v>1177</v>
      </c>
      <c r="H178" s="30"/>
      <c r="I178" s="14"/>
    </row>
    <row r="179">
      <c r="A179" s="16" t="s">
        <v>1174</v>
      </c>
      <c r="B179" s="17" t="s">
        <v>1955</v>
      </c>
      <c r="C179" s="18"/>
      <c r="D179" s="18"/>
      <c r="E179" s="18"/>
      <c r="F179" s="18"/>
      <c r="G179" s="18"/>
      <c r="H179" s="18"/>
      <c r="I179" s="16"/>
    </row>
    <row r="180" ht="60.0" customHeight="1">
      <c r="A180" s="20" t="s">
        <v>1176</v>
      </c>
      <c r="B180" s="21" t="str">
        <f t="array" ref="B180">iferror(VLOOKUP(INDIRECT(ADDRESS(ROW()+1,COLUMN(), 4)),Dex!$A$2:$C289,3,false),"")</f>
        <v/>
      </c>
      <c r="C180" s="21" t="str">
        <f t="array" ref="C180">iferror(VLOOKUP(INDIRECT(ADDRESS(ROW()+1,COLUMN(), 4)),Dex!$A$2:$C289,3,false),"")</f>
        <v/>
      </c>
      <c r="D180" s="21" t="str">
        <f t="array" ref="D180">iferror(VLOOKUP(INDIRECT(ADDRESS(ROW()+1,COLUMN(), 4)),Dex!$A$2:$C289,3,false),"")</f>
        <v/>
      </c>
      <c r="E180" s="21" t="str">
        <f t="array" ref="E180">iferror(VLOOKUP(INDIRECT(ADDRESS(ROW()+1,COLUMN(), 4)),Dex!$A$2:$C289,3,false),"")</f>
        <v/>
      </c>
      <c r="F180" s="21" t="str">
        <f t="array" ref="F180">iferror(VLOOKUP(INDIRECT(ADDRESS(ROW()+1,COLUMN(), 4)),Dex!$A$2:$C289,3,false),"")</f>
        <v/>
      </c>
      <c r="G180" s="21" t="s">
        <v>1177</v>
      </c>
      <c r="H180" s="22" t="str">
        <f t="array" ref="H180">iferror(VLOOKUP("TRAINER_PIC_TWINS",Sprites!$A$1:$B289,2,false),"")</f>
        <v/>
      </c>
      <c r="I180" s="23"/>
    </row>
    <row r="181">
      <c r="A181" s="24"/>
      <c r="B181" s="25" t="s">
        <v>141</v>
      </c>
      <c r="C181" s="25" t="s">
        <v>1054</v>
      </c>
      <c r="D181" s="25" t="s">
        <v>82</v>
      </c>
      <c r="E181" s="25" t="s">
        <v>183</v>
      </c>
      <c r="F181" s="25" t="s">
        <v>146</v>
      </c>
      <c r="G181" s="25" t="s">
        <v>1177</v>
      </c>
      <c r="H181" s="26"/>
    </row>
    <row r="182">
      <c r="A182" s="16" t="s">
        <v>1178</v>
      </c>
      <c r="B182" s="27" t="s">
        <v>1936</v>
      </c>
      <c r="C182" s="27" t="s">
        <v>1956</v>
      </c>
      <c r="D182" s="27" t="s">
        <v>1936</v>
      </c>
      <c r="E182" s="27" t="s">
        <v>1936</v>
      </c>
      <c r="F182" s="27" t="s">
        <v>1936</v>
      </c>
      <c r="G182" s="21" t="s">
        <v>1177</v>
      </c>
      <c r="H182" s="26"/>
    </row>
    <row r="183">
      <c r="A183" s="16" t="s">
        <v>1181</v>
      </c>
      <c r="B183" s="28" t="s">
        <v>1346</v>
      </c>
      <c r="C183" s="28" t="s">
        <v>1898</v>
      </c>
      <c r="D183" s="28" t="s">
        <v>1247</v>
      </c>
      <c r="E183" s="28" t="s">
        <v>1209</v>
      </c>
      <c r="F183" s="28" t="s">
        <v>1295</v>
      </c>
      <c r="G183" s="28" t="s">
        <v>1177</v>
      </c>
      <c r="H183" s="26"/>
    </row>
    <row r="184">
      <c r="A184" s="16" t="s">
        <v>1182</v>
      </c>
      <c r="B184" s="21" t="s">
        <v>1368</v>
      </c>
      <c r="C184" s="21" t="s">
        <v>1211</v>
      </c>
      <c r="D184" s="21" t="s">
        <v>1211</v>
      </c>
      <c r="E184" s="21" t="s">
        <v>1931</v>
      </c>
      <c r="F184" s="21" t="s">
        <v>1747</v>
      </c>
      <c r="G184" s="21" t="s">
        <v>1177</v>
      </c>
      <c r="H184" s="26"/>
    </row>
    <row r="185">
      <c r="A185" s="16" t="s">
        <v>1186</v>
      </c>
      <c r="B185" s="28" t="s">
        <v>1284</v>
      </c>
      <c r="C185" s="28" t="s">
        <v>1257</v>
      </c>
      <c r="D185" s="28" t="s">
        <v>1249</v>
      </c>
      <c r="E185" s="28" t="s">
        <v>1284</v>
      </c>
      <c r="F185" s="28" t="s">
        <v>1284</v>
      </c>
      <c r="G185" s="28" t="s">
        <v>1177</v>
      </c>
      <c r="H185" s="26"/>
    </row>
    <row r="186">
      <c r="A186" s="20" t="s">
        <v>1188</v>
      </c>
      <c r="B186" s="21" t="s">
        <v>1957</v>
      </c>
      <c r="C186" s="21" t="s">
        <v>1375</v>
      </c>
      <c r="D186" s="21" t="s">
        <v>1225</v>
      </c>
      <c r="E186" s="21" t="s">
        <v>1957</v>
      </c>
      <c r="F186" s="21" t="s">
        <v>1957</v>
      </c>
      <c r="G186" s="21" t="s">
        <v>1177</v>
      </c>
      <c r="H186" s="26"/>
    </row>
    <row r="187">
      <c r="A187" s="29"/>
      <c r="B187" s="21" t="s">
        <v>1395</v>
      </c>
      <c r="C187" s="21" t="s">
        <v>1879</v>
      </c>
      <c r="D187" s="21" t="s">
        <v>1252</v>
      </c>
      <c r="E187" s="21" t="s">
        <v>1468</v>
      </c>
      <c r="F187" s="21" t="s">
        <v>1958</v>
      </c>
      <c r="G187" s="21" t="s">
        <v>1177</v>
      </c>
      <c r="H187" s="26"/>
    </row>
    <row r="188">
      <c r="A188" s="29"/>
      <c r="B188" s="21" t="s">
        <v>1959</v>
      </c>
      <c r="C188" s="21" t="s">
        <v>1880</v>
      </c>
      <c r="D188" s="21" t="s">
        <v>1957</v>
      </c>
      <c r="E188" s="21" t="s">
        <v>1958</v>
      </c>
      <c r="F188" s="21" t="s">
        <v>1750</v>
      </c>
      <c r="G188" s="21" t="s">
        <v>1177</v>
      </c>
      <c r="H188" s="26"/>
    </row>
    <row r="189">
      <c r="A189" s="24"/>
      <c r="B189" s="21" t="s">
        <v>1311</v>
      </c>
      <c r="C189" s="21" t="s">
        <v>1377</v>
      </c>
      <c r="D189" s="21" t="s">
        <v>1311</v>
      </c>
      <c r="E189" s="21" t="s">
        <v>1322</v>
      </c>
      <c r="F189" s="21" t="s">
        <v>1177</v>
      </c>
      <c r="G189" s="21" t="s">
        <v>1177</v>
      </c>
      <c r="H189" s="30"/>
      <c r="I189" s="14"/>
    </row>
    <row r="190">
      <c r="A190" s="16" t="s">
        <v>1174</v>
      </c>
      <c r="B190" s="17" t="s">
        <v>1960</v>
      </c>
      <c r="C190" s="18"/>
      <c r="D190" s="18"/>
      <c r="E190" s="18"/>
      <c r="F190" s="18"/>
      <c r="G190" s="18"/>
      <c r="H190" s="18"/>
      <c r="I190" s="16"/>
    </row>
    <row r="191" ht="60.0" customHeight="1">
      <c r="A191" s="20" t="s">
        <v>1176</v>
      </c>
      <c r="B191" s="21" t="str">
        <f t="array" ref="B191">iferror(VLOOKUP(INDIRECT(ADDRESS(ROW()+1,COLUMN(), 4)),Dex!$A$2:$C289,3,false),"")</f>
        <v/>
      </c>
      <c r="C191" s="21" t="str">
        <f t="array" ref="C191">iferror(VLOOKUP(INDIRECT(ADDRESS(ROW()+1,COLUMN(), 4)),Dex!$A$2:$C289,3,false),"")</f>
        <v/>
      </c>
      <c r="D191" s="21" t="str">
        <f t="array" ref="D191">iferror(VLOOKUP(INDIRECT(ADDRESS(ROW()+1,COLUMN(), 4)),Dex!$A$2:$C289,3,false),"")</f>
        <v/>
      </c>
      <c r="E191" s="21" t="str">
        <f t="array" ref="E191">iferror(VLOOKUP(INDIRECT(ADDRESS(ROW()+1,COLUMN(), 4)),Dex!$A$2:$C289,3,false),"")</f>
        <v/>
      </c>
      <c r="F191" s="21" t="s">
        <v>1177</v>
      </c>
      <c r="G191" s="21" t="s">
        <v>1177</v>
      </c>
      <c r="H191" s="22" t="str">
        <f t="array" ref="H191">iferror(VLOOKUP("TRAINER_PIC_FISHERMAN",Sprites!$A$1:$B289,2,false),"")</f>
        <v/>
      </c>
      <c r="I191" s="23"/>
    </row>
    <row r="192">
      <c r="A192" s="24"/>
      <c r="B192" s="25" t="s">
        <v>752</v>
      </c>
      <c r="C192" s="25" t="s">
        <v>1085</v>
      </c>
      <c r="D192" s="25" t="s">
        <v>994</v>
      </c>
      <c r="E192" s="25" t="s">
        <v>996</v>
      </c>
      <c r="F192" s="25" t="s">
        <v>1177</v>
      </c>
      <c r="G192" s="25" t="s">
        <v>1177</v>
      </c>
      <c r="H192" s="26"/>
    </row>
    <row r="193">
      <c r="A193" s="16" t="s">
        <v>1178</v>
      </c>
      <c r="B193" s="27" t="s">
        <v>1936</v>
      </c>
      <c r="C193" s="27" t="s">
        <v>1936</v>
      </c>
      <c r="D193" s="27" t="s">
        <v>1936</v>
      </c>
      <c r="E193" s="27" t="s">
        <v>1936</v>
      </c>
      <c r="F193" s="21" t="s">
        <v>1177</v>
      </c>
      <c r="G193" s="21" t="s">
        <v>1177</v>
      </c>
      <c r="H193" s="26"/>
    </row>
    <row r="194">
      <c r="A194" s="16" t="s">
        <v>1181</v>
      </c>
      <c r="B194" s="28" t="s">
        <v>1209</v>
      </c>
      <c r="C194" s="28" t="s">
        <v>1961</v>
      </c>
      <c r="D194" s="28" t="s">
        <v>1962</v>
      </c>
      <c r="E194" s="28" t="s">
        <v>1963</v>
      </c>
      <c r="F194" s="28" t="s">
        <v>1177</v>
      </c>
      <c r="G194" s="28" t="s">
        <v>1177</v>
      </c>
      <c r="H194" s="26"/>
    </row>
    <row r="195">
      <c r="A195" s="16" t="s">
        <v>1182</v>
      </c>
      <c r="B195" s="21" t="s">
        <v>1393</v>
      </c>
      <c r="C195" s="21" t="s">
        <v>1212</v>
      </c>
      <c r="D195" s="21" t="s">
        <v>1681</v>
      </c>
      <c r="E195" s="21" t="s">
        <v>1964</v>
      </c>
      <c r="F195" s="21" t="s">
        <v>1177</v>
      </c>
      <c r="G195" s="21" t="s">
        <v>1177</v>
      </c>
      <c r="H195" s="26"/>
    </row>
    <row r="196">
      <c r="A196" s="16" t="s">
        <v>1186</v>
      </c>
      <c r="B196" s="28" t="s">
        <v>1394</v>
      </c>
      <c r="C196" s="28" t="s">
        <v>1235</v>
      </c>
      <c r="D196" s="28" t="s">
        <v>1235</v>
      </c>
      <c r="E196" s="28" t="s">
        <v>1248</v>
      </c>
      <c r="F196" s="28" t="s">
        <v>1177</v>
      </c>
      <c r="G196" s="28" t="s">
        <v>1177</v>
      </c>
      <c r="H196" s="26"/>
    </row>
    <row r="197">
      <c r="A197" s="20" t="s">
        <v>1188</v>
      </c>
      <c r="B197" s="21" t="s">
        <v>1695</v>
      </c>
      <c r="C197" s="21" t="s">
        <v>1760</v>
      </c>
      <c r="D197" s="21" t="s">
        <v>1741</v>
      </c>
      <c r="E197" s="21" t="s">
        <v>1965</v>
      </c>
      <c r="F197" s="21" t="s">
        <v>1177</v>
      </c>
      <c r="G197" s="21" t="s">
        <v>1177</v>
      </c>
      <c r="H197" s="26"/>
    </row>
    <row r="198">
      <c r="A198" s="29"/>
      <c r="B198" s="21" t="s">
        <v>1742</v>
      </c>
      <c r="C198" s="21" t="s">
        <v>1772</v>
      </c>
      <c r="D198" s="21" t="s">
        <v>1236</v>
      </c>
      <c r="E198" s="21" t="s">
        <v>1952</v>
      </c>
      <c r="F198" s="21" t="s">
        <v>1177</v>
      </c>
      <c r="G198" s="21" t="s">
        <v>1177</v>
      </c>
      <c r="H198" s="26"/>
    </row>
    <row r="199">
      <c r="A199" s="29"/>
      <c r="B199" s="21" t="s">
        <v>1966</v>
      </c>
      <c r="C199" s="21" t="s">
        <v>1967</v>
      </c>
      <c r="D199" s="21" t="s">
        <v>1594</v>
      </c>
      <c r="E199" s="21" t="s">
        <v>1607</v>
      </c>
      <c r="F199" s="21" t="s">
        <v>1177</v>
      </c>
      <c r="G199" s="21" t="s">
        <v>1177</v>
      </c>
      <c r="H199" s="26"/>
    </row>
    <row r="200">
      <c r="A200" s="24"/>
      <c r="B200" s="21" t="s">
        <v>1623</v>
      </c>
      <c r="C200" s="21" t="s">
        <v>1330</v>
      </c>
      <c r="D200" s="21" t="s">
        <v>1276</v>
      </c>
      <c r="E200" s="21" t="s">
        <v>1968</v>
      </c>
      <c r="F200" s="21" t="s">
        <v>1177</v>
      </c>
      <c r="G200" s="21" t="s">
        <v>1177</v>
      </c>
      <c r="H200" s="30"/>
      <c r="I200" s="14"/>
    </row>
    <row r="201">
      <c r="A201" s="37"/>
      <c r="B201" s="38" t="s">
        <v>1969</v>
      </c>
      <c r="C201" s="14"/>
      <c r="D201" s="14"/>
      <c r="E201" s="14"/>
      <c r="F201" s="14"/>
      <c r="G201" s="14"/>
      <c r="H201" s="24"/>
      <c r="I201" s="33"/>
    </row>
    <row r="202">
      <c r="A202" s="16" t="s">
        <v>1174</v>
      </c>
      <c r="B202" s="17" t="s">
        <v>1970</v>
      </c>
      <c r="C202" s="18"/>
      <c r="D202" s="18"/>
      <c r="E202" s="18"/>
      <c r="F202" s="18"/>
      <c r="G202" s="18"/>
      <c r="H202" s="18"/>
      <c r="I202" s="16"/>
    </row>
    <row r="203" ht="60.0" customHeight="1">
      <c r="A203" s="20" t="s">
        <v>1176</v>
      </c>
      <c r="B203" s="21" t="str">
        <f t="array" ref="B203">iferror(VLOOKUP(INDIRECT(ADDRESS(ROW()+1,COLUMN(), 4)),Dex!$A$2:$C289,3,false),"")</f>
        <v/>
      </c>
      <c r="C203" s="21" t="str">
        <f t="array" ref="C203">iferror(VLOOKUP(INDIRECT(ADDRESS(ROW()+1,COLUMN(), 4)),Dex!$A$2:$C289,3,false),"")</f>
        <v/>
      </c>
      <c r="D203" s="21" t="str">
        <f t="array" ref="D203">iferror(VLOOKUP(INDIRECT(ADDRESS(ROW()+1,COLUMN(), 4)),Dex!$A$2:$C289,3,false),"")</f>
        <v/>
      </c>
      <c r="E203" s="21" t="str">
        <f t="array" ref="E203">iferror(VLOOKUP(INDIRECT(ADDRESS(ROW()+1,COLUMN(), 4)),Dex!$A$2:$C289,3,false),"")</f>
        <v/>
      </c>
      <c r="F203" s="21" t="s">
        <v>1177</v>
      </c>
      <c r="G203" s="21" t="s">
        <v>1177</v>
      </c>
      <c r="H203" s="22" t="str">
        <f t="array" ref="H203">iferror(VLOOKUP("TRAINER_PIC_COOLTRAINER_F",Sprites!$A$1:$B289,2,false),"")</f>
        <v/>
      </c>
      <c r="I203" s="23"/>
    </row>
    <row r="204">
      <c r="A204" s="24"/>
      <c r="B204" s="25" t="s">
        <v>853</v>
      </c>
      <c r="C204" s="25" t="s">
        <v>783</v>
      </c>
      <c r="D204" s="25" t="s">
        <v>939</v>
      </c>
      <c r="E204" s="25" t="s">
        <v>101</v>
      </c>
      <c r="F204" s="25" t="s">
        <v>1177</v>
      </c>
      <c r="G204" s="25" t="s">
        <v>1177</v>
      </c>
      <c r="H204" s="26"/>
    </row>
    <row r="205">
      <c r="A205" s="16" t="s">
        <v>1178</v>
      </c>
      <c r="B205" s="27" t="s">
        <v>1936</v>
      </c>
      <c r="C205" s="27" t="s">
        <v>1936</v>
      </c>
      <c r="D205" s="27" t="s">
        <v>1936</v>
      </c>
      <c r="E205" s="27" t="s">
        <v>1936</v>
      </c>
      <c r="F205" s="21" t="s">
        <v>1177</v>
      </c>
      <c r="G205" s="21" t="s">
        <v>1177</v>
      </c>
      <c r="H205" s="26"/>
    </row>
    <row r="206">
      <c r="A206" s="16" t="s">
        <v>1181</v>
      </c>
      <c r="B206" s="28" t="s">
        <v>1403</v>
      </c>
      <c r="C206" s="28" t="s">
        <v>1209</v>
      </c>
      <c r="D206" s="28" t="s">
        <v>1209</v>
      </c>
      <c r="E206" s="28" t="s">
        <v>1295</v>
      </c>
      <c r="F206" s="28" t="s">
        <v>1177</v>
      </c>
      <c r="G206" s="28" t="s">
        <v>1177</v>
      </c>
      <c r="H206" s="26"/>
    </row>
    <row r="207">
      <c r="A207" s="16" t="s">
        <v>1182</v>
      </c>
      <c r="B207" s="21" t="s">
        <v>1971</v>
      </c>
      <c r="C207" s="21" t="s">
        <v>1971</v>
      </c>
      <c r="D207" s="21" t="s">
        <v>1971</v>
      </c>
      <c r="E207" s="21" t="s">
        <v>1971</v>
      </c>
      <c r="F207" s="21" t="s">
        <v>1177</v>
      </c>
      <c r="G207" s="21" t="s">
        <v>1177</v>
      </c>
      <c r="H207" s="26"/>
    </row>
    <row r="208">
      <c r="A208" s="16" t="s">
        <v>1186</v>
      </c>
      <c r="B208" s="28" t="s">
        <v>1406</v>
      </c>
      <c r="C208" s="28" t="s">
        <v>1235</v>
      </c>
      <c r="D208" s="28" t="s">
        <v>1235</v>
      </c>
      <c r="E208" s="28" t="s">
        <v>1406</v>
      </c>
      <c r="F208" s="28" t="s">
        <v>1177</v>
      </c>
      <c r="G208" s="28" t="s">
        <v>1177</v>
      </c>
      <c r="H208" s="26"/>
    </row>
    <row r="209">
      <c r="A209" s="20" t="s">
        <v>1188</v>
      </c>
      <c r="B209" s="21" t="s">
        <v>1607</v>
      </c>
      <c r="C209" s="21" t="s">
        <v>1677</v>
      </c>
      <c r="D209" s="21" t="s">
        <v>1678</v>
      </c>
      <c r="E209" s="21" t="s">
        <v>1972</v>
      </c>
      <c r="F209" s="21" t="s">
        <v>1177</v>
      </c>
      <c r="G209" s="21" t="s">
        <v>1177</v>
      </c>
      <c r="H209" s="26"/>
    </row>
    <row r="210">
      <c r="A210" s="29"/>
      <c r="B210" s="21" t="s">
        <v>1952</v>
      </c>
      <c r="C210" s="21" t="s">
        <v>1678</v>
      </c>
      <c r="D210" s="21" t="s">
        <v>1973</v>
      </c>
      <c r="E210" s="21" t="s">
        <v>1973</v>
      </c>
      <c r="F210" s="21" t="s">
        <v>1177</v>
      </c>
      <c r="G210" s="21" t="s">
        <v>1177</v>
      </c>
      <c r="H210" s="26"/>
    </row>
    <row r="211">
      <c r="A211" s="29"/>
      <c r="B211" s="21" t="s">
        <v>1974</v>
      </c>
      <c r="C211" s="21" t="s">
        <v>1973</v>
      </c>
      <c r="D211" s="21" t="s">
        <v>1662</v>
      </c>
      <c r="E211" s="21" t="s">
        <v>1678</v>
      </c>
      <c r="F211" s="21" t="s">
        <v>1177</v>
      </c>
      <c r="G211" s="21" t="s">
        <v>1177</v>
      </c>
      <c r="H211" s="26"/>
    </row>
    <row r="212">
      <c r="A212" s="24"/>
      <c r="B212" s="21" t="s">
        <v>1975</v>
      </c>
      <c r="C212" s="21" t="s">
        <v>1972</v>
      </c>
      <c r="D212" s="21" t="s">
        <v>1309</v>
      </c>
      <c r="E212" s="21" t="s">
        <v>1410</v>
      </c>
      <c r="F212" s="21" t="s">
        <v>1177</v>
      </c>
      <c r="G212" s="21" t="s">
        <v>1177</v>
      </c>
      <c r="H212" s="30"/>
      <c r="I212" s="14"/>
    </row>
    <row r="213">
      <c r="A213" s="16" t="s">
        <v>1174</v>
      </c>
      <c r="B213" s="17" t="s">
        <v>1976</v>
      </c>
      <c r="C213" s="18"/>
      <c r="D213" s="18"/>
      <c r="E213" s="18"/>
      <c r="F213" s="18"/>
      <c r="G213" s="18"/>
      <c r="H213" s="18"/>
      <c r="I213" s="16"/>
    </row>
    <row r="214" ht="60.0" customHeight="1">
      <c r="A214" s="20" t="s">
        <v>1176</v>
      </c>
      <c r="B214" s="21" t="str">
        <f t="array" ref="B214">iferror(VLOOKUP(INDIRECT(ADDRESS(ROW()+1,COLUMN(), 4)),Dex!$A$2:$C289,3,false),"")</f>
        <v/>
      </c>
      <c r="C214" s="21" t="str">
        <f t="array" ref="C214">iferror(VLOOKUP(INDIRECT(ADDRESS(ROW()+1,COLUMN(), 4)),Dex!$A$2:$C289,3,false),"")</f>
        <v/>
      </c>
      <c r="D214" s="21" t="str">
        <f t="array" ref="D214">iferror(VLOOKUP(INDIRECT(ADDRESS(ROW()+1,COLUMN(), 4)),Dex!$A$2:$C289,3,false),"")</f>
        <v/>
      </c>
      <c r="E214" s="21" t="str">
        <f t="array" ref="E214">iferror(VLOOKUP(INDIRECT(ADDRESS(ROW()+1,COLUMN(), 4)),Dex!$A$2:$C289,3,false),"")</f>
        <v/>
      </c>
      <c r="F214" s="21" t="str">
        <f t="array" ref="F214">iferror(VLOOKUP(INDIRECT(ADDRESS(ROW()+1,COLUMN(), 4)),Dex!$A$2:$C289,3,false),"")</f>
        <v/>
      </c>
      <c r="G214" s="21" t="s">
        <v>1177</v>
      </c>
      <c r="H214" s="22" t="str">
        <f t="array" ref="H214">iferror(VLOOKUP("TRAINER_PIC_COOLTRAINER_M",Sprites!$A$1:$B289,2,false),"")</f>
        <v/>
      </c>
      <c r="I214" s="23"/>
    </row>
    <row r="215">
      <c r="A215" s="24"/>
      <c r="B215" s="25" t="s">
        <v>385</v>
      </c>
      <c r="C215" s="25" t="s">
        <v>697</v>
      </c>
      <c r="D215" s="25" t="s">
        <v>591</v>
      </c>
      <c r="E215" s="25" t="s">
        <v>418</v>
      </c>
      <c r="F215" s="25" t="s">
        <v>346</v>
      </c>
      <c r="G215" s="25" t="s">
        <v>1177</v>
      </c>
      <c r="H215" s="26"/>
    </row>
    <row r="216">
      <c r="A216" s="16" t="s">
        <v>1178</v>
      </c>
      <c r="B216" s="27" t="s">
        <v>1936</v>
      </c>
      <c r="C216" s="27" t="s">
        <v>1936</v>
      </c>
      <c r="D216" s="27" t="s">
        <v>1936</v>
      </c>
      <c r="E216" s="27" t="s">
        <v>1936</v>
      </c>
      <c r="F216" s="27" t="s">
        <v>1910</v>
      </c>
      <c r="G216" s="21" t="s">
        <v>1177</v>
      </c>
      <c r="H216" s="26"/>
    </row>
    <row r="217">
      <c r="A217" s="16" t="s">
        <v>1181</v>
      </c>
      <c r="B217" s="28" t="s">
        <v>1901</v>
      </c>
      <c r="C217" s="28" t="s">
        <v>1418</v>
      </c>
      <c r="D217" s="28" t="s">
        <v>1583</v>
      </c>
      <c r="E217" s="28" t="s">
        <v>1882</v>
      </c>
      <c r="F217" s="28" t="s">
        <v>1247</v>
      </c>
      <c r="G217" s="28" t="s">
        <v>1177</v>
      </c>
      <c r="H217" s="26"/>
    </row>
    <row r="218">
      <c r="A218" s="16" t="s">
        <v>1182</v>
      </c>
      <c r="B218" s="21" t="s">
        <v>1233</v>
      </c>
      <c r="C218" s="21" t="s">
        <v>1233</v>
      </c>
      <c r="D218" s="21" t="s">
        <v>1233</v>
      </c>
      <c r="E218" s="21" t="s">
        <v>1233</v>
      </c>
      <c r="F218" s="21" t="s">
        <v>1233</v>
      </c>
      <c r="G218" s="21" t="s">
        <v>1177</v>
      </c>
      <c r="H218" s="26"/>
    </row>
    <row r="219">
      <c r="A219" s="16" t="s">
        <v>1186</v>
      </c>
      <c r="B219" s="28" t="s">
        <v>1248</v>
      </c>
      <c r="C219" s="28" t="s">
        <v>1248</v>
      </c>
      <c r="D219" s="28" t="s">
        <v>1256</v>
      </c>
      <c r="E219" s="28" t="s">
        <v>1248</v>
      </c>
      <c r="F219" s="28" t="s">
        <v>1248</v>
      </c>
      <c r="G219" s="28" t="s">
        <v>1177</v>
      </c>
      <c r="H219" s="26"/>
    </row>
    <row r="220">
      <c r="A220" s="20" t="s">
        <v>1188</v>
      </c>
      <c r="B220" s="21" t="s">
        <v>1586</v>
      </c>
      <c r="C220" s="21" t="s">
        <v>1777</v>
      </c>
      <c r="D220" s="21" t="s">
        <v>1650</v>
      </c>
      <c r="E220" s="21" t="s">
        <v>1760</v>
      </c>
      <c r="F220" s="21" t="s">
        <v>1887</v>
      </c>
      <c r="G220" s="21" t="s">
        <v>1177</v>
      </c>
      <c r="H220" s="26"/>
    </row>
    <row r="221">
      <c r="A221" s="29"/>
      <c r="B221" s="21" t="s">
        <v>1415</v>
      </c>
      <c r="C221" s="21" t="s">
        <v>1749</v>
      </c>
      <c r="D221" s="21" t="s">
        <v>1619</v>
      </c>
      <c r="E221" s="21" t="s">
        <v>1594</v>
      </c>
      <c r="F221" s="21" t="s">
        <v>1359</v>
      </c>
      <c r="G221" s="21" t="s">
        <v>1177</v>
      </c>
      <c r="H221" s="26"/>
    </row>
    <row r="222">
      <c r="A222" s="29"/>
      <c r="B222" s="21" t="s">
        <v>1977</v>
      </c>
      <c r="C222" s="21" t="s">
        <v>1817</v>
      </c>
      <c r="D222" s="21" t="s">
        <v>1285</v>
      </c>
      <c r="E222" s="21" t="s">
        <v>1741</v>
      </c>
      <c r="F222" s="21" t="s">
        <v>1425</v>
      </c>
      <c r="G222" s="21" t="s">
        <v>1177</v>
      </c>
      <c r="H222" s="26"/>
    </row>
    <row r="223">
      <c r="A223" s="24"/>
      <c r="B223" s="21" t="s">
        <v>1641</v>
      </c>
      <c r="C223" s="21" t="s">
        <v>1438</v>
      </c>
      <c r="D223" s="21" t="s">
        <v>1243</v>
      </c>
      <c r="E223" s="21" t="s">
        <v>1389</v>
      </c>
      <c r="F223" s="21" t="s">
        <v>1577</v>
      </c>
      <c r="G223" s="21" t="s">
        <v>1177</v>
      </c>
      <c r="H223" s="30"/>
      <c r="I223" s="14"/>
    </row>
    <row r="224">
      <c r="A224" s="16" t="s">
        <v>1174</v>
      </c>
      <c r="B224" s="17" t="s">
        <v>1978</v>
      </c>
      <c r="C224" s="18"/>
      <c r="D224" s="18"/>
      <c r="E224" s="18"/>
      <c r="F224" s="18"/>
      <c r="G224" s="18"/>
      <c r="H224" s="18"/>
      <c r="I224" s="16"/>
    </row>
    <row r="225" ht="60.0" customHeight="1">
      <c r="A225" s="20" t="s">
        <v>1176</v>
      </c>
      <c r="B225" s="21" t="str">
        <f t="array" ref="B225">iferror(VLOOKUP(INDIRECT(ADDRESS(ROW()+1,COLUMN(), 4)),Dex!$A$2:$C289,3,false),"")</f>
        <v/>
      </c>
      <c r="C225" s="21" t="str">
        <f t="array" ref="C225">iferror(VLOOKUP(INDIRECT(ADDRESS(ROW()+1,COLUMN(), 4)),Dex!$A$2:$C289,3,false),"")</f>
        <v/>
      </c>
      <c r="D225" s="21" t="str">
        <f t="array" ref="D225">iferror(VLOOKUP(INDIRECT(ADDRESS(ROW()+1,COLUMN(), 4)),Dex!$A$2:$C289,3,false),"")</f>
        <v/>
      </c>
      <c r="E225" s="21" t="str">
        <f t="array" ref="E225">iferror(VLOOKUP(INDIRECT(ADDRESS(ROW()+1,COLUMN(), 4)),Dex!$A$2:$C289,3,false),"")</f>
        <v/>
      </c>
      <c r="F225" s="21" t="str">
        <f t="array" ref="F225">iferror(VLOOKUP(INDIRECT(ADDRESS(ROW()+1,COLUMN(), 4)),Dex!$A$2:$C289,3,false),"")</f>
        <v/>
      </c>
      <c r="G225" s="21" t="s">
        <v>1177</v>
      </c>
      <c r="H225" s="22" t="str">
        <f t="array" ref="H225">iferror(VLOOKUP("TRAINER_PIC_COOLTRAINER_M",Sprites!$A$1:$B289,2,false),"")</f>
        <v/>
      </c>
      <c r="I225" s="23"/>
    </row>
    <row r="226">
      <c r="A226" s="24"/>
      <c r="B226" s="25" t="s">
        <v>1040</v>
      </c>
      <c r="C226" s="25" t="s">
        <v>90</v>
      </c>
      <c r="D226" s="25" t="s">
        <v>177</v>
      </c>
      <c r="E226" s="25" t="s">
        <v>278</v>
      </c>
      <c r="F226" s="25" t="s">
        <v>58</v>
      </c>
      <c r="G226" s="25" t="s">
        <v>1177</v>
      </c>
      <c r="H226" s="26"/>
    </row>
    <row r="227">
      <c r="A227" s="16" t="s">
        <v>1178</v>
      </c>
      <c r="B227" s="27" t="s">
        <v>1936</v>
      </c>
      <c r="C227" s="27" t="s">
        <v>1936</v>
      </c>
      <c r="D227" s="27" t="s">
        <v>1936</v>
      </c>
      <c r="E227" s="27" t="s">
        <v>1910</v>
      </c>
      <c r="F227" s="27" t="s">
        <v>1936</v>
      </c>
      <c r="G227" s="21" t="s">
        <v>1177</v>
      </c>
      <c r="H227" s="26"/>
    </row>
    <row r="228">
      <c r="A228" s="16" t="s">
        <v>1181</v>
      </c>
      <c r="B228" s="28" t="s">
        <v>1295</v>
      </c>
      <c r="C228" s="28" t="s">
        <v>1295</v>
      </c>
      <c r="D228" s="28" t="s">
        <v>1295</v>
      </c>
      <c r="E228" s="28" t="s">
        <v>1346</v>
      </c>
      <c r="F228" s="28" t="s">
        <v>1295</v>
      </c>
      <c r="G228" s="28" t="s">
        <v>1177</v>
      </c>
      <c r="H228" s="26"/>
    </row>
    <row r="229">
      <c r="A229" s="16" t="s">
        <v>1182</v>
      </c>
      <c r="B229" s="21" t="s">
        <v>1979</v>
      </c>
      <c r="C229" s="21" t="s">
        <v>1298</v>
      </c>
      <c r="D229" s="21" t="s">
        <v>1283</v>
      </c>
      <c r="E229" s="21" t="s">
        <v>1667</v>
      </c>
      <c r="F229" s="21" t="s">
        <v>1604</v>
      </c>
      <c r="G229" s="21" t="s">
        <v>1177</v>
      </c>
      <c r="H229" s="26"/>
    </row>
    <row r="230">
      <c r="A230" s="16" t="s">
        <v>1186</v>
      </c>
      <c r="B230" s="28" t="s">
        <v>1235</v>
      </c>
      <c r="C230" s="28" t="s">
        <v>1235</v>
      </c>
      <c r="D230" s="28" t="s">
        <v>1284</v>
      </c>
      <c r="E230" s="28" t="s">
        <v>1257</v>
      </c>
      <c r="F230" s="28" t="s">
        <v>1257</v>
      </c>
      <c r="G230" s="28" t="s">
        <v>1177</v>
      </c>
      <c r="H230" s="26"/>
    </row>
    <row r="231">
      <c r="A231" s="20" t="s">
        <v>1188</v>
      </c>
      <c r="B231" s="21" t="s">
        <v>1965</v>
      </c>
      <c r="C231" s="21" t="s">
        <v>1737</v>
      </c>
      <c r="D231" s="21" t="s">
        <v>1839</v>
      </c>
      <c r="E231" s="21" t="s">
        <v>1731</v>
      </c>
      <c r="F231" s="21" t="s">
        <v>1815</v>
      </c>
      <c r="G231" s="21" t="s">
        <v>1177</v>
      </c>
      <c r="H231" s="26"/>
    </row>
    <row r="232">
      <c r="A232" s="29"/>
      <c r="B232" s="21" t="s">
        <v>1307</v>
      </c>
      <c r="C232" s="21" t="s">
        <v>1372</v>
      </c>
      <c r="D232" s="21" t="s">
        <v>1695</v>
      </c>
      <c r="E232" s="21" t="s">
        <v>1373</v>
      </c>
      <c r="F232" s="21" t="s">
        <v>1740</v>
      </c>
      <c r="G232" s="21" t="s">
        <v>1177</v>
      </c>
      <c r="H232" s="26"/>
    </row>
    <row r="233">
      <c r="A233" s="29"/>
      <c r="B233" s="21" t="s">
        <v>1886</v>
      </c>
      <c r="C233" s="21" t="s">
        <v>1704</v>
      </c>
      <c r="D233" s="21" t="s">
        <v>1652</v>
      </c>
      <c r="E233" s="21" t="s">
        <v>1389</v>
      </c>
      <c r="F233" s="21" t="s">
        <v>1698</v>
      </c>
      <c r="G233" s="21" t="s">
        <v>1177</v>
      </c>
      <c r="H233" s="26"/>
    </row>
    <row r="234">
      <c r="A234" s="24"/>
      <c r="B234" s="21" t="s">
        <v>1389</v>
      </c>
      <c r="C234" s="21" t="s">
        <v>1715</v>
      </c>
      <c r="D234" s="21" t="s">
        <v>1398</v>
      </c>
      <c r="E234" s="21" t="s">
        <v>1806</v>
      </c>
      <c r="F234" s="21" t="s">
        <v>1980</v>
      </c>
      <c r="G234" s="21" t="s">
        <v>1177</v>
      </c>
      <c r="H234" s="30"/>
      <c r="I234" s="14"/>
    </row>
    <row r="235">
      <c r="A235" s="16" t="s">
        <v>1174</v>
      </c>
      <c r="B235" s="17" t="s">
        <v>1981</v>
      </c>
      <c r="C235" s="18"/>
      <c r="D235" s="18"/>
      <c r="E235" s="18"/>
      <c r="F235" s="18"/>
      <c r="G235" s="18"/>
      <c r="H235" s="18"/>
      <c r="I235" s="16"/>
    </row>
    <row r="236" ht="60.0" customHeight="1">
      <c r="A236" s="20" t="s">
        <v>1176</v>
      </c>
      <c r="B236" s="21" t="str">
        <f t="array" ref="B236">iferror(VLOOKUP(INDIRECT(ADDRESS(ROW()+1,COLUMN(), 4)),Dex!$A$2:$C289,3,false),"")</f>
        <v/>
      </c>
      <c r="C236" s="39" t="str">
        <f t="array" ref="C236">iferror(VLOOKUP(INDIRECT(ADDRESS(ROW()+1,COLUMN(), 4)),Dex!$A$2:$C289,3,false),"")</f>
        <v/>
      </c>
      <c r="D236" s="21" t="str">
        <f t="array" ref="D236">iferror(VLOOKUP(INDIRECT(ADDRESS(ROW()+1,COLUMN(), 4)),Dex!$A$2:$C289,3,false),"")</f>
        <v/>
      </c>
      <c r="E236" s="21" t="str">
        <f t="array" ref="E236">iferror(VLOOKUP(INDIRECT(ADDRESS(ROW()+1,COLUMN(), 4)),Dex!$A$2:$C289,3,false),"")</f>
        <v/>
      </c>
      <c r="F236" s="21" t="str">
        <f t="array" ref="F236">iferror(VLOOKUP(INDIRECT(ADDRESS(ROW()+1,COLUMN(), 4)),Dex!$A$2:$C289,3,false),"")</f>
        <v/>
      </c>
      <c r="G236" s="21" t="s">
        <v>1177</v>
      </c>
      <c r="H236" s="22" t="str">
        <f t="array" ref="H236">iferror(VLOOKUP("TRAINER_PIC_COOLTRAINER_F",Sprites!$A$1:$B289,2,false),"")</f>
        <v/>
      </c>
      <c r="I236" s="23"/>
    </row>
    <row r="237">
      <c r="A237" s="24"/>
      <c r="B237" s="25" t="s">
        <v>945</v>
      </c>
      <c r="C237" s="25" t="s">
        <v>757</v>
      </c>
      <c r="D237" s="25" t="s">
        <v>18</v>
      </c>
      <c r="E237" s="25" t="s">
        <v>1054</v>
      </c>
      <c r="F237" s="25" t="s">
        <v>446</v>
      </c>
      <c r="G237" s="25" t="s">
        <v>1177</v>
      </c>
      <c r="H237" s="26"/>
    </row>
    <row r="238">
      <c r="A238" s="16" t="s">
        <v>1178</v>
      </c>
      <c r="B238" s="27" t="s">
        <v>1936</v>
      </c>
      <c r="C238" s="27" t="s">
        <v>1956</v>
      </c>
      <c r="D238" s="27" t="s">
        <v>1910</v>
      </c>
      <c r="E238" s="27" t="s">
        <v>1936</v>
      </c>
      <c r="F238" s="27" t="s">
        <v>1910</v>
      </c>
      <c r="G238" s="21" t="s">
        <v>1177</v>
      </c>
      <c r="H238" s="26"/>
    </row>
    <row r="239">
      <c r="A239" s="16" t="s">
        <v>1181</v>
      </c>
      <c r="B239" s="28" t="s">
        <v>1366</v>
      </c>
      <c r="C239" s="28" t="s">
        <v>1295</v>
      </c>
      <c r="D239" s="28" t="s">
        <v>1295</v>
      </c>
      <c r="E239" s="28" t="s">
        <v>1209</v>
      </c>
      <c r="F239" s="28" t="s">
        <v>1701</v>
      </c>
      <c r="G239" s="28" t="s">
        <v>1177</v>
      </c>
      <c r="H239" s="26"/>
    </row>
    <row r="240">
      <c r="A240" s="16" t="s">
        <v>1182</v>
      </c>
      <c r="B240" s="21" t="s">
        <v>1982</v>
      </c>
      <c r="C240" s="21" t="s">
        <v>1946</v>
      </c>
      <c r="D240" s="21" t="s">
        <v>1648</v>
      </c>
      <c r="E240" s="21" t="s">
        <v>1211</v>
      </c>
      <c r="F240" s="21" t="s">
        <v>1368</v>
      </c>
      <c r="G240" s="21" t="s">
        <v>1177</v>
      </c>
      <c r="H240" s="26"/>
    </row>
    <row r="241">
      <c r="A241" s="16" t="s">
        <v>1186</v>
      </c>
      <c r="B241" s="28" t="s">
        <v>1406</v>
      </c>
      <c r="C241" s="28" t="s">
        <v>1406</v>
      </c>
      <c r="D241" s="28" t="s">
        <v>1394</v>
      </c>
      <c r="E241" s="28" t="s">
        <v>1235</v>
      </c>
      <c r="F241" s="28" t="s">
        <v>1234</v>
      </c>
      <c r="G241" s="28" t="s">
        <v>1177</v>
      </c>
      <c r="H241" s="26"/>
    </row>
    <row r="242">
      <c r="A242" s="20" t="s">
        <v>1188</v>
      </c>
      <c r="B242" s="21" t="s">
        <v>1779</v>
      </c>
      <c r="C242" s="21" t="s">
        <v>1983</v>
      </c>
      <c r="D242" s="21" t="s">
        <v>1695</v>
      </c>
      <c r="E242" s="21" t="s">
        <v>1607</v>
      </c>
      <c r="F242" s="21" t="s">
        <v>1772</v>
      </c>
      <c r="G242" s="21" t="s">
        <v>1177</v>
      </c>
      <c r="H242" s="26"/>
    </row>
    <row r="243">
      <c r="A243" s="29"/>
      <c r="B243" s="21" t="s">
        <v>1804</v>
      </c>
      <c r="C243" s="21" t="s">
        <v>1804</v>
      </c>
      <c r="D243" s="21" t="s">
        <v>1804</v>
      </c>
      <c r="E243" s="21" t="s">
        <v>1415</v>
      </c>
      <c r="F243" s="21" t="s">
        <v>1711</v>
      </c>
      <c r="G243" s="21" t="s">
        <v>1177</v>
      </c>
      <c r="H243" s="26"/>
    </row>
    <row r="244">
      <c r="A244" s="29"/>
      <c r="B244" s="21" t="s">
        <v>1204</v>
      </c>
      <c r="C244" s="21" t="s">
        <v>1275</v>
      </c>
      <c r="D244" s="21" t="s">
        <v>1204</v>
      </c>
      <c r="E244" s="21" t="s">
        <v>1804</v>
      </c>
      <c r="F244" s="21" t="s">
        <v>1804</v>
      </c>
      <c r="G244" s="21" t="s">
        <v>1177</v>
      </c>
      <c r="H244" s="26"/>
    </row>
    <row r="245">
      <c r="A245" s="24"/>
      <c r="B245" s="21" t="s">
        <v>1705</v>
      </c>
      <c r="C245" s="21" t="s">
        <v>1204</v>
      </c>
      <c r="D245" s="21" t="s">
        <v>1389</v>
      </c>
      <c r="E245" s="21" t="s">
        <v>1410</v>
      </c>
      <c r="F245" s="21" t="s">
        <v>1984</v>
      </c>
      <c r="G245" s="21" t="s">
        <v>1177</v>
      </c>
      <c r="H245" s="30"/>
      <c r="I245" s="14"/>
    </row>
    <row r="246">
      <c r="A246" s="16" t="s">
        <v>1174</v>
      </c>
      <c r="B246" s="17" t="s">
        <v>1985</v>
      </c>
      <c r="C246" s="18"/>
      <c r="D246" s="18"/>
      <c r="E246" s="18"/>
      <c r="F246" s="18"/>
      <c r="G246" s="18"/>
      <c r="H246" s="18"/>
      <c r="I246" s="16"/>
    </row>
    <row r="247" ht="60.0" customHeight="1">
      <c r="A247" s="20" t="s">
        <v>1176</v>
      </c>
      <c r="B247" s="21" t="str">
        <f t="array" ref="B247">iferror(VLOOKUP(INDIRECT(ADDRESS(ROW()+1,COLUMN(), 4)),Dex!$A$2:$C289,3,false),"")</f>
        <v/>
      </c>
      <c r="C247" s="21" t="str">
        <f t="array" ref="C247">iferror(VLOOKUP(INDIRECT(ADDRESS(ROW()+1,COLUMN(), 4)),Dex!$A$2:$C289,3,false),"")</f>
        <v/>
      </c>
      <c r="D247" s="21" t="str">
        <f t="array" ref="D247">iferror(VLOOKUP(INDIRECT(ADDRESS(ROW()+1,COLUMN(), 4)),Dex!$A$2:$C289,3,false),"")</f>
        <v/>
      </c>
      <c r="E247" s="21" t="str">
        <f t="array" ref="E247">iferror(VLOOKUP(INDIRECT(ADDRESS(ROW()+1,COLUMN(), 4)),Dex!$A$2:$C289,3,false),"")</f>
        <v/>
      </c>
      <c r="F247" s="21" t="str">
        <f t="array" ref="F247">iferror(VLOOKUP(INDIRECT(ADDRESS(ROW()+1,COLUMN(), 4)),Dex!$A$2:$C289,3,false),"")</f>
        <v/>
      </c>
      <c r="G247" s="21" t="s">
        <v>1177</v>
      </c>
      <c r="H247" s="22" t="str">
        <f t="array" ref="H247">iferror(VLOOKUP("TRAINER_PIC_COOLTRAINER_M",Sprites!$A$1:$B289,2,false),"")</f>
        <v/>
      </c>
      <c r="I247" s="23"/>
    </row>
    <row r="248">
      <c r="A248" s="24"/>
      <c r="B248" s="25" t="s">
        <v>863</v>
      </c>
      <c r="C248" s="25" t="s">
        <v>548</v>
      </c>
      <c r="D248" s="25" t="s">
        <v>1048</v>
      </c>
      <c r="E248" s="25" t="s">
        <v>309</v>
      </c>
      <c r="F248" s="25" t="s">
        <v>573</v>
      </c>
      <c r="G248" s="25" t="s">
        <v>1177</v>
      </c>
      <c r="H248" s="26"/>
    </row>
    <row r="249">
      <c r="A249" s="16" t="s">
        <v>1178</v>
      </c>
      <c r="B249" s="27" t="s">
        <v>1956</v>
      </c>
      <c r="C249" s="27" t="s">
        <v>1956</v>
      </c>
      <c r="D249" s="27" t="s">
        <v>1936</v>
      </c>
      <c r="E249" s="27" t="s">
        <v>1936</v>
      </c>
      <c r="F249" s="27" t="s">
        <v>1936</v>
      </c>
      <c r="G249" s="21" t="s">
        <v>1177</v>
      </c>
      <c r="H249" s="26"/>
    </row>
    <row r="250">
      <c r="A250" s="16" t="s">
        <v>1181</v>
      </c>
      <c r="B250" s="28" t="s">
        <v>1571</v>
      </c>
      <c r="C250" s="28" t="s">
        <v>1571</v>
      </c>
      <c r="D250" s="28" t="s">
        <v>1209</v>
      </c>
      <c r="E250" s="28" t="s">
        <v>1571</v>
      </c>
      <c r="F250" s="28" t="s">
        <v>1571</v>
      </c>
      <c r="G250" s="28" t="s">
        <v>1177</v>
      </c>
      <c r="H250" s="26"/>
    </row>
    <row r="251">
      <c r="A251" s="16" t="s">
        <v>1182</v>
      </c>
      <c r="B251" s="21" t="s">
        <v>1573</v>
      </c>
      <c r="C251" s="21" t="s">
        <v>1797</v>
      </c>
      <c r="D251" s="21" t="s">
        <v>1573</v>
      </c>
      <c r="E251" s="21" t="s">
        <v>1573</v>
      </c>
      <c r="F251" s="21" t="s">
        <v>1573</v>
      </c>
      <c r="G251" s="21" t="s">
        <v>1177</v>
      </c>
      <c r="H251" s="26"/>
    </row>
    <row r="252">
      <c r="A252" s="16" t="s">
        <v>1186</v>
      </c>
      <c r="B252" s="28" t="s">
        <v>1235</v>
      </c>
      <c r="C252" s="28" t="s">
        <v>1249</v>
      </c>
      <c r="D252" s="28" t="s">
        <v>1284</v>
      </c>
      <c r="E252" s="28" t="s">
        <v>1249</v>
      </c>
      <c r="F252" s="28" t="s">
        <v>1235</v>
      </c>
      <c r="G252" s="28" t="s">
        <v>1177</v>
      </c>
      <c r="H252" s="26"/>
    </row>
    <row r="253">
      <c r="A253" s="20" t="s">
        <v>1188</v>
      </c>
      <c r="B253" s="21" t="s">
        <v>1678</v>
      </c>
      <c r="C253" s="21" t="s">
        <v>1577</v>
      </c>
      <c r="D253" s="21" t="s">
        <v>1986</v>
      </c>
      <c r="E253" s="21" t="s">
        <v>1987</v>
      </c>
      <c r="F253" s="21" t="s">
        <v>1574</v>
      </c>
      <c r="G253" s="21" t="s">
        <v>1177</v>
      </c>
      <c r="H253" s="26"/>
    </row>
    <row r="254">
      <c r="A254" s="29"/>
      <c r="B254" s="21" t="s">
        <v>1683</v>
      </c>
      <c r="C254" s="21" t="s">
        <v>1471</v>
      </c>
      <c r="D254" s="21" t="s">
        <v>1468</v>
      </c>
      <c r="E254" s="21" t="s">
        <v>1814</v>
      </c>
      <c r="F254" s="21" t="s">
        <v>1577</v>
      </c>
      <c r="G254" s="21" t="s">
        <v>1177</v>
      </c>
      <c r="H254" s="26"/>
    </row>
    <row r="255">
      <c r="A255" s="29"/>
      <c r="B255" s="21" t="s">
        <v>1682</v>
      </c>
      <c r="C255" s="21" t="s">
        <v>1335</v>
      </c>
      <c r="D255" s="21" t="s">
        <v>1890</v>
      </c>
      <c r="E255" s="21" t="s">
        <v>1273</v>
      </c>
      <c r="F255" s="21" t="s">
        <v>1677</v>
      </c>
      <c r="G255" s="21" t="s">
        <v>1177</v>
      </c>
      <c r="H255" s="26"/>
    </row>
    <row r="256">
      <c r="A256" s="24"/>
      <c r="B256" s="21" t="s">
        <v>1952</v>
      </c>
      <c r="C256" s="21" t="s">
        <v>1629</v>
      </c>
      <c r="D256" s="21" t="s">
        <v>1292</v>
      </c>
      <c r="E256" s="21" t="s">
        <v>1600</v>
      </c>
      <c r="F256" s="21" t="s">
        <v>1817</v>
      </c>
      <c r="G256" s="21" t="s">
        <v>1177</v>
      </c>
      <c r="H256" s="30"/>
      <c r="I256" s="14"/>
    </row>
    <row r="257">
      <c r="A257" s="16" t="s">
        <v>1174</v>
      </c>
      <c r="B257" s="17" t="s">
        <v>1988</v>
      </c>
      <c r="C257" s="18"/>
      <c r="D257" s="18"/>
      <c r="E257" s="18"/>
      <c r="F257" s="18"/>
      <c r="G257" s="18"/>
      <c r="H257" s="18"/>
      <c r="I257" s="16"/>
    </row>
    <row r="258" ht="60.0" customHeight="1">
      <c r="A258" s="20" t="s">
        <v>1176</v>
      </c>
      <c r="B258" s="21" t="str">
        <f t="array" ref="B258">iferror(VLOOKUP(INDIRECT(ADDRESS(ROW()+1,COLUMN(), 4)),Dex!$A$2:$C289,3,false),"")</f>
        <v/>
      </c>
      <c r="C258" s="21" t="str">
        <f t="array" ref="C258">iferror(VLOOKUP(INDIRECT(ADDRESS(ROW()+1,COLUMN(), 4)),Dex!$A$2:$C289,3,false),"")</f>
        <v/>
      </c>
      <c r="D258" s="21" t="str">
        <f t="array" ref="D258">iferror(VLOOKUP(INDIRECT(ADDRESS(ROW()+1,COLUMN(), 4)),Dex!$A$2:$C289,3,false),"")</f>
        <v/>
      </c>
      <c r="E258" s="21" t="str">
        <f t="array" ref="E258">iferror(VLOOKUP(INDIRECT(ADDRESS(ROW()+1,COLUMN(), 4)),Dex!$A$2:$C289,3,false),"")</f>
        <v/>
      </c>
      <c r="F258" s="21" t="str">
        <f t="array" ref="F258">iferror(VLOOKUP(INDIRECT(ADDRESS(ROW()+1,COLUMN(), 4)),Dex!$A$2:$C289,3,false),"")</f>
        <v/>
      </c>
      <c r="G258" s="21" t="s">
        <v>1177</v>
      </c>
      <c r="H258" s="22" t="str">
        <f t="array" ref="H258">iferror(VLOOKUP("TRAINER_PIC_COOLTRAINER_M",Sprites!$A$1:$B289,2,false),"")</f>
        <v/>
      </c>
      <c r="I258" s="23"/>
    </row>
    <row r="259">
      <c r="A259" s="24"/>
      <c r="B259" s="25" t="s">
        <v>842</v>
      </c>
      <c r="C259" s="25" t="s">
        <v>568</v>
      </c>
      <c r="D259" s="25" t="s">
        <v>513</v>
      </c>
      <c r="E259" s="25" t="s">
        <v>786</v>
      </c>
      <c r="F259" s="25" t="s">
        <v>650</v>
      </c>
      <c r="G259" s="25" t="s">
        <v>1177</v>
      </c>
      <c r="H259" s="26"/>
    </row>
    <row r="260">
      <c r="A260" s="16" t="s">
        <v>1178</v>
      </c>
      <c r="B260" s="27" t="s">
        <v>1956</v>
      </c>
      <c r="C260" s="27" t="s">
        <v>1956</v>
      </c>
      <c r="D260" s="27" t="s">
        <v>1956</v>
      </c>
      <c r="E260" s="27" t="s">
        <v>1989</v>
      </c>
      <c r="F260" s="27" t="s">
        <v>1956</v>
      </c>
      <c r="G260" s="21" t="s">
        <v>1177</v>
      </c>
      <c r="H260" s="26"/>
    </row>
    <row r="261">
      <c r="A261" s="16" t="s">
        <v>1181</v>
      </c>
      <c r="B261" s="28" t="s">
        <v>1688</v>
      </c>
      <c r="C261" s="28" t="s">
        <v>1366</v>
      </c>
      <c r="D261" s="28" t="s">
        <v>1209</v>
      </c>
      <c r="E261" s="28" t="s">
        <v>1703</v>
      </c>
      <c r="F261" s="28" t="s">
        <v>1688</v>
      </c>
      <c r="G261" s="28" t="s">
        <v>1177</v>
      </c>
      <c r="H261" s="26"/>
    </row>
    <row r="262">
      <c r="A262" s="16" t="s">
        <v>1182</v>
      </c>
      <c r="B262" s="21" t="s">
        <v>1951</v>
      </c>
      <c r="C262" s="21" t="s">
        <v>1356</v>
      </c>
      <c r="D262" s="21" t="s">
        <v>1883</v>
      </c>
      <c r="E262" s="21" t="s">
        <v>1883</v>
      </c>
      <c r="F262" s="21" t="s">
        <v>1883</v>
      </c>
      <c r="G262" s="21" t="s">
        <v>1177</v>
      </c>
      <c r="H262" s="26"/>
    </row>
    <row r="263">
      <c r="A263" s="16" t="s">
        <v>1186</v>
      </c>
      <c r="B263" s="28" t="s">
        <v>1256</v>
      </c>
      <c r="C263" s="28" t="s">
        <v>1249</v>
      </c>
      <c r="D263" s="28" t="s">
        <v>1235</v>
      </c>
      <c r="E263" s="28" t="s">
        <v>1248</v>
      </c>
      <c r="F263" s="28" t="s">
        <v>1235</v>
      </c>
      <c r="G263" s="28" t="s">
        <v>1177</v>
      </c>
      <c r="H263" s="26"/>
    </row>
    <row r="264">
      <c r="A264" s="20" t="s">
        <v>1188</v>
      </c>
      <c r="B264" s="21" t="s">
        <v>1990</v>
      </c>
      <c r="C264" s="21" t="s">
        <v>1868</v>
      </c>
      <c r="D264" s="21" t="s">
        <v>1776</v>
      </c>
      <c r="E264" s="21" t="s">
        <v>1991</v>
      </c>
      <c r="F264" s="21" t="s">
        <v>1737</v>
      </c>
      <c r="G264" s="21" t="s">
        <v>1177</v>
      </c>
      <c r="H264" s="26"/>
    </row>
    <row r="265">
      <c r="A265" s="29"/>
      <c r="B265" s="21" t="s">
        <v>1177</v>
      </c>
      <c r="C265" s="21" t="s">
        <v>1739</v>
      </c>
      <c r="D265" s="21" t="s">
        <v>1805</v>
      </c>
      <c r="E265" s="21" t="s">
        <v>1704</v>
      </c>
      <c r="F265" s="21" t="s">
        <v>1974</v>
      </c>
      <c r="G265" s="21" t="s">
        <v>1177</v>
      </c>
      <c r="H265" s="26"/>
    </row>
    <row r="266">
      <c r="A266" s="29"/>
      <c r="B266" s="21" t="s">
        <v>1177</v>
      </c>
      <c r="C266" s="21" t="s">
        <v>1992</v>
      </c>
      <c r="D266" s="21" t="s">
        <v>1192</v>
      </c>
      <c r="E266" s="21" t="s">
        <v>1993</v>
      </c>
      <c r="F266" s="21" t="s">
        <v>1805</v>
      </c>
      <c r="G266" s="21" t="s">
        <v>1177</v>
      </c>
      <c r="H266" s="26"/>
    </row>
    <row r="267">
      <c r="A267" s="24"/>
      <c r="B267" s="21" t="s">
        <v>1177</v>
      </c>
      <c r="C267" s="21" t="s">
        <v>1678</v>
      </c>
      <c r="D267" s="21" t="s">
        <v>1836</v>
      </c>
      <c r="E267" s="21" t="s">
        <v>1359</v>
      </c>
      <c r="F267" s="21" t="s">
        <v>1704</v>
      </c>
      <c r="G267" s="21" t="s">
        <v>1177</v>
      </c>
      <c r="H267" s="30"/>
      <c r="I267" s="14"/>
    </row>
    <row r="268">
      <c r="A268" s="16" t="s">
        <v>1174</v>
      </c>
      <c r="B268" s="17" t="s">
        <v>1994</v>
      </c>
      <c r="C268" s="18"/>
      <c r="D268" s="18"/>
      <c r="E268" s="18"/>
      <c r="F268" s="18"/>
      <c r="G268" s="18"/>
      <c r="H268" s="18"/>
      <c r="I268" s="16"/>
    </row>
    <row r="269" ht="60.0" customHeight="1">
      <c r="A269" s="20" t="s">
        <v>1176</v>
      </c>
      <c r="B269" s="21" t="str">
        <f t="array" ref="B269">iferror(VLOOKUP(INDIRECT(ADDRESS(ROW()+1,COLUMN(), 4)),Dex!$A$2:$C289,3,false),"")</f>
        <v/>
      </c>
      <c r="C269" s="21" t="str">
        <f t="array" ref="C269">iferror(VLOOKUP(INDIRECT(ADDRESS(ROW()+1,COLUMN(), 4)),Dex!$A$2:$C289,3,false),"")</f>
        <v/>
      </c>
      <c r="D269" s="21" t="str">
        <f t="array" ref="D269">iferror(VLOOKUP(INDIRECT(ADDRESS(ROW()+1,COLUMN(), 4)),Dex!$A$2:$C289,3,false),"")</f>
        <v/>
      </c>
      <c r="E269" s="21" t="str">
        <f t="array" ref="E269">iferror(VLOOKUP(INDIRECT(ADDRESS(ROW()+1,COLUMN(), 4)),Dex!$A$2:$C289,3,false),"")</f>
        <v/>
      </c>
      <c r="F269" s="21" t="str">
        <f t="array" ref="F269">iferror(VLOOKUP(INDIRECT(ADDRESS(ROW()+1,COLUMN(), 4)),Dex!$A$2:$C289,3,false),"")</f>
        <v/>
      </c>
      <c r="G269" s="21" t="s">
        <v>1177</v>
      </c>
      <c r="H269" s="22" t="str">
        <f t="array" ref="H269">iferror(VLOOKUP("TRAINER_PIC_COOLTRAINER_F",Sprites!$A$1:$B289,2,false),"")</f>
        <v/>
      </c>
      <c r="I269" s="23"/>
    </row>
    <row r="270">
      <c r="A270" s="24"/>
      <c r="B270" s="25" t="s">
        <v>524</v>
      </c>
      <c r="C270" s="25" t="s">
        <v>383</v>
      </c>
      <c r="D270" s="25" t="s">
        <v>405</v>
      </c>
      <c r="E270" s="25" t="s">
        <v>686</v>
      </c>
      <c r="F270" s="25" t="s">
        <v>158</v>
      </c>
      <c r="G270" s="25" t="s">
        <v>1177</v>
      </c>
      <c r="H270" s="26"/>
    </row>
    <row r="271">
      <c r="A271" s="16" t="s">
        <v>1178</v>
      </c>
      <c r="B271" s="27" t="s">
        <v>1989</v>
      </c>
      <c r="C271" s="27" t="s">
        <v>1956</v>
      </c>
      <c r="D271" s="27" t="s">
        <v>1956</v>
      </c>
      <c r="E271" s="27" t="s">
        <v>1956</v>
      </c>
      <c r="F271" s="27" t="s">
        <v>1956</v>
      </c>
      <c r="G271" s="21" t="s">
        <v>1177</v>
      </c>
      <c r="H271" s="26"/>
    </row>
    <row r="272">
      <c r="A272" s="16" t="s">
        <v>1181</v>
      </c>
      <c r="B272" s="28" t="s">
        <v>1882</v>
      </c>
      <c r="C272" s="28" t="s">
        <v>1246</v>
      </c>
      <c r="D272" s="28" t="s">
        <v>1247</v>
      </c>
      <c r="E272" s="28" t="s">
        <v>1209</v>
      </c>
      <c r="F272" s="28" t="s">
        <v>1995</v>
      </c>
      <c r="G272" s="28" t="s">
        <v>1177</v>
      </c>
      <c r="H272" s="26"/>
    </row>
    <row r="273">
      <c r="A273" s="16" t="s">
        <v>1182</v>
      </c>
      <c r="B273" s="21" t="s">
        <v>1938</v>
      </c>
      <c r="C273" s="21" t="s">
        <v>1996</v>
      </c>
      <c r="D273" s="21" t="s">
        <v>1429</v>
      </c>
      <c r="E273" s="21" t="s">
        <v>1420</v>
      </c>
      <c r="F273" s="21" t="s">
        <v>1692</v>
      </c>
      <c r="G273" s="21" t="s">
        <v>1177</v>
      </c>
      <c r="H273" s="26"/>
    </row>
    <row r="274">
      <c r="A274" s="16" t="s">
        <v>1186</v>
      </c>
      <c r="B274" s="28" t="s">
        <v>1235</v>
      </c>
      <c r="C274" s="28" t="s">
        <v>1235</v>
      </c>
      <c r="D274" s="28" t="s">
        <v>1235</v>
      </c>
      <c r="E274" s="28" t="s">
        <v>1248</v>
      </c>
      <c r="F274" s="28" t="s">
        <v>1235</v>
      </c>
      <c r="G274" s="28" t="s">
        <v>1177</v>
      </c>
      <c r="H274" s="26"/>
    </row>
    <row r="275">
      <c r="A275" s="20" t="s">
        <v>1188</v>
      </c>
      <c r="B275" s="21" t="s">
        <v>1438</v>
      </c>
      <c r="C275" s="21" t="s">
        <v>1997</v>
      </c>
      <c r="D275" s="21" t="s">
        <v>1998</v>
      </c>
      <c r="E275" s="21" t="s">
        <v>1874</v>
      </c>
      <c r="F275" s="21" t="s">
        <v>1999</v>
      </c>
      <c r="G275" s="21" t="s">
        <v>1177</v>
      </c>
      <c r="H275" s="26"/>
    </row>
    <row r="276">
      <c r="A276" s="29"/>
      <c r="B276" s="21" t="s">
        <v>1594</v>
      </c>
      <c r="C276" s="21" t="s">
        <v>1177</v>
      </c>
      <c r="D276" s="21" t="s">
        <v>1469</v>
      </c>
      <c r="E276" s="21" t="s">
        <v>1324</v>
      </c>
      <c r="F276" s="21" t="s">
        <v>1805</v>
      </c>
      <c r="G276" s="21" t="s">
        <v>1177</v>
      </c>
      <c r="H276" s="26"/>
    </row>
    <row r="277">
      <c r="A277" s="29"/>
      <c r="B277" s="21" t="s">
        <v>1469</v>
      </c>
      <c r="C277" s="21" t="s">
        <v>1177</v>
      </c>
      <c r="D277" s="21" t="s">
        <v>1359</v>
      </c>
      <c r="E277" s="21" t="s">
        <v>1425</v>
      </c>
      <c r="F277" s="21" t="s">
        <v>1466</v>
      </c>
      <c r="G277" s="21" t="s">
        <v>1177</v>
      </c>
      <c r="H277" s="26"/>
    </row>
    <row r="278">
      <c r="A278" s="24"/>
      <c r="B278" s="21" t="s">
        <v>1320</v>
      </c>
      <c r="C278" s="21" t="s">
        <v>1177</v>
      </c>
      <c r="D278" s="21" t="s">
        <v>1896</v>
      </c>
      <c r="E278" s="21" t="s">
        <v>1323</v>
      </c>
      <c r="F278" s="21" t="s">
        <v>1307</v>
      </c>
      <c r="G278" s="21" t="s">
        <v>1177</v>
      </c>
      <c r="H278" s="30"/>
      <c r="I278" s="14"/>
    </row>
    <row r="279">
      <c r="A279" s="16" t="s">
        <v>1174</v>
      </c>
      <c r="B279" s="17" t="s">
        <v>2000</v>
      </c>
      <c r="C279" s="18"/>
      <c r="D279" s="18"/>
      <c r="E279" s="18"/>
      <c r="F279" s="18"/>
      <c r="G279" s="18"/>
      <c r="H279" s="18"/>
      <c r="I279" s="16"/>
    </row>
    <row r="280" ht="60.0" customHeight="1">
      <c r="A280" s="20" t="s">
        <v>1176</v>
      </c>
      <c r="B280" s="21" t="str">
        <f t="array" ref="B280">iferror(VLOOKUP(INDIRECT(ADDRESS(ROW()+1,COLUMN(), 4)),Dex!$A$2:$C289,3,false),"")</f>
        <v/>
      </c>
      <c r="C280" s="21" t="str">
        <f t="array" ref="C280">iferror(VLOOKUP(INDIRECT(ADDRESS(ROW()+1,COLUMN(), 4)),Dex!$A$2:$C289,3,false),"")</f>
        <v/>
      </c>
      <c r="D280" s="21" t="str">
        <f t="array" ref="D280">iferror(VLOOKUP(INDIRECT(ADDRESS(ROW()+1,COLUMN(), 4)),Dex!$A$2:$C289,3,false),"")</f>
        <v/>
      </c>
      <c r="E280" s="21" t="str">
        <f t="array" ref="E280">iferror(VLOOKUP(INDIRECT(ADDRESS(ROW()+1,COLUMN(), 4)),Dex!$A$2:$C289,3,false),"")</f>
        <v/>
      </c>
      <c r="F280" s="21" t="str">
        <f t="array" ref="F280">iferror(VLOOKUP(INDIRECT(ADDRESS(ROW()+1,COLUMN(), 4)),Dex!$A$2:$C289,3,false),"")</f>
        <v/>
      </c>
      <c r="G280" s="21" t="str">
        <f t="array" ref="G280">iferror(VLOOKUP(INDIRECT(ADDRESS(ROW()+1,COLUMN(), 4)),Dex!$A$2:$C289,3,false),"")</f>
        <v/>
      </c>
      <c r="H280" s="22" t="str">
        <f t="array" ref="H280">iferror(VLOOKUP("TRAINER_PIC_LEADER_NORMAN",Sprites!$A$1:$B289,2,false),"")</f>
        <v/>
      </c>
      <c r="I280" s="23"/>
    </row>
    <row r="281">
      <c r="A281" s="24"/>
      <c r="B281" s="25" t="s">
        <v>319</v>
      </c>
      <c r="C281" s="25" t="s">
        <v>261</v>
      </c>
      <c r="D281" s="25" t="s">
        <v>831</v>
      </c>
      <c r="E281" s="25" t="s">
        <v>817</v>
      </c>
      <c r="F281" s="25" t="s">
        <v>732</v>
      </c>
      <c r="G281" s="25" t="s">
        <v>32</v>
      </c>
      <c r="H281" s="26"/>
    </row>
    <row r="282">
      <c r="A282" s="16" t="s">
        <v>1178</v>
      </c>
      <c r="B282" s="27" t="s">
        <v>1989</v>
      </c>
      <c r="C282" s="27" t="s">
        <v>1956</v>
      </c>
      <c r="D282" s="27" t="s">
        <v>1956</v>
      </c>
      <c r="E282" s="27" t="s">
        <v>1989</v>
      </c>
      <c r="F282" s="27" t="s">
        <v>2001</v>
      </c>
      <c r="G282" s="27" t="s">
        <v>2001</v>
      </c>
      <c r="H282" s="26"/>
    </row>
    <row r="283">
      <c r="A283" s="16" t="s">
        <v>1181</v>
      </c>
      <c r="B283" s="28" t="s">
        <v>1403</v>
      </c>
      <c r="C283" s="28" t="s">
        <v>1366</v>
      </c>
      <c r="D283" s="28" t="s">
        <v>1247</v>
      </c>
      <c r="E283" s="28" t="s">
        <v>1209</v>
      </c>
      <c r="F283" s="28" t="s">
        <v>2002</v>
      </c>
      <c r="G283" s="28" t="s">
        <v>2003</v>
      </c>
      <c r="H283" s="26"/>
    </row>
    <row r="284">
      <c r="A284" s="16" t="s">
        <v>1182</v>
      </c>
      <c r="B284" s="21" t="s">
        <v>1860</v>
      </c>
      <c r="C284" s="21" t="s">
        <v>2004</v>
      </c>
      <c r="D284" s="21" t="s">
        <v>2004</v>
      </c>
      <c r="E284" s="21" t="s">
        <v>1902</v>
      </c>
      <c r="F284" s="21" t="s">
        <v>1774</v>
      </c>
      <c r="G284" s="21" t="s">
        <v>1971</v>
      </c>
      <c r="H284" s="26"/>
    </row>
    <row r="285">
      <c r="A285" s="16" t="s">
        <v>1186</v>
      </c>
      <c r="B285" s="28" t="s">
        <v>1256</v>
      </c>
      <c r="C285" s="28" t="s">
        <v>1235</v>
      </c>
      <c r="D285" s="28" t="s">
        <v>1235</v>
      </c>
      <c r="E285" s="28" t="s">
        <v>1235</v>
      </c>
      <c r="F285" s="28" t="s">
        <v>1235</v>
      </c>
      <c r="G285" s="28" t="s">
        <v>1284</v>
      </c>
      <c r="H285" s="26"/>
    </row>
    <row r="286">
      <c r="A286" s="20" t="s">
        <v>1188</v>
      </c>
      <c r="B286" s="21" t="s">
        <v>1863</v>
      </c>
      <c r="C286" s="21" t="s">
        <v>1372</v>
      </c>
      <c r="D286" s="21" t="s">
        <v>1677</v>
      </c>
      <c r="E286" s="21" t="s">
        <v>1874</v>
      </c>
      <c r="F286" s="21" t="s">
        <v>1775</v>
      </c>
      <c r="G286" s="21" t="s">
        <v>1822</v>
      </c>
      <c r="H286" s="26"/>
    </row>
    <row r="287">
      <c r="A287" s="29"/>
      <c r="B287" s="21" t="s">
        <v>1468</v>
      </c>
      <c r="C287" s="21" t="s">
        <v>1834</v>
      </c>
      <c r="D287" s="21" t="s">
        <v>1407</v>
      </c>
      <c r="E287" s="21" t="s">
        <v>1407</v>
      </c>
      <c r="F287" s="21" t="s">
        <v>1273</v>
      </c>
      <c r="G287" s="21" t="s">
        <v>1778</v>
      </c>
      <c r="H287" s="26"/>
    </row>
    <row r="288">
      <c r="A288" s="29"/>
      <c r="B288" s="21" t="s">
        <v>1398</v>
      </c>
      <c r="C288" s="21" t="s">
        <v>1236</v>
      </c>
      <c r="D288" s="21" t="s">
        <v>1192</v>
      </c>
      <c r="E288" s="21" t="s">
        <v>1469</v>
      </c>
      <c r="F288" s="21" t="s">
        <v>1303</v>
      </c>
      <c r="G288" s="21" t="s">
        <v>1629</v>
      </c>
      <c r="H288" s="26"/>
    </row>
    <row r="289">
      <c r="A289" s="24"/>
      <c r="B289" s="21" t="s">
        <v>1262</v>
      </c>
      <c r="C289" s="21" t="s">
        <v>1407</v>
      </c>
      <c r="D289" s="21" t="s">
        <v>1732</v>
      </c>
      <c r="E289" s="21" t="s">
        <v>2005</v>
      </c>
      <c r="F289" s="21" t="s">
        <v>1440</v>
      </c>
      <c r="G289" s="21" t="s">
        <v>1470</v>
      </c>
      <c r="H289" s="30"/>
      <c r="I289" s="14"/>
    </row>
  </sheetData>
  <mergeCells count="107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3:A114"/>
    <mergeCell ref="A119:A122"/>
    <mergeCell ref="A124:A125"/>
    <mergeCell ref="A186:A189"/>
    <mergeCell ref="A191:A192"/>
    <mergeCell ref="A197:A200"/>
    <mergeCell ref="A203:A204"/>
    <mergeCell ref="A209:A212"/>
    <mergeCell ref="A214:A215"/>
    <mergeCell ref="A220:A223"/>
    <mergeCell ref="A264:A267"/>
    <mergeCell ref="A269:A270"/>
    <mergeCell ref="A275:A278"/>
    <mergeCell ref="A280:A281"/>
    <mergeCell ref="A286:A289"/>
    <mergeCell ref="A225:A226"/>
    <mergeCell ref="A231:A234"/>
    <mergeCell ref="A236:A237"/>
    <mergeCell ref="A242:A245"/>
    <mergeCell ref="A247:A248"/>
    <mergeCell ref="A253:A256"/>
    <mergeCell ref="A258:A259"/>
    <mergeCell ref="H91:I100"/>
    <mergeCell ref="H102:I111"/>
    <mergeCell ref="H113:I122"/>
    <mergeCell ref="H124:I133"/>
    <mergeCell ref="H135:I144"/>
    <mergeCell ref="H147:I156"/>
    <mergeCell ref="H158:I167"/>
    <mergeCell ref="H247:I256"/>
    <mergeCell ref="H258:I267"/>
    <mergeCell ref="H269:I278"/>
    <mergeCell ref="H280:I289"/>
    <mergeCell ref="H169:I178"/>
    <mergeCell ref="H180:I189"/>
    <mergeCell ref="H191:I200"/>
    <mergeCell ref="H203:I212"/>
    <mergeCell ref="H214:I223"/>
    <mergeCell ref="H225:I234"/>
    <mergeCell ref="H236:I245"/>
    <mergeCell ref="B246:H246"/>
    <mergeCell ref="B257:H257"/>
    <mergeCell ref="B268:H268"/>
    <mergeCell ref="B279:H279"/>
    <mergeCell ref="B179:H179"/>
    <mergeCell ref="B190:H190"/>
    <mergeCell ref="B201:H201"/>
    <mergeCell ref="B202:H202"/>
    <mergeCell ref="B213:H213"/>
    <mergeCell ref="B224:H224"/>
    <mergeCell ref="B235:H235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B35:H35"/>
    <mergeCell ref="B46:H46"/>
    <mergeCell ref="B57:H57"/>
    <mergeCell ref="B68:H68"/>
    <mergeCell ref="B79:H79"/>
    <mergeCell ref="B90:H90"/>
    <mergeCell ref="B101:H101"/>
    <mergeCell ref="A169:A170"/>
    <mergeCell ref="A175:A178"/>
    <mergeCell ref="A180:A181"/>
    <mergeCell ref="A130:A133"/>
    <mergeCell ref="A135:A136"/>
    <mergeCell ref="A141:A144"/>
    <mergeCell ref="A147:A148"/>
    <mergeCell ref="A153:A156"/>
    <mergeCell ref="A158:A159"/>
    <mergeCell ref="A164:A167"/>
    <mergeCell ref="B112:H112"/>
    <mergeCell ref="B123:H123"/>
    <mergeCell ref="B134:H134"/>
    <mergeCell ref="B145:H145"/>
    <mergeCell ref="B146:H146"/>
    <mergeCell ref="B157:H157"/>
    <mergeCell ref="B168:H16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38" t="s">
        <v>2006</v>
      </c>
      <c r="C1" s="14"/>
      <c r="D1" s="14"/>
      <c r="E1" s="14"/>
      <c r="F1" s="14"/>
      <c r="G1" s="14"/>
      <c r="H1" s="24"/>
      <c r="I1" s="41"/>
    </row>
    <row r="2">
      <c r="A2" s="16" t="s">
        <v>1174</v>
      </c>
      <c r="B2" s="17" t="s">
        <v>2007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4)),Dex!$A$2:$C725,3,false),"")</f>
        <v/>
      </c>
      <c r="C3" s="21" t="str">
        <f t="array" ref="C3">iferror(VLOOKUP(INDIRECT(ADDRESS(ROW()+1,COLUMN(), 4)),Dex!$A$2:$C725,3,false),"")</f>
        <v/>
      </c>
      <c r="D3" s="21" t="s">
        <v>1177</v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iferror(VLOOKUP("TRAINER_PIC_POKEFAN_M",Sprites!$A$1:$B725,2,false),"")</f>
        <v/>
      </c>
      <c r="I3" s="23"/>
    </row>
    <row r="4">
      <c r="A4" s="24"/>
      <c r="B4" s="25" t="s">
        <v>920</v>
      </c>
      <c r="C4" s="25" t="s">
        <v>746</v>
      </c>
      <c r="D4" s="25" t="s">
        <v>1177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1843</v>
      </c>
      <c r="C5" s="27" t="s">
        <v>1843</v>
      </c>
      <c r="D5" s="21" t="s">
        <v>1177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1209</v>
      </c>
      <c r="C6" s="28" t="s">
        <v>1209</v>
      </c>
      <c r="D6" s="28" t="s">
        <v>1177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1774</v>
      </c>
      <c r="C7" s="21" t="s">
        <v>1752</v>
      </c>
      <c r="D7" s="21" t="s">
        <v>1177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1249</v>
      </c>
      <c r="C8" s="28" t="s">
        <v>1249</v>
      </c>
      <c r="D8" s="28" t="s">
        <v>1177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1933</v>
      </c>
      <c r="C9" s="21" t="s">
        <v>1724</v>
      </c>
      <c r="D9" s="21" t="s">
        <v>1177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1671</v>
      </c>
      <c r="C10" s="21" t="s">
        <v>1415</v>
      </c>
      <c r="D10" s="21" t="s">
        <v>1177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1273</v>
      </c>
      <c r="C11" s="21" t="s">
        <v>1662</v>
      </c>
      <c r="D11" s="21" t="s">
        <v>1177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2008</v>
      </c>
      <c r="C12" s="21" t="s">
        <v>1377</v>
      </c>
      <c r="D12" s="21" t="s">
        <v>1177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2009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4)),Dex!$A$2:$C725,3,false),"")</f>
        <v/>
      </c>
      <c r="C14" s="21" t="str">
        <f t="array" ref="C14">iferror(VLOOKUP(INDIRECT(ADDRESS(ROW()+1,COLUMN(), 4)),Dex!$A$2:$C725,3,false),"")</f>
        <v/>
      </c>
      <c r="D14" s="21" t="str">
        <f t="array" ref="D14">iferror(VLOOKUP(INDIRECT(ADDRESS(ROW()+1,COLUMN(), 4)),Dex!$A$2:$C725,3,false),"")</f>
        <v/>
      </c>
      <c r="E14" s="21" t="s">
        <v>1177</v>
      </c>
      <c r="F14" s="21" t="s">
        <v>1177</v>
      </c>
      <c r="G14" s="21" t="s">
        <v>1177</v>
      </c>
      <c r="H14" s="22" t="str">
        <f t="array" ref="H14">iferror(VLOOKUP("TRAINER_PIC_POKEFAN_F",Sprites!$A$1:$B725,2,false),"")</f>
        <v/>
      </c>
      <c r="I14" s="23"/>
    </row>
    <row r="15">
      <c r="A15" s="24"/>
      <c r="B15" s="25" t="s">
        <v>581</v>
      </c>
      <c r="C15" s="25" t="s">
        <v>1090</v>
      </c>
      <c r="D15" s="25" t="s">
        <v>689</v>
      </c>
      <c r="E15" s="25" t="s">
        <v>1177</v>
      </c>
      <c r="F15" s="25" t="s">
        <v>1177</v>
      </c>
      <c r="G15" s="25" t="s">
        <v>1177</v>
      </c>
      <c r="H15" s="26"/>
    </row>
    <row r="16">
      <c r="A16" s="16" t="s">
        <v>1178</v>
      </c>
      <c r="B16" s="27" t="s">
        <v>1843</v>
      </c>
      <c r="C16" s="27" t="s">
        <v>2010</v>
      </c>
      <c r="D16" s="27" t="s">
        <v>1843</v>
      </c>
      <c r="E16" s="21" t="s">
        <v>1177</v>
      </c>
      <c r="F16" s="21" t="s">
        <v>1177</v>
      </c>
      <c r="G16" s="21" t="s">
        <v>1177</v>
      </c>
      <c r="H16" s="26"/>
    </row>
    <row r="17">
      <c r="A17" s="16" t="s">
        <v>1181</v>
      </c>
      <c r="B17" s="28" t="s">
        <v>1209</v>
      </c>
      <c r="C17" s="28" t="s">
        <v>1295</v>
      </c>
      <c r="D17" s="28" t="s">
        <v>1209</v>
      </c>
      <c r="E17" s="28" t="s">
        <v>1177</v>
      </c>
      <c r="F17" s="28" t="s">
        <v>1177</v>
      </c>
      <c r="G17" s="28" t="s">
        <v>1177</v>
      </c>
      <c r="H17" s="26"/>
    </row>
    <row r="18">
      <c r="A18" s="16" t="s">
        <v>1182</v>
      </c>
      <c r="B18" s="21" t="s">
        <v>2011</v>
      </c>
      <c r="C18" s="21" t="s">
        <v>1826</v>
      </c>
      <c r="D18" s="21" t="s">
        <v>1462</v>
      </c>
      <c r="E18" s="21" t="s">
        <v>1177</v>
      </c>
      <c r="F18" s="21" t="s">
        <v>1177</v>
      </c>
      <c r="G18" s="21" t="s">
        <v>1177</v>
      </c>
      <c r="H18" s="26"/>
    </row>
    <row r="19">
      <c r="A19" s="16" t="s">
        <v>1186</v>
      </c>
      <c r="B19" s="28" t="s">
        <v>1249</v>
      </c>
      <c r="C19" s="28" t="s">
        <v>1406</v>
      </c>
      <c r="D19" s="28" t="s">
        <v>1284</v>
      </c>
      <c r="E19" s="28" t="s">
        <v>1177</v>
      </c>
      <c r="F19" s="28" t="s">
        <v>1177</v>
      </c>
      <c r="G19" s="28" t="s">
        <v>1177</v>
      </c>
      <c r="H19" s="26"/>
    </row>
    <row r="20">
      <c r="A20" s="20" t="s">
        <v>1188</v>
      </c>
      <c r="B20" s="21" t="s">
        <v>1646</v>
      </c>
      <c r="C20" s="21" t="s">
        <v>1827</v>
      </c>
      <c r="D20" s="21" t="s">
        <v>1618</v>
      </c>
      <c r="E20" s="21" t="s">
        <v>1177</v>
      </c>
      <c r="F20" s="21" t="s">
        <v>1177</v>
      </c>
      <c r="G20" s="21" t="s">
        <v>1177</v>
      </c>
      <c r="H20" s="26"/>
    </row>
    <row r="21">
      <c r="A21" s="29"/>
      <c r="B21" s="21" t="s">
        <v>1468</v>
      </c>
      <c r="C21" s="21" t="s">
        <v>1585</v>
      </c>
      <c r="D21" s="21" t="s">
        <v>1793</v>
      </c>
      <c r="E21" s="21" t="s">
        <v>1177</v>
      </c>
      <c r="F21" s="21" t="s">
        <v>1177</v>
      </c>
      <c r="G21" s="21" t="s">
        <v>1177</v>
      </c>
      <c r="H21" s="26"/>
    </row>
    <row r="22">
      <c r="A22" s="29"/>
      <c r="B22" s="21" t="s">
        <v>1651</v>
      </c>
      <c r="C22" s="21" t="s">
        <v>1818</v>
      </c>
      <c r="D22" s="21" t="s">
        <v>1350</v>
      </c>
      <c r="E22" s="21" t="s">
        <v>1177</v>
      </c>
      <c r="F22" s="21" t="s">
        <v>1177</v>
      </c>
      <c r="G22" s="21" t="s">
        <v>1177</v>
      </c>
      <c r="H22" s="26"/>
    </row>
    <row r="23">
      <c r="A23" s="24"/>
      <c r="B23" s="21" t="s">
        <v>1677</v>
      </c>
      <c r="C23" s="21" t="s">
        <v>1389</v>
      </c>
      <c r="D23" s="21" t="s">
        <v>1362</v>
      </c>
      <c r="E23" s="21" t="s">
        <v>1177</v>
      </c>
      <c r="F23" s="21" t="s">
        <v>1177</v>
      </c>
      <c r="G23" s="21" t="s">
        <v>1177</v>
      </c>
      <c r="H23" s="30"/>
      <c r="I23" s="14"/>
    </row>
    <row r="24">
      <c r="A24" s="16" t="s">
        <v>1174</v>
      </c>
      <c r="B24" s="17" t="s">
        <v>2012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4)),Dex!$A$2:$C725,3,false),"")</f>
        <v/>
      </c>
      <c r="C25" s="21" t="str">
        <f t="array" ref="C25">iferror(VLOOKUP(INDIRECT(ADDRESS(ROW()+1,COLUMN(), 4)),Dex!$A$2:$C725,3,false),"")</f>
        <v/>
      </c>
      <c r="D25" s="21" t="str">
        <f t="array" ref="D25">iferror(VLOOKUP(INDIRECT(ADDRESS(ROW()+1,COLUMN(), 4)),Dex!$A$2:$C725,3,false),"")</f>
        <v/>
      </c>
      <c r="E25" s="21" t="s">
        <v>1177</v>
      </c>
      <c r="F25" s="21" t="s">
        <v>1177</v>
      </c>
      <c r="G25" s="21" t="s">
        <v>1177</v>
      </c>
      <c r="H25" s="22" t="str">
        <f t="array" ref="H25">iferror(VLOOKUP("TRAINER_PIC_LASS",Sprites!$A$1:$B725,2,false),"")</f>
        <v/>
      </c>
      <c r="I25" s="23"/>
    </row>
    <row r="26">
      <c r="A26" s="24"/>
      <c r="B26" s="25" t="s">
        <v>935</v>
      </c>
      <c r="C26" s="25" t="s">
        <v>431</v>
      </c>
      <c r="D26" s="25" t="s">
        <v>262</v>
      </c>
      <c r="E26" s="25" t="s">
        <v>1177</v>
      </c>
      <c r="F26" s="25" t="s">
        <v>1177</v>
      </c>
      <c r="G26" s="25" t="s">
        <v>1177</v>
      </c>
      <c r="H26" s="26"/>
    </row>
    <row r="27">
      <c r="A27" s="16" t="s">
        <v>1178</v>
      </c>
      <c r="B27" s="27" t="s">
        <v>2010</v>
      </c>
      <c r="C27" s="27" t="s">
        <v>1843</v>
      </c>
      <c r="D27" s="27" t="s">
        <v>1843</v>
      </c>
      <c r="E27" s="21" t="s">
        <v>1177</v>
      </c>
      <c r="F27" s="21" t="s">
        <v>1177</v>
      </c>
      <c r="G27" s="21" t="s">
        <v>1177</v>
      </c>
      <c r="H27" s="26"/>
    </row>
    <row r="28">
      <c r="A28" s="16" t="s">
        <v>1181</v>
      </c>
      <c r="B28" s="28" t="s">
        <v>1247</v>
      </c>
      <c r="C28" s="28" t="s">
        <v>1209</v>
      </c>
      <c r="D28" s="28" t="s">
        <v>1209</v>
      </c>
      <c r="E28" s="28" t="s">
        <v>1177</v>
      </c>
      <c r="F28" s="28" t="s">
        <v>1177</v>
      </c>
      <c r="G28" s="28" t="s">
        <v>1177</v>
      </c>
      <c r="H28" s="26"/>
    </row>
    <row r="29">
      <c r="A29" s="16" t="s">
        <v>1182</v>
      </c>
      <c r="B29" s="21" t="s">
        <v>1342</v>
      </c>
      <c r="C29" s="21" t="s">
        <v>1368</v>
      </c>
      <c r="D29" s="21" t="s">
        <v>1692</v>
      </c>
      <c r="E29" s="21" t="s">
        <v>1177</v>
      </c>
      <c r="F29" s="21" t="s">
        <v>1177</v>
      </c>
      <c r="G29" s="21" t="s">
        <v>1177</v>
      </c>
      <c r="H29" s="26"/>
    </row>
    <row r="30">
      <c r="A30" s="16" t="s">
        <v>1186</v>
      </c>
      <c r="B30" s="28" t="s">
        <v>1284</v>
      </c>
      <c r="C30" s="28" t="s">
        <v>1249</v>
      </c>
      <c r="D30" s="28" t="s">
        <v>1248</v>
      </c>
      <c r="E30" s="28" t="s">
        <v>1177</v>
      </c>
      <c r="F30" s="28" t="s">
        <v>1177</v>
      </c>
      <c r="G30" s="28" t="s">
        <v>1177</v>
      </c>
      <c r="H30" s="26"/>
    </row>
    <row r="31">
      <c r="A31" s="20" t="s">
        <v>1188</v>
      </c>
      <c r="B31" s="21" t="s">
        <v>1605</v>
      </c>
      <c r="C31" s="21" t="s">
        <v>1712</v>
      </c>
      <c r="D31" s="21" t="s">
        <v>1974</v>
      </c>
      <c r="E31" s="21" t="s">
        <v>1177</v>
      </c>
      <c r="F31" s="21" t="s">
        <v>1177</v>
      </c>
      <c r="G31" s="21" t="s">
        <v>1177</v>
      </c>
      <c r="H31" s="26"/>
    </row>
    <row r="32">
      <c r="A32" s="29"/>
      <c r="B32" s="21" t="s">
        <v>1587</v>
      </c>
      <c r="C32" s="21" t="s">
        <v>1697</v>
      </c>
      <c r="D32" s="21" t="s">
        <v>1805</v>
      </c>
      <c r="E32" s="21" t="s">
        <v>1177</v>
      </c>
      <c r="F32" s="21" t="s">
        <v>1177</v>
      </c>
      <c r="G32" s="21" t="s">
        <v>1177</v>
      </c>
      <c r="H32" s="26"/>
    </row>
    <row r="33">
      <c r="A33" s="29"/>
      <c r="B33" s="21" t="s">
        <v>1371</v>
      </c>
      <c r="C33" s="21" t="s">
        <v>1740</v>
      </c>
      <c r="D33" s="21" t="s">
        <v>1646</v>
      </c>
      <c r="E33" s="21" t="s">
        <v>1177</v>
      </c>
      <c r="F33" s="21" t="s">
        <v>1177</v>
      </c>
      <c r="G33" s="21" t="s">
        <v>1177</v>
      </c>
      <c r="H33" s="26"/>
    </row>
    <row r="34">
      <c r="A34" s="24"/>
      <c r="B34" s="21" t="s">
        <v>1277</v>
      </c>
      <c r="C34" s="21" t="s">
        <v>1377</v>
      </c>
      <c r="D34" s="21" t="s">
        <v>1696</v>
      </c>
      <c r="E34" s="21" t="s">
        <v>1177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2013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4)),Dex!$A$2:$C725,3,false),"")</f>
        <v/>
      </c>
      <c r="C36" s="21" t="str">
        <f t="array" ref="C36">iferror(VLOOKUP(INDIRECT(ADDRESS(ROW()+1,COLUMN(), 4)),Dex!$A$2:$C725,3,false),"")</f>
        <v/>
      </c>
      <c r="D36" s="21" t="s">
        <v>1177</v>
      </c>
      <c r="E36" s="21" t="s">
        <v>1177</v>
      </c>
      <c r="F36" s="21" t="s">
        <v>1177</v>
      </c>
      <c r="G36" s="21" t="s">
        <v>1177</v>
      </c>
      <c r="H36" s="22" t="str">
        <f t="array" ref="H36">iferror(VLOOKUP("TRAINER_PIC_EXPERT_F",Sprites!$A$1:$B725,2,false),"")</f>
        <v/>
      </c>
      <c r="I36" s="23"/>
    </row>
    <row r="37">
      <c r="A37" s="24"/>
      <c r="B37" s="25" t="s">
        <v>406</v>
      </c>
      <c r="C37" s="25" t="s">
        <v>706</v>
      </c>
      <c r="D37" s="25" t="s">
        <v>1177</v>
      </c>
      <c r="E37" s="25" t="s">
        <v>1177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2010</v>
      </c>
      <c r="C38" s="27" t="s">
        <v>2010</v>
      </c>
      <c r="D38" s="21" t="s">
        <v>1177</v>
      </c>
      <c r="E38" s="21" t="s">
        <v>1177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2014</v>
      </c>
      <c r="C39" s="28" t="s">
        <v>1209</v>
      </c>
      <c r="D39" s="28" t="s">
        <v>1177</v>
      </c>
      <c r="E39" s="28" t="s">
        <v>1177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1429</v>
      </c>
      <c r="C40" s="21" t="s">
        <v>2015</v>
      </c>
      <c r="D40" s="21" t="s">
        <v>1177</v>
      </c>
      <c r="E40" s="21" t="s">
        <v>1177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1235</v>
      </c>
      <c r="C41" s="28" t="s">
        <v>1235</v>
      </c>
      <c r="D41" s="28" t="s">
        <v>1177</v>
      </c>
      <c r="E41" s="28" t="s">
        <v>1177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1998</v>
      </c>
      <c r="C42" s="21" t="s">
        <v>1677</v>
      </c>
      <c r="D42" s="21" t="s">
        <v>1177</v>
      </c>
      <c r="E42" s="21" t="s">
        <v>1177</v>
      </c>
      <c r="F42" s="21" t="s">
        <v>1177</v>
      </c>
      <c r="G42" s="21" t="s">
        <v>1177</v>
      </c>
      <c r="H42" s="26"/>
    </row>
    <row r="43">
      <c r="A43" s="29"/>
      <c r="B43" s="21" t="s">
        <v>1469</v>
      </c>
      <c r="C43" s="21" t="s">
        <v>1594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1425</v>
      </c>
      <c r="C44" s="21" t="s">
        <v>1336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4"/>
      <c r="B45" s="21" t="s">
        <v>1225</v>
      </c>
      <c r="C45" s="21" t="s">
        <v>1817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30"/>
      <c r="I45" s="14"/>
    </row>
    <row r="46">
      <c r="A46" s="37"/>
      <c r="B46" s="38" t="s">
        <v>1807</v>
      </c>
      <c r="C46" s="14"/>
      <c r="D46" s="14"/>
      <c r="E46" s="14"/>
      <c r="F46" s="14"/>
      <c r="G46" s="14"/>
      <c r="H46" s="24"/>
      <c r="I46" s="41"/>
    </row>
    <row r="47">
      <c r="A47" s="16" t="s">
        <v>1174</v>
      </c>
      <c r="B47" s="17" t="s">
        <v>2016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4)),Dex!$A$2:$C725,3,false),"")</f>
        <v/>
      </c>
      <c r="C48" s="21" t="str">
        <f t="array" ref="C48">iferror(VLOOKUP(INDIRECT(ADDRESS(ROW()+1,COLUMN(), 4)),Dex!$A$2:$C725,3,false),"")</f>
        <v/>
      </c>
      <c r="D48" s="21" t="str">
        <f t="array" ref="D48">iferror(VLOOKUP(INDIRECT(ADDRESS(ROW()+1,COLUMN(), 4)),Dex!$A$2:$C725,3,false),"")</f>
        <v/>
      </c>
      <c r="E48" s="21" t="s">
        <v>1177</v>
      </c>
      <c r="F48" s="21" t="s">
        <v>1177</v>
      </c>
      <c r="G48" s="21" t="s">
        <v>1177</v>
      </c>
      <c r="H48" s="22" t="str">
        <f t="array" ref="H48">iferror(VLOOKUP("TRAINER_PIC_PICNICKER",Sprites!$A$1:$B725,2,false),"")</f>
        <v/>
      </c>
      <c r="I48" s="23"/>
    </row>
    <row r="49">
      <c r="A49" s="24"/>
      <c r="B49" s="25" t="s">
        <v>694</v>
      </c>
      <c r="C49" s="25" t="s">
        <v>58</v>
      </c>
      <c r="D49" s="25" t="s">
        <v>659</v>
      </c>
      <c r="E49" s="25" t="s">
        <v>1177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2017</v>
      </c>
      <c r="C50" s="27" t="s">
        <v>2010</v>
      </c>
      <c r="D50" s="27" t="s">
        <v>2017</v>
      </c>
      <c r="E50" s="21" t="s">
        <v>1177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1247</v>
      </c>
      <c r="C51" s="28" t="s">
        <v>1295</v>
      </c>
      <c r="D51" s="28" t="s">
        <v>1345</v>
      </c>
      <c r="E51" s="28" t="s">
        <v>1177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1445</v>
      </c>
      <c r="C52" s="21" t="s">
        <v>1604</v>
      </c>
      <c r="D52" s="21" t="s">
        <v>1722</v>
      </c>
      <c r="E52" s="21" t="s">
        <v>1177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1235</v>
      </c>
      <c r="C53" s="28" t="s">
        <v>1257</v>
      </c>
      <c r="D53" s="28" t="s">
        <v>1248</v>
      </c>
      <c r="E53" s="28" t="s">
        <v>1177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1816</v>
      </c>
      <c r="C54" s="21" t="s">
        <v>1815</v>
      </c>
      <c r="D54" s="21" t="s">
        <v>1466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1586</v>
      </c>
      <c r="C55" s="21" t="s">
        <v>1878</v>
      </c>
      <c r="D55" s="21" t="s">
        <v>1407</v>
      </c>
      <c r="E55" s="21" t="s">
        <v>1177</v>
      </c>
      <c r="F55" s="21" t="s">
        <v>1177</v>
      </c>
      <c r="G55" s="21" t="s">
        <v>1177</v>
      </c>
      <c r="H55" s="26"/>
    </row>
    <row r="56">
      <c r="A56" s="29"/>
      <c r="B56" s="21" t="s">
        <v>1252</v>
      </c>
      <c r="C56" s="21" t="s">
        <v>1896</v>
      </c>
      <c r="D56" s="21" t="s">
        <v>1372</v>
      </c>
      <c r="E56" s="21" t="s">
        <v>1177</v>
      </c>
      <c r="F56" s="21" t="s">
        <v>1177</v>
      </c>
      <c r="G56" s="21" t="s">
        <v>1177</v>
      </c>
      <c r="H56" s="26"/>
    </row>
    <row r="57">
      <c r="A57" s="24"/>
      <c r="B57" s="21" t="s">
        <v>1378</v>
      </c>
      <c r="C57" s="21" t="s">
        <v>1980</v>
      </c>
      <c r="D57" s="21" t="s">
        <v>1411</v>
      </c>
      <c r="E57" s="21" t="s">
        <v>1177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2018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4)),Dex!$A$2:$C725,3,false),"")</f>
        <v/>
      </c>
      <c r="C59" s="21" t="str">
        <f t="array" ref="C59">iferror(VLOOKUP(INDIRECT(ADDRESS(ROW()+1,COLUMN(), 4)),Dex!$A$2:$C725,3,false),"")</f>
        <v/>
      </c>
      <c r="D59" s="21" t="str">
        <f t="array" ref="D59">iferror(VLOOKUP(INDIRECT(ADDRESS(ROW()+1,COLUMN(), 4)),Dex!$A$2:$C725,3,false),"")</f>
        <v/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iferror(VLOOKUP("TRAINER_PIC_CAMPER",Sprites!$A$1:$B725,2,false),"")</f>
        <v/>
      </c>
      <c r="I59" s="23"/>
    </row>
    <row r="60">
      <c r="A60" s="24"/>
      <c r="B60" s="25" t="s">
        <v>713</v>
      </c>
      <c r="C60" s="25" t="s">
        <v>716</v>
      </c>
      <c r="D60" s="25" t="s">
        <v>305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2010</v>
      </c>
      <c r="C61" s="27" t="s">
        <v>2010</v>
      </c>
      <c r="D61" s="27" t="s">
        <v>2017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1209</v>
      </c>
      <c r="C62" s="28" t="s">
        <v>1295</v>
      </c>
      <c r="D62" s="28" t="s">
        <v>1403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1296</v>
      </c>
      <c r="C63" s="21" t="s">
        <v>1604</v>
      </c>
      <c r="D63" s="21" t="s">
        <v>1748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1406</v>
      </c>
      <c r="C64" s="28" t="s">
        <v>1284</v>
      </c>
      <c r="D64" s="28" t="s">
        <v>1406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1678</v>
      </c>
      <c r="C65" s="21" t="s">
        <v>1731</v>
      </c>
      <c r="D65" s="21" t="s">
        <v>1677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1586</v>
      </c>
      <c r="C66" s="21" t="s">
        <v>1619</v>
      </c>
      <c r="D66" s="21" t="s">
        <v>1920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1677</v>
      </c>
      <c r="C67" s="21" t="s">
        <v>1629</v>
      </c>
      <c r="D67" s="21" t="s">
        <v>1761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2019</v>
      </c>
      <c r="C68" s="21" t="s">
        <v>1371</v>
      </c>
      <c r="D68" s="21" t="s">
        <v>1473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2020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4)),Dex!$A$2:$C725,3,false),"")</f>
        <v/>
      </c>
      <c r="C70" s="21" t="str">
        <f t="array" ref="C70">iferror(VLOOKUP(INDIRECT(ADDRESS(ROW()+1,COLUMN(), 4)),Dex!$A$2:$C725,3,false),"")</f>
        <v/>
      </c>
      <c r="D70" s="21" t="s">
        <v>1177</v>
      </c>
      <c r="E70" s="21" t="str">
        <f t="array" ref="E70">iferror(VLOOKUP(INDIRECT(ADDRESS(ROW()+1,COLUMN(), 4)),Dex!$A$2:$C725,3,false),"")</f>
        <v/>
      </c>
      <c r="F70" s="21" t="str">
        <f t="array" ref="F70">iferror(VLOOKUP(INDIRECT(ADDRESS(ROW()+1,COLUMN(), 4)),Dex!$A$2:$C725,3,false),"")</f>
        <v/>
      </c>
      <c r="G70" s="21" t="s">
        <v>1177</v>
      </c>
      <c r="H70" s="22" t="str">
        <f t="array" ref="H70">iferror(VLOOKUP("TRAINER_PIC_PICNICKER",Sprites!$A$1:$B725,2,false),"")</f>
        <v/>
      </c>
      <c r="I70" s="23"/>
    </row>
    <row r="71">
      <c r="A71" s="24"/>
      <c r="B71" s="25" t="s">
        <v>677</v>
      </c>
      <c r="C71" s="25" t="s">
        <v>56</v>
      </c>
      <c r="D71" s="25" t="s">
        <v>1177</v>
      </c>
      <c r="E71" s="25" t="s">
        <v>711</v>
      </c>
      <c r="F71" s="25" t="s">
        <v>540</v>
      </c>
      <c r="G71" s="25" t="s">
        <v>1177</v>
      </c>
      <c r="H71" s="26"/>
    </row>
    <row r="72">
      <c r="A72" s="16" t="s">
        <v>1178</v>
      </c>
      <c r="B72" s="27" t="s">
        <v>2017</v>
      </c>
      <c r="C72" s="27" t="s">
        <v>2017</v>
      </c>
      <c r="D72" s="21" t="s">
        <v>1177</v>
      </c>
      <c r="E72" s="27" t="s">
        <v>2017</v>
      </c>
      <c r="F72" s="27" t="s">
        <v>2017</v>
      </c>
      <c r="G72" s="21" t="s">
        <v>1177</v>
      </c>
      <c r="H72" s="26"/>
    </row>
    <row r="73">
      <c r="A73" s="16" t="s">
        <v>1181</v>
      </c>
      <c r="B73" s="28" t="s">
        <v>1366</v>
      </c>
      <c r="C73" s="28" t="s">
        <v>1209</v>
      </c>
      <c r="D73" s="28" t="s">
        <v>1177</v>
      </c>
      <c r="E73" s="28" t="s">
        <v>1366</v>
      </c>
      <c r="F73" s="28" t="s">
        <v>1333</v>
      </c>
      <c r="G73" s="28" t="s">
        <v>1177</v>
      </c>
      <c r="H73" s="26"/>
    </row>
    <row r="74">
      <c r="A74" s="16" t="s">
        <v>1182</v>
      </c>
      <c r="B74" s="21" t="s">
        <v>1783</v>
      </c>
      <c r="C74" s="21" t="s">
        <v>1938</v>
      </c>
      <c r="D74" s="21" t="s">
        <v>1177</v>
      </c>
      <c r="E74" s="21" t="s">
        <v>1694</v>
      </c>
      <c r="F74" s="21" t="s">
        <v>1694</v>
      </c>
      <c r="G74" s="21" t="s">
        <v>1177</v>
      </c>
      <c r="H74" s="26"/>
    </row>
    <row r="75">
      <c r="A75" s="16" t="s">
        <v>1186</v>
      </c>
      <c r="B75" s="28" t="s">
        <v>1248</v>
      </c>
      <c r="C75" s="28" t="s">
        <v>1249</v>
      </c>
      <c r="D75" s="28" t="s">
        <v>1177</v>
      </c>
      <c r="E75" s="28" t="s">
        <v>1284</v>
      </c>
      <c r="F75" s="28" t="s">
        <v>1257</v>
      </c>
      <c r="G75" s="28" t="s">
        <v>1177</v>
      </c>
      <c r="H75" s="26"/>
    </row>
    <row r="76">
      <c r="A76" s="20" t="s">
        <v>1188</v>
      </c>
      <c r="B76" s="21" t="s">
        <v>1678</v>
      </c>
      <c r="C76" s="21" t="s">
        <v>1772</v>
      </c>
      <c r="D76" s="21" t="s">
        <v>1177</v>
      </c>
      <c r="E76" s="21" t="s">
        <v>1371</v>
      </c>
      <c r="F76" s="21" t="s">
        <v>1618</v>
      </c>
      <c r="G76" s="21" t="s">
        <v>1177</v>
      </c>
      <c r="H76" s="26"/>
    </row>
    <row r="77">
      <c r="A77" s="29"/>
      <c r="B77" s="21" t="s">
        <v>1438</v>
      </c>
      <c r="C77" s="21" t="s">
        <v>1749</v>
      </c>
      <c r="D77" s="21" t="s">
        <v>1177</v>
      </c>
      <c r="E77" s="21" t="s">
        <v>2021</v>
      </c>
      <c r="F77" s="21" t="s">
        <v>1793</v>
      </c>
      <c r="G77" s="21" t="s">
        <v>1177</v>
      </c>
      <c r="H77" s="26"/>
    </row>
    <row r="78">
      <c r="A78" s="29"/>
      <c r="B78" s="21" t="s">
        <v>1804</v>
      </c>
      <c r="C78" s="21" t="s">
        <v>1724</v>
      </c>
      <c r="D78" s="21" t="s">
        <v>1177</v>
      </c>
      <c r="E78" s="21" t="s">
        <v>2022</v>
      </c>
      <c r="F78" s="21" t="s">
        <v>1468</v>
      </c>
      <c r="G78" s="21" t="s">
        <v>1177</v>
      </c>
      <c r="H78" s="26"/>
    </row>
    <row r="79">
      <c r="A79" s="24"/>
      <c r="B79" s="21" t="s">
        <v>1699</v>
      </c>
      <c r="C79" s="21" t="s">
        <v>1740</v>
      </c>
      <c r="D79" s="21" t="s">
        <v>1177</v>
      </c>
      <c r="E79" s="21" t="s">
        <v>2023</v>
      </c>
      <c r="F79" s="21" t="s">
        <v>1398</v>
      </c>
      <c r="G79" s="21" t="s">
        <v>1177</v>
      </c>
      <c r="H79" s="30"/>
      <c r="I79" s="14"/>
    </row>
    <row r="80">
      <c r="A80" s="16" t="s">
        <v>1174</v>
      </c>
      <c r="B80" s="17" t="s">
        <v>2024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4)),Dex!$A$2:$C725,3,false),"")</f>
        <v/>
      </c>
      <c r="C81" s="21" t="str">
        <f t="array" ref="C81">iferror(VLOOKUP(INDIRECT(ADDRESS(ROW()+1,COLUMN(), 4)),Dex!$A$2:$C725,3,false),"")</f>
        <v/>
      </c>
      <c r="D81" s="21" t="str">
        <f t="array" ref="D81">iferror(VLOOKUP(INDIRECT(ADDRESS(ROW()+1,COLUMN(), 4)),Dex!$A$2:$C725,3,false),"")</f>
        <v/>
      </c>
      <c r="E81" s="21" t="str">
        <f t="array" ref="E81">iferror(VLOOKUP(INDIRECT(ADDRESS(ROW()+1,COLUMN(), 4)),Dex!$A$2:$C725,3,false),"")</f>
        <v/>
      </c>
      <c r="F81" s="21" t="s">
        <v>1177</v>
      </c>
      <c r="G81" s="21" t="s">
        <v>1177</v>
      </c>
      <c r="H81" s="22" t="str">
        <f t="array" ref="H81">iferror(VLOOKUP("TRAINER_PIC_CAMPER",Sprites!$A$1:$B725,2,false),"")</f>
        <v/>
      </c>
      <c r="I81" s="23"/>
    </row>
    <row r="82">
      <c r="A82" s="24"/>
      <c r="B82" s="25" t="s">
        <v>312</v>
      </c>
      <c r="C82" s="25" t="s">
        <v>504</v>
      </c>
      <c r="D82" s="25" t="s">
        <v>955</v>
      </c>
      <c r="E82" s="25" t="s">
        <v>586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2017</v>
      </c>
      <c r="C83" s="27" t="s">
        <v>2010</v>
      </c>
      <c r="D83" s="27" t="s">
        <v>2010</v>
      </c>
      <c r="E83" s="27" t="s">
        <v>2010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2025</v>
      </c>
      <c r="C84" s="28" t="s">
        <v>1295</v>
      </c>
      <c r="D84" s="28" t="s">
        <v>1295</v>
      </c>
      <c r="E84" s="28" t="s">
        <v>1295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1199</v>
      </c>
      <c r="C85" s="21" t="s">
        <v>1692</v>
      </c>
      <c r="D85" s="21" t="s">
        <v>1404</v>
      </c>
      <c r="E85" s="21" t="s">
        <v>1382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1235</v>
      </c>
      <c r="C86" s="28" t="s">
        <v>1235</v>
      </c>
      <c r="D86" s="28" t="s">
        <v>1235</v>
      </c>
      <c r="E86" s="28" t="s">
        <v>1406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1415</v>
      </c>
      <c r="C87" s="21" t="s">
        <v>1646</v>
      </c>
      <c r="D87" s="21" t="s">
        <v>1407</v>
      </c>
      <c r="E87" s="21" t="s">
        <v>1772</v>
      </c>
      <c r="F87" s="21" t="s">
        <v>1177</v>
      </c>
      <c r="G87" s="21" t="s">
        <v>1177</v>
      </c>
      <c r="H87" s="26"/>
    </row>
    <row r="88">
      <c r="A88" s="29"/>
      <c r="B88" s="21" t="s">
        <v>1804</v>
      </c>
      <c r="C88" s="21" t="s">
        <v>1677</v>
      </c>
      <c r="D88" s="21" t="s">
        <v>1423</v>
      </c>
      <c r="E88" s="21" t="s">
        <v>1923</v>
      </c>
      <c r="F88" s="21" t="s">
        <v>1177</v>
      </c>
      <c r="G88" s="21" t="s">
        <v>1177</v>
      </c>
      <c r="H88" s="26"/>
    </row>
    <row r="89">
      <c r="A89" s="29"/>
      <c r="B89" s="21" t="s">
        <v>2026</v>
      </c>
      <c r="C89" s="21" t="s">
        <v>1275</v>
      </c>
      <c r="D89" s="21" t="s">
        <v>1469</v>
      </c>
      <c r="E89" s="21" t="s">
        <v>1452</v>
      </c>
      <c r="F89" s="21" t="s">
        <v>1177</v>
      </c>
      <c r="G89" s="21" t="s">
        <v>1177</v>
      </c>
      <c r="H89" s="26"/>
    </row>
    <row r="90">
      <c r="A90" s="24"/>
      <c r="B90" s="21" t="s">
        <v>1705</v>
      </c>
      <c r="C90" s="21" t="s">
        <v>1389</v>
      </c>
      <c r="D90" s="21" t="s">
        <v>1385</v>
      </c>
      <c r="E90" s="21" t="s">
        <v>1389</v>
      </c>
      <c r="F90" s="21" t="s">
        <v>1177</v>
      </c>
      <c r="G90" s="21" t="s">
        <v>1177</v>
      </c>
      <c r="H90" s="30"/>
      <c r="I90" s="14"/>
    </row>
    <row r="91">
      <c r="A91" s="16" t="s">
        <v>1174</v>
      </c>
      <c r="B91" s="17" t="s">
        <v>2027</v>
      </c>
      <c r="C91" s="18"/>
      <c r="D91" s="18"/>
      <c r="E91" s="18"/>
      <c r="F91" s="18"/>
      <c r="G91" s="18"/>
      <c r="H91" s="18"/>
      <c r="I91" s="16"/>
    </row>
    <row r="92" ht="60.0" customHeight="1">
      <c r="A92" s="20" t="s">
        <v>1176</v>
      </c>
      <c r="B92" s="21" t="str">
        <f t="array" ref="B92">iferror(VLOOKUP(INDIRECT(ADDRESS(ROW()+1,COLUMN(), 4)),Dex!$A$2:$C725,3,false),"")</f>
        <v/>
      </c>
      <c r="C92" s="21" t="str">
        <f t="array" ref="C92">iferror(VLOOKUP(INDIRECT(ADDRESS(ROW()+1,COLUMN(), 4)),Dex!$A$2:$C725,3,false),"")</f>
        <v/>
      </c>
      <c r="D92" s="21" t="str">
        <f t="array" ref="D92">iferror(VLOOKUP(INDIRECT(ADDRESS(ROW()+1,COLUMN(), 4)),Dex!$A$2:$C725,3,false),"")</f>
        <v/>
      </c>
      <c r="E92" s="21" t="str">
        <f t="array" ref="E92">iferror(VLOOKUP(INDIRECT(ADDRESS(ROW()+1,COLUMN(), 4)),Dex!$A$2:$C725,3,false),"")</f>
        <v/>
      </c>
      <c r="F92" s="21" t="str">
        <f t="array" ref="F92">iferror(VLOOKUP(INDIRECT(ADDRESS(ROW()+1,COLUMN(), 4)),Dex!$A$2:$C725,3,false),"")</f>
        <v/>
      </c>
      <c r="G92" s="21" t="s">
        <v>1177</v>
      </c>
      <c r="H92" s="22" t="str">
        <f t="array" ref="H92">iferror(VLOOKUP("TRAINER_PIC_COLLECTOR",Sprites!$A$1:$B725,2,false),"")</f>
        <v/>
      </c>
      <c r="I92" s="23"/>
    </row>
    <row r="93">
      <c r="A93" s="24"/>
      <c r="B93" s="25" t="s">
        <v>1126</v>
      </c>
      <c r="C93" s="25" t="s">
        <v>825</v>
      </c>
      <c r="D93" s="25" t="s">
        <v>791</v>
      </c>
      <c r="E93" s="25" t="s">
        <v>937</v>
      </c>
      <c r="F93" s="25" t="s">
        <v>47</v>
      </c>
      <c r="G93" s="25" t="s">
        <v>1177</v>
      </c>
      <c r="H93" s="26"/>
    </row>
    <row r="94">
      <c r="A94" s="16" t="s">
        <v>1178</v>
      </c>
      <c r="B94" s="27" t="s">
        <v>2017</v>
      </c>
      <c r="C94" s="27" t="s">
        <v>2017</v>
      </c>
      <c r="D94" s="27" t="s">
        <v>2017</v>
      </c>
      <c r="E94" s="27" t="s">
        <v>2017</v>
      </c>
      <c r="F94" s="27" t="s">
        <v>2028</v>
      </c>
      <c r="G94" s="21" t="s">
        <v>1177</v>
      </c>
      <c r="H94" s="26"/>
    </row>
    <row r="95">
      <c r="A95" s="16" t="s">
        <v>1181</v>
      </c>
      <c r="B95" s="28" t="s">
        <v>1246</v>
      </c>
      <c r="C95" s="28" t="s">
        <v>2029</v>
      </c>
      <c r="D95" s="28" t="s">
        <v>1391</v>
      </c>
      <c r="E95" s="28" t="s">
        <v>1247</v>
      </c>
      <c r="F95" s="28" t="s">
        <v>1209</v>
      </c>
      <c r="G95" s="28" t="s">
        <v>1177</v>
      </c>
      <c r="H95" s="26"/>
    </row>
    <row r="96">
      <c r="A96" s="16" t="s">
        <v>1182</v>
      </c>
      <c r="B96" s="21" t="s">
        <v>2030</v>
      </c>
      <c r="C96" s="21" t="s">
        <v>1604</v>
      </c>
      <c r="D96" s="21" t="s">
        <v>1445</v>
      </c>
      <c r="E96" s="21" t="s">
        <v>1722</v>
      </c>
      <c r="F96" s="21" t="s">
        <v>1722</v>
      </c>
      <c r="G96" s="21" t="s">
        <v>1177</v>
      </c>
      <c r="H96" s="26"/>
    </row>
    <row r="97">
      <c r="A97" s="16" t="s">
        <v>1186</v>
      </c>
      <c r="B97" s="28" t="s">
        <v>1248</v>
      </c>
      <c r="C97" s="28" t="s">
        <v>1284</v>
      </c>
      <c r="D97" s="28" t="s">
        <v>1446</v>
      </c>
      <c r="E97" s="28" t="s">
        <v>1248</v>
      </c>
      <c r="F97" s="28" t="s">
        <v>1248</v>
      </c>
      <c r="G97" s="28" t="s">
        <v>1177</v>
      </c>
      <c r="H97" s="26"/>
    </row>
    <row r="98">
      <c r="A98" s="20" t="s">
        <v>1188</v>
      </c>
      <c r="B98" s="21" t="s">
        <v>1758</v>
      </c>
      <c r="C98" s="21" t="s">
        <v>1839</v>
      </c>
      <c r="D98" s="21" t="s">
        <v>1307</v>
      </c>
      <c r="E98" s="21" t="s">
        <v>1678</v>
      </c>
      <c r="F98" s="21" t="s">
        <v>1677</v>
      </c>
      <c r="G98" s="21" t="s">
        <v>1177</v>
      </c>
      <c r="H98" s="26"/>
    </row>
    <row r="99">
      <c r="A99" s="29"/>
      <c r="B99" s="21" t="s">
        <v>1177</v>
      </c>
      <c r="C99" s="21" t="s">
        <v>1726</v>
      </c>
      <c r="D99" s="21" t="s">
        <v>1389</v>
      </c>
      <c r="E99" s="21" t="s">
        <v>1779</v>
      </c>
      <c r="F99" s="21" t="s">
        <v>1678</v>
      </c>
      <c r="G99" s="21" t="s">
        <v>1177</v>
      </c>
      <c r="H99" s="26"/>
    </row>
    <row r="100">
      <c r="A100" s="29"/>
      <c r="B100" s="21" t="s">
        <v>1177</v>
      </c>
      <c r="C100" s="21" t="s">
        <v>1732</v>
      </c>
      <c r="D100" s="21" t="s">
        <v>1377</v>
      </c>
      <c r="E100" s="21" t="s">
        <v>1741</v>
      </c>
      <c r="F100" s="21" t="s">
        <v>1307</v>
      </c>
      <c r="G100" s="21" t="s">
        <v>1177</v>
      </c>
      <c r="H100" s="26"/>
    </row>
    <row r="101">
      <c r="A101" s="24"/>
      <c r="B101" s="21" t="s">
        <v>1177</v>
      </c>
      <c r="C101" s="21" t="s">
        <v>1968</v>
      </c>
      <c r="D101" s="21" t="s">
        <v>1362</v>
      </c>
      <c r="E101" s="21" t="s">
        <v>1836</v>
      </c>
      <c r="F101" s="21" t="s">
        <v>1641</v>
      </c>
      <c r="G101" s="21" t="s">
        <v>1177</v>
      </c>
      <c r="H101" s="30"/>
      <c r="I101" s="14"/>
    </row>
    <row r="102">
      <c r="A102" s="16" t="s">
        <v>1174</v>
      </c>
      <c r="B102" s="17" t="s">
        <v>2031</v>
      </c>
      <c r="C102" s="18"/>
      <c r="D102" s="18"/>
      <c r="E102" s="18"/>
      <c r="F102" s="18"/>
      <c r="G102" s="18"/>
      <c r="H102" s="18"/>
      <c r="I102" s="16"/>
    </row>
    <row r="103" ht="60.0" customHeight="1">
      <c r="A103" s="20" t="s">
        <v>1176</v>
      </c>
      <c r="B103" s="21" t="str">
        <f t="array" ref="B103">iferror(VLOOKUP(INDIRECT(ADDRESS(ROW()+1,COLUMN(), 4)),Dex!$A$2:$C725,3,false),"")</f>
        <v/>
      </c>
      <c r="C103" s="21" t="str">
        <f t="array" ref="C103">iferror(VLOOKUP(INDIRECT(ADDRESS(ROW()+1,COLUMN(), 4)),Dex!$A$2:$C725,3,false),"")</f>
        <v/>
      </c>
      <c r="D103" s="21" t="str">
        <f t="array" ref="D103">iferror(VLOOKUP(INDIRECT(ADDRESS(ROW()+1,COLUMN(), 4)),Dex!$A$2:$C725,3,false),"")</f>
        <v/>
      </c>
      <c r="E103" s="21" t="s">
        <v>1177</v>
      </c>
      <c r="F103" s="21" t="s">
        <v>1177</v>
      </c>
      <c r="G103" s="21" t="s">
        <v>1177</v>
      </c>
      <c r="H103" s="22" t="str">
        <f t="array" ref="H103">iferror(VLOOKUP("TRAINER_PIC_CAMPER",Sprites!$A$1:$B725,2,false),"")</f>
        <v/>
      </c>
      <c r="I103" s="23"/>
    </row>
    <row r="104">
      <c r="A104" s="24"/>
      <c r="B104" s="25" t="s">
        <v>600</v>
      </c>
      <c r="C104" s="25" t="s">
        <v>965</v>
      </c>
      <c r="D104" s="25" t="s">
        <v>1105</v>
      </c>
      <c r="E104" s="25" t="s">
        <v>1177</v>
      </c>
      <c r="F104" s="25" t="s">
        <v>1177</v>
      </c>
      <c r="G104" s="25" t="s">
        <v>1177</v>
      </c>
      <c r="H104" s="26"/>
    </row>
    <row r="105">
      <c r="A105" s="16" t="s">
        <v>1178</v>
      </c>
      <c r="B105" s="27" t="s">
        <v>2028</v>
      </c>
      <c r="C105" s="27" t="s">
        <v>2010</v>
      </c>
      <c r="D105" s="27" t="s">
        <v>2010</v>
      </c>
      <c r="E105" s="21" t="s">
        <v>1177</v>
      </c>
      <c r="F105" s="21" t="s">
        <v>1177</v>
      </c>
      <c r="G105" s="21" t="s">
        <v>1177</v>
      </c>
      <c r="H105" s="26"/>
    </row>
    <row r="106">
      <c r="A106" s="16" t="s">
        <v>1181</v>
      </c>
      <c r="B106" s="28" t="s">
        <v>1247</v>
      </c>
      <c r="C106" s="28" t="s">
        <v>1582</v>
      </c>
      <c r="D106" s="28" t="s">
        <v>1838</v>
      </c>
      <c r="E106" s="28" t="s">
        <v>1177</v>
      </c>
      <c r="F106" s="28" t="s">
        <v>1177</v>
      </c>
      <c r="G106" s="28" t="s">
        <v>1177</v>
      </c>
      <c r="H106" s="26"/>
    </row>
    <row r="107">
      <c r="A107" s="16" t="s">
        <v>1182</v>
      </c>
      <c r="B107" s="21" t="s">
        <v>1721</v>
      </c>
      <c r="C107" s="21" t="s">
        <v>2032</v>
      </c>
      <c r="D107" s="21" t="s">
        <v>1661</v>
      </c>
      <c r="E107" s="21" t="s">
        <v>1177</v>
      </c>
      <c r="F107" s="21" t="s">
        <v>1177</v>
      </c>
      <c r="G107" s="21" t="s">
        <v>1177</v>
      </c>
      <c r="H107" s="26"/>
    </row>
    <row r="108">
      <c r="A108" s="16" t="s">
        <v>1186</v>
      </c>
      <c r="B108" s="28" t="s">
        <v>1447</v>
      </c>
      <c r="C108" s="28" t="s">
        <v>1256</v>
      </c>
      <c r="D108" s="28" t="s">
        <v>1406</v>
      </c>
      <c r="E108" s="28" t="s">
        <v>1177</v>
      </c>
      <c r="F108" s="28" t="s">
        <v>1177</v>
      </c>
      <c r="G108" s="28" t="s">
        <v>1177</v>
      </c>
      <c r="H108" s="26"/>
    </row>
    <row r="109">
      <c r="A109" s="20" t="s">
        <v>1188</v>
      </c>
      <c r="B109" s="21" t="s">
        <v>1723</v>
      </c>
      <c r="C109" s="21" t="s">
        <v>1697</v>
      </c>
      <c r="D109" s="21" t="s">
        <v>1662</v>
      </c>
      <c r="E109" s="21" t="s">
        <v>1177</v>
      </c>
      <c r="F109" s="21" t="s">
        <v>1177</v>
      </c>
      <c r="G109" s="21" t="s">
        <v>1177</v>
      </c>
      <c r="H109" s="26"/>
    </row>
    <row r="110">
      <c r="A110" s="29"/>
      <c r="B110" s="21" t="s">
        <v>1713</v>
      </c>
      <c r="C110" s="21" t="s">
        <v>1395</v>
      </c>
      <c r="D110" s="21" t="s">
        <v>1426</v>
      </c>
      <c r="E110" s="21" t="s">
        <v>1177</v>
      </c>
      <c r="F110" s="21" t="s">
        <v>1177</v>
      </c>
      <c r="G110" s="21" t="s">
        <v>1177</v>
      </c>
      <c r="H110" s="26"/>
    </row>
    <row r="111">
      <c r="A111" s="29"/>
      <c r="B111" s="21" t="s">
        <v>1830</v>
      </c>
      <c r="C111" s="21" t="s">
        <v>1384</v>
      </c>
      <c r="D111" s="21" t="s">
        <v>1874</v>
      </c>
      <c r="E111" s="21" t="s">
        <v>1177</v>
      </c>
      <c r="F111" s="21" t="s">
        <v>1177</v>
      </c>
      <c r="G111" s="21" t="s">
        <v>1177</v>
      </c>
      <c r="H111" s="26"/>
    </row>
    <row r="112">
      <c r="A112" s="24"/>
      <c r="B112" s="21" t="s">
        <v>2033</v>
      </c>
      <c r="C112" s="21" t="s">
        <v>2034</v>
      </c>
      <c r="D112" s="21" t="s">
        <v>1814</v>
      </c>
      <c r="E112" s="21" t="s">
        <v>1177</v>
      </c>
      <c r="F112" s="21" t="s">
        <v>1177</v>
      </c>
      <c r="G112" s="21" t="s">
        <v>1177</v>
      </c>
      <c r="H112" s="30"/>
      <c r="I112" s="14"/>
    </row>
    <row r="113">
      <c r="A113" s="16" t="s">
        <v>1174</v>
      </c>
      <c r="B113" s="17" t="s">
        <v>2035</v>
      </c>
      <c r="C113" s="18"/>
      <c r="D113" s="18"/>
      <c r="E113" s="18"/>
      <c r="F113" s="18"/>
      <c r="G113" s="18"/>
      <c r="H113" s="18"/>
      <c r="I113" s="16"/>
    </row>
    <row r="114" ht="60.0" customHeight="1">
      <c r="A114" s="20" t="s">
        <v>1176</v>
      </c>
      <c r="B114" s="21" t="str">
        <f t="array" ref="B114">iferror(VLOOKUP(INDIRECT(ADDRESS(ROW()+1,COLUMN(), 4)),Dex!$A$2:$C725,3,false),"")</f>
        <v/>
      </c>
      <c r="C114" s="21" t="str">
        <f t="array" ref="C114">iferror(VLOOKUP(INDIRECT(ADDRESS(ROW()+1,COLUMN(), 4)),Dex!$A$2:$C725,3,false),"")</f>
        <v/>
      </c>
      <c r="D114" s="21" t="str">
        <f t="array" ref="D114">iferror(VLOOKUP(INDIRECT(ADDRESS(ROW()+1,COLUMN(), 4)),Dex!$A$2:$C725,3,false),"")</f>
        <v/>
      </c>
      <c r="E114" s="21" t="str">
        <f t="array" ref="E114">iferror(VLOOKUP(INDIRECT(ADDRESS(ROW()+1,COLUMN(), 4)),Dex!$A$2:$C725,3,false),"")</f>
        <v/>
      </c>
      <c r="F114" s="21" t="s">
        <v>1177</v>
      </c>
      <c r="G114" s="21" t="s">
        <v>1177</v>
      </c>
      <c r="H114" s="22" t="str">
        <f t="array" ref="H114">iferror(VLOOKUP("TRAINER_PIC_NINJA_BOY",Sprites!$A$1:$B725,2,false),"")</f>
        <v/>
      </c>
      <c r="I114" s="23"/>
    </row>
    <row r="115">
      <c r="A115" s="24"/>
      <c r="B115" s="25" t="s">
        <v>52</v>
      </c>
      <c r="C115" s="25" t="s">
        <v>10</v>
      </c>
      <c r="D115" s="25" t="s">
        <v>112</v>
      </c>
      <c r="E115" s="25" t="s">
        <v>433</v>
      </c>
      <c r="F115" s="25" t="s">
        <v>1177</v>
      </c>
      <c r="G115" s="25" t="s">
        <v>1177</v>
      </c>
      <c r="H115" s="26"/>
    </row>
    <row r="116">
      <c r="A116" s="16" t="s">
        <v>1178</v>
      </c>
      <c r="B116" s="27" t="s">
        <v>2010</v>
      </c>
      <c r="C116" s="27" t="s">
        <v>2010</v>
      </c>
      <c r="D116" s="27" t="s">
        <v>1843</v>
      </c>
      <c r="E116" s="27" t="s">
        <v>1843</v>
      </c>
      <c r="F116" s="21" t="s">
        <v>1177</v>
      </c>
      <c r="G116" s="21" t="s">
        <v>1177</v>
      </c>
      <c r="H116" s="26"/>
    </row>
    <row r="117">
      <c r="A117" s="16" t="s">
        <v>1181</v>
      </c>
      <c r="B117" s="28" t="s">
        <v>1882</v>
      </c>
      <c r="C117" s="28" t="s">
        <v>2036</v>
      </c>
      <c r="D117" s="28" t="s">
        <v>1582</v>
      </c>
      <c r="E117" s="28" t="s">
        <v>1582</v>
      </c>
      <c r="F117" s="28" t="s">
        <v>1177</v>
      </c>
      <c r="G117" s="28" t="s">
        <v>1177</v>
      </c>
      <c r="H117" s="26"/>
    </row>
    <row r="118">
      <c r="A118" s="16" t="s">
        <v>1182</v>
      </c>
      <c r="B118" s="21" t="s">
        <v>1938</v>
      </c>
      <c r="C118" s="21" t="s">
        <v>1444</v>
      </c>
      <c r="D118" s="21" t="s">
        <v>2032</v>
      </c>
      <c r="E118" s="21" t="s">
        <v>2032</v>
      </c>
      <c r="F118" s="21" t="s">
        <v>1177</v>
      </c>
      <c r="G118" s="21" t="s">
        <v>1177</v>
      </c>
      <c r="H118" s="26"/>
    </row>
    <row r="119">
      <c r="A119" s="16" t="s">
        <v>1186</v>
      </c>
      <c r="B119" s="28" t="s">
        <v>1284</v>
      </c>
      <c r="C119" s="28" t="s">
        <v>1249</v>
      </c>
      <c r="D119" s="28" t="s">
        <v>1248</v>
      </c>
      <c r="E119" s="28" t="s">
        <v>1248</v>
      </c>
      <c r="F119" s="28" t="s">
        <v>1177</v>
      </c>
      <c r="G119" s="28" t="s">
        <v>1177</v>
      </c>
      <c r="H119" s="26"/>
    </row>
    <row r="120">
      <c r="A120" s="20" t="s">
        <v>1188</v>
      </c>
      <c r="B120" s="21" t="s">
        <v>1618</v>
      </c>
      <c r="C120" s="21" t="s">
        <v>1740</v>
      </c>
      <c r="D120" s="21" t="s">
        <v>1677</v>
      </c>
      <c r="E120" s="21" t="s">
        <v>1630</v>
      </c>
      <c r="F120" s="21" t="s">
        <v>1177</v>
      </c>
      <c r="G120" s="21" t="s">
        <v>1177</v>
      </c>
      <c r="H120" s="26"/>
    </row>
    <row r="121">
      <c r="A121" s="29"/>
      <c r="B121" s="21" t="s">
        <v>1373</v>
      </c>
      <c r="C121" s="21" t="s">
        <v>1415</v>
      </c>
      <c r="D121" s="21" t="s">
        <v>1438</v>
      </c>
      <c r="E121" s="21" t="s">
        <v>1385</v>
      </c>
      <c r="F121" s="21" t="s">
        <v>1177</v>
      </c>
      <c r="G121" s="21" t="s">
        <v>1177</v>
      </c>
      <c r="H121" s="26"/>
    </row>
    <row r="122">
      <c r="A122" s="29"/>
      <c r="B122" s="21" t="s">
        <v>1740</v>
      </c>
      <c r="C122" s="21" t="s">
        <v>1712</v>
      </c>
      <c r="D122" s="21" t="s">
        <v>2037</v>
      </c>
      <c r="E122" s="21" t="s">
        <v>2037</v>
      </c>
      <c r="F122" s="21" t="s">
        <v>1177</v>
      </c>
      <c r="G122" s="21" t="s">
        <v>1177</v>
      </c>
      <c r="H122" s="26"/>
    </row>
    <row r="123">
      <c r="A123" s="24"/>
      <c r="B123" s="21" t="s">
        <v>1468</v>
      </c>
      <c r="C123" s="21" t="s">
        <v>2022</v>
      </c>
      <c r="D123" s="21" t="s">
        <v>1288</v>
      </c>
      <c r="E123" s="21" t="s">
        <v>1959</v>
      </c>
      <c r="F123" s="21" t="s">
        <v>1177</v>
      </c>
      <c r="G123" s="21" t="s">
        <v>1177</v>
      </c>
      <c r="H123" s="30"/>
      <c r="I123" s="14"/>
    </row>
    <row r="124">
      <c r="A124" s="16" t="s">
        <v>1174</v>
      </c>
      <c r="B124" s="17" t="s">
        <v>2038</v>
      </c>
      <c r="C124" s="18"/>
      <c r="D124" s="18"/>
      <c r="E124" s="18"/>
      <c r="F124" s="18"/>
      <c r="G124" s="18"/>
      <c r="H124" s="18"/>
      <c r="I124" s="16"/>
    </row>
    <row r="125" ht="60.0" customHeight="1">
      <c r="A125" s="20" t="s">
        <v>1176</v>
      </c>
      <c r="B125" s="21" t="str">
        <f t="array" ref="B125">iferror(VLOOKUP(INDIRECT(ADDRESS(ROW()+1,COLUMN(), 4)),Dex!$A$2:$C725,3,false),"")</f>
        <v/>
      </c>
      <c r="C125" s="21" t="str">
        <f t="array" ref="C125">iferror(VLOOKUP(INDIRECT(ADDRESS(ROW()+1,COLUMN(), 4)),Dex!$A$2:$C725,3,false),"")</f>
        <v/>
      </c>
      <c r="D125" s="21" t="str">
        <f t="array" ref="D125">iferror(VLOOKUP(INDIRECT(ADDRESS(ROW()+1,COLUMN(), 4)),Dex!$A$2:$C725,3,false),"")</f>
        <v/>
      </c>
      <c r="E125" s="21" t="str">
        <f t="array" ref="E125">iferror(VLOOKUP(INDIRECT(ADDRESS(ROW()+1,COLUMN(), 4)),Dex!$A$2:$C725,3,false),"")</f>
        <v/>
      </c>
      <c r="F125" s="21" t="s">
        <v>1177</v>
      </c>
      <c r="G125" s="21" t="s">
        <v>1177</v>
      </c>
      <c r="H125" s="22" t="str">
        <f t="array" ref="H125">iferror(VLOOKUP("TRAINER_PIC_RUIN_MANIAC",Sprites!$A$1:$B725,2,false),"")</f>
        <v/>
      </c>
      <c r="I125" s="23"/>
    </row>
    <row r="126">
      <c r="A126" s="24"/>
      <c r="B126" s="25" t="s">
        <v>1136</v>
      </c>
      <c r="C126" s="25" t="s">
        <v>706</v>
      </c>
      <c r="D126" s="25" t="s">
        <v>138</v>
      </c>
      <c r="E126" s="25" t="s">
        <v>477</v>
      </c>
      <c r="F126" s="25" t="s">
        <v>1177</v>
      </c>
      <c r="G126" s="25" t="s">
        <v>1177</v>
      </c>
      <c r="H126" s="26"/>
    </row>
    <row r="127">
      <c r="A127" s="16" t="s">
        <v>1178</v>
      </c>
      <c r="B127" s="27" t="s">
        <v>2017</v>
      </c>
      <c r="C127" s="27" t="s">
        <v>2010</v>
      </c>
      <c r="D127" s="27" t="s">
        <v>2010</v>
      </c>
      <c r="E127" s="27" t="s">
        <v>2017</v>
      </c>
      <c r="F127" s="21" t="s">
        <v>1177</v>
      </c>
      <c r="G127" s="21" t="s">
        <v>1177</v>
      </c>
      <c r="H127" s="26"/>
    </row>
    <row r="128">
      <c r="A128" s="16" t="s">
        <v>1181</v>
      </c>
      <c r="B128" s="28" t="s">
        <v>1898</v>
      </c>
      <c r="C128" s="28" t="s">
        <v>1701</v>
      </c>
      <c r="D128" s="28" t="s">
        <v>1209</v>
      </c>
      <c r="E128" s="28" t="s">
        <v>1403</v>
      </c>
      <c r="F128" s="28" t="s">
        <v>1177</v>
      </c>
      <c r="G128" s="28" t="s">
        <v>1177</v>
      </c>
      <c r="H128" s="26"/>
    </row>
    <row r="129">
      <c r="A129" s="16" t="s">
        <v>1182</v>
      </c>
      <c r="B129" s="21" t="s">
        <v>1393</v>
      </c>
      <c r="C129" s="21" t="s">
        <v>1298</v>
      </c>
      <c r="D129" s="21" t="s">
        <v>1445</v>
      </c>
      <c r="E129" s="21" t="s">
        <v>1445</v>
      </c>
      <c r="F129" s="21" t="s">
        <v>1177</v>
      </c>
      <c r="G129" s="21" t="s">
        <v>1177</v>
      </c>
      <c r="H129" s="26"/>
    </row>
    <row r="130">
      <c r="A130" s="16" t="s">
        <v>1186</v>
      </c>
      <c r="B130" s="28" t="s">
        <v>1284</v>
      </c>
      <c r="C130" s="28" t="s">
        <v>1235</v>
      </c>
      <c r="D130" s="28" t="s">
        <v>1464</v>
      </c>
      <c r="E130" s="28" t="s">
        <v>1406</v>
      </c>
      <c r="F130" s="28" t="s">
        <v>1177</v>
      </c>
      <c r="G130" s="28" t="s">
        <v>1177</v>
      </c>
      <c r="H130" s="26"/>
    </row>
    <row r="131">
      <c r="A131" s="20" t="s">
        <v>1188</v>
      </c>
      <c r="B131" s="21" t="s">
        <v>1395</v>
      </c>
      <c r="C131" s="21" t="s">
        <v>1677</v>
      </c>
      <c r="D131" s="21" t="s">
        <v>1760</v>
      </c>
      <c r="E131" s="21" t="s">
        <v>2039</v>
      </c>
      <c r="F131" s="21" t="s">
        <v>1177</v>
      </c>
      <c r="G131" s="21" t="s">
        <v>1177</v>
      </c>
      <c r="H131" s="26"/>
    </row>
    <row r="132">
      <c r="A132" s="29"/>
      <c r="B132" s="21" t="s">
        <v>1449</v>
      </c>
      <c r="C132" s="21" t="s">
        <v>2040</v>
      </c>
      <c r="D132" s="21" t="s">
        <v>1801</v>
      </c>
      <c r="E132" s="21" t="s">
        <v>1321</v>
      </c>
      <c r="F132" s="21" t="s">
        <v>1177</v>
      </c>
      <c r="G132" s="21" t="s">
        <v>1177</v>
      </c>
      <c r="H132" s="26"/>
    </row>
    <row r="133">
      <c r="A133" s="29"/>
      <c r="B133" s="21" t="s">
        <v>1879</v>
      </c>
      <c r="C133" s="21" t="s">
        <v>1438</v>
      </c>
      <c r="D133" s="21" t="s">
        <v>2022</v>
      </c>
      <c r="E133" s="21" t="s">
        <v>1432</v>
      </c>
      <c r="F133" s="21" t="s">
        <v>1177</v>
      </c>
      <c r="G133" s="21" t="s">
        <v>1177</v>
      </c>
      <c r="H133" s="26"/>
    </row>
    <row r="134">
      <c r="A134" s="24"/>
      <c r="B134" s="21" t="s">
        <v>1880</v>
      </c>
      <c r="C134" s="21" t="s">
        <v>1410</v>
      </c>
      <c r="D134" s="21" t="s">
        <v>2019</v>
      </c>
      <c r="E134" s="21" t="s">
        <v>1915</v>
      </c>
      <c r="F134" s="21" t="s">
        <v>1177</v>
      </c>
      <c r="G134" s="21" t="s">
        <v>1177</v>
      </c>
      <c r="H134" s="30"/>
      <c r="I134" s="14"/>
    </row>
    <row r="135">
      <c r="A135" s="16" t="s">
        <v>1174</v>
      </c>
      <c r="B135" s="17" t="s">
        <v>2041</v>
      </c>
      <c r="C135" s="18"/>
      <c r="D135" s="18"/>
      <c r="E135" s="18"/>
      <c r="F135" s="18"/>
      <c r="G135" s="18"/>
      <c r="H135" s="18"/>
      <c r="I135" s="19"/>
    </row>
    <row r="136" ht="60.0" customHeight="1">
      <c r="A136" s="20" t="s">
        <v>1176</v>
      </c>
      <c r="B136" s="21" t="str">
        <f t="array" ref="B136">iferror(VLOOKUP(INDIRECT(ADDRESS(ROW()+1,COLUMN(), 4)),Dex!$A$2:$C725,3,false),"")</f>
        <v/>
      </c>
      <c r="C136" s="21" t="str">
        <f t="array" ref="C136">iferror(VLOOKUP(INDIRECT(ADDRESS(ROW()+1,COLUMN(), 4)),Dex!$A$2:$C725,3,false),"")</f>
        <v/>
      </c>
      <c r="D136" s="21" t="str">
        <f t="array" ref="D136">iferror(VLOOKUP(INDIRECT(ADDRESS(ROW()+1,COLUMN(), 4)),Dex!$A$2:$C725,3,false),"")</f>
        <v/>
      </c>
      <c r="E136" s="21" t="str">
        <f t="array" ref="E136">iferror(VLOOKUP(INDIRECT(ADDRESS(ROW()+1,COLUMN(), 4)),Dex!$A$2:$C725,3,false),"")</f>
        <v/>
      </c>
      <c r="F136" s="21" t="s">
        <v>1177</v>
      </c>
      <c r="G136" s="21" t="s">
        <v>1177</v>
      </c>
      <c r="H136" s="22" t="str">
        <f t="array" ref="H136">iferror(VLOOKUP("TRAINER_PIC_CAMPER",Sprites!$A$1:$B725,2,false),"")</f>
        <v/>
      </c>
      <c r="I136" s="23"/>
    </row>
    <row r="137">
      <c r="A137" s="24"/>
      <c r="B137" s="25" t="s">
        <v>571</v>
      </c>
      <c r="C137" s="25" t="s">
        <v>845</v>
      </c>
      <c r="D137" s="25" t="s">
        <v>113</v>
      </c>
      <c r="E137" s="25" t="s">
        <v>681</v>
      </c>
      <c r="F137" s="25" t="s">
        <v>1177</v>
      </c>
      <c r="G137" s="25" t="s">
        <v>1177</v>
      </c>
      <c r="H137" s="26"/>
    </row>
    <row r="138">
      <c r="A138" s="16" t="s">
        <v>1178</v>
      </c>
      <c r="B138" s="27" t="s">
        <v>2010</v>
      </c>
      <c r="C138" s="27" t="s">
        <v>2017</v>
      </c>
      <c r="D138" s="27" t="s">
        <v>2010</v>
      </c>
      <c r="E138" s="27" t="s">
        <v>1843</v>
      </c>
      <c r="F138" s="21" t="s">
        <v>1177</v>
      </c>
      <c r="G138" s="21" t="s">
        <v>1177</v>
      </c>
      <c r="H138" s="26"/>
    </row>
    <row r="139">
      <c r="A139" s="16" t="s">
        <v>1181</v>
      </c>
      <c r="B139" s="28" t="s">
        <v>1209</v>
      </c>
      <c r="C139" s="28" t="s">
        <v>1295</v>
      </c>
      <c r="D139" s="28" t="s">
        <v>1209</v>
      </c>
      <c r="E139" s="28" t="s">
        <v>2042</v>
      </c>
      <c r="F139" s="28" t="s">
        <v>1177</v>
      </c>
      <c r="G139" s="28" t="s">
        <v>1177</v>
      </c>
      <c r="H139" s="26"/>
    </row>
    <row r="140">
      <c r="A140" s="16" t="s">
        <v>1182</v>
      </c>
      <c r="B140" s="21" t="s">
        <v>1721</v>
      </c>
      <c r="C140" s="21" t="s">
        <v>1210</v>
      </c>
      <c r="D140" s="21" t="s">
        <v>1692</v>
      </c>
      <c r="E140" s="21" t="s">
        <v>1721</v>
      </c>
      <c r="F140" s="21" t="s">
        <v>1177</v>
      </c>
      <c r="G140" s="21" t="s">
        <v>1177</v>
      </c>
      <c r="H140" s="26"/>
    </row>
    <row r="141">
      <c r="A141" s="16" t="s">
        <v>1186</v>
      </c>
      <c r="B141" s="28" t="s">
        <v>1406</v>
      </c>
      <c r="C141" s="28" t="s">
        <v>1446</v>
      </c>
      <c r="D141" s="28" t="s">
        <v>1235</v>
      </c>
      <c r="E141" s="28" t="s">
        <v>1248</v>
      </c>
      <c r="F141" s="28" t="s">
        <v>1177</v>
      </c>
      <c r="G141" s="28" t="s">
        <v>1177</v>
      </c>
      <c r="H141" s="26"/>
    </row>
    <row r="142">
      <c r="A142" s="20" t="s">
        <v>1188</v>
      </c>
      <c r="B142" s="21" t="s">
        <v>1677</v>
      </c>
      <c r="C142" s="21" t="s">
        <v>2043</v>
      </c>
      <c r="D142" s="21" t="s">
        <v>1974</v>
      </c>
      <c r="E142" s="21" t="s">
        <v>1779</v>
      </c>
      <c r="F142" s="21" t="s">
        <v>1177</v>
      </c>
      <c r="G142" s="21" t="s">
        <v>1177</v>
      </c>
      <c r="H142" s="26"/>
    </row>
    <row r="143">
      <c r="A143" s="29"/>
      <c r="B143" s="21" t="s">
        <v>1438</v>
      </c>
      <c r="C143" s="21" t="s">
        <v>1677</v>
      </c>
      <c r="D143" s="21" t="s">
        <v>1704</v>
      </c>
      <c r="E143" s="21" t="s">
        <v>1607</v>
      </c>
      <c r="F143" s="21" t="s">
        <v>1177</v>
      </c>
      <c r="G143" s="21" t="s">
        <v>1177</v>
      </c>
      <c r="H143" s="26"/>
    </row>
    <row r="144">
      <c r="A144" s="29"/>
      <c r="B144" s="21" t="s">
        <v>1761</v>
      </c>
      <c r="C144" s="21" t="s">
        <v>1438</v>
      </c>
      <c r="D144" s="21" t="s">
        <v>1830</v>
      </c>
      <c r="E144" s="21" t="s">
        <v>1438</v>
      </c>
      <c r="F144" s="21" t="s">
        <v>1177</v>
      </c>
      <c r="G144" s="21" t="s">
        <v>1177</v>
      </c>
      <c r="H144" s="26"/>
    </row>
    <row r="145">
      <c r="A145" s="24"/>
      <c r="B145" s="21" t="s">
        <v>1806</v>
      </c>
      <c r="C145" s="21" t="s">
        <v>1275</v>
      </c>
      <c r="D145" s="21" t="s">
        <v>1677</v>
      </c>
      <c r="E145" s="21" t="s">
        <v>1685</v>
      </c>
      <c r="F145" s="21" t="s">
        <v>1177</v>
      </c>
      <c r="G145" s="21" t="s">
        <v>1177</v>
      </c>
      <c r="H145" s="30"/>
      <c r="I145" s="14"/>
    </row>
    <row r="146">
      <c r="A146" s="16" t="s">
        <v>1174</v>
      </c>
      <c r="B146" s="17" t="s">
        <v>2044</v>
      </c>
      <c r="C146" s="18"/>
      <c r="D146" s="18"/>
      <c r="E146" s="18"/>
      <c r="F146" s="18"/>
      <c r="G146" s="18"/>
      <c r="H146" s="18"/>
      <c r="I146" s="16"/>
    </row>
    <row r="147" ht="60.0" customHeight="1">
      <c r="A147" s="20" t="s">
        <v>1176</v>
      </c>
      <c r="B147" s="21" t="str">
        <f t="array" ref="B147">iferror(VLOOKUP(INDIRECT(ADDRESS(ROW()+1,COLUMN(), 4)),Dex!$A$2:$C725,3,false),"")</f>
        <v/>
      </c>
      <c r="C147" s="21" t="str">
        <f t="array" ref="C147">iferror(VLOOKUP(INDIRECT(ADDRESS(ROW()+1,COLUMN(), 4)),Dex!$A$2:$C725,3,false),"")</f>
        <v/>
      </c>
      <c r="D147" s="21" t="str">
        <f t="array" ref="D147">iferror(VLOOKUP(INDIRECT(ADDRESS(ROW()+1,COLUMN(), 4)),Dex!$A$2:$C725,3,false),"")</f>
        <v/>
      </c>
      <c r="E147" s="21" t="str">
        <f t="array" ref="E147">iferror(VLOOKUP(INDIRECT(ADDRESS(ROW()+1,COLUMN(), 4)),Dex!$A$2:$C725,3,false),"")</f>
        <v/>
      </c>
      <c r="F147" s="21" t="str">
        <f t="array" ref="F147">iferror(VLOOKUP(INDIRECT(ADDRESS(ROW()+1,COLUMN(), 4)),Dex!$A$2:$C725,3,false),"")</f>
        <v/>
      </c>
      <c r="G147" s="21" t="s">
        <v>1177</v>
      </c>
      <c r="H147" s="22" t="str">
        <f t="array" ref="H147">iferror(VLOOKUP("TRAINER_PIC_COOLTRAINER_M",Sprites!$A$1:$B725,2,false),"")</f>
        <v/>
      </c>
      <c r="I147" s="23"/>
    </row>
    <row r="148">
      <c r="A148" s="24"/>
      <c r="B148" s="25" t="s">
        <v>293</v>
      </c>
      <c r="C148" s="25" t="s">
        <v>587</v>
      </c>
      <c r="D148" s="25" t="s">
        <v>963</v>
      </c>
      <c r="E148" s="25" t="s">
        <v>240</v>
      </c>
      <c r="F148" s="25" t="s">
        <v>76</v>
      </c>
      <c r="G148" s="25" t="s">
        <v>1177</v>
      </c>
      <c r="H148" s="26"/>
    </row>
    <row r="149">
      <c r="A149" s="16" t="s">
        <v>1178</v>
      </c>
      <c r="B149" s="27" t="s">
        <v>2017</v>
      </c>
      <c r="C149" s="27" t="s">
        <v>2010</v>
      </c>
      <c r="D149" s="27" t="s">
        <v>1843</v>
      </c>
      <c r="E149" s="27" t="s">
        <v>1843</v>
      </c>
      <c r="F149" s="27" t="s">
        <v>2010</v>
      </c>
      <c r="G149" s="21" t="s">
        <v>1177</v>
      </c>
      <c r="H149" s="26"/>
    </row>
    <row r="150">
      <c r="A150" s="16" t="s">
        <v>1181</v>
      </c>
      <c r="B150" s="28" t="s">
        <v>2045</v>
      </c>
      <c r="C150" s="28" t="s">
        <v>1838</v>
      </c>
      <c r="D150" s="28" t="s">
        <v>1838</v>
      </c>
      <c r="E150" s="28" t="s">
        <v>2046</v>
      </c>
      <c r="F150" s="28" t="s">
        <v>1247</v>
      </c>
      <c r="G150" s="28" t="s">
        <v>1177</v>
      </c>
      <c r="H150" s="26"/>
    </row>
    <row r="151">
      <c r="A151" s="16" t="s">
        <v>1182</v>
      </c>
      <c r="B151" s="21" t="s">
        <v>1461</v>
      </c>
      <c r="C151" s="21" t="s">
        <v>1667</v>
      </c>
      <c r="D151" s="21" t="s">
        <v>2047</v>
      </c>
      <c r="E151" s="21" t="s">
        <v>1820</v>
      </c>
      <c r="F151" s="21" t="s">
        <v>1675</v>
      </c>
      <c r="G151" s="21" t="s">
        <v>1177</v>
      </c>
      <c r="H151" s="26"/>
    </row>
    <row r="152">
      <c r="A152" s="16" t="s">
        <v>1186</v>
      </c>
      <c r="B152" s="28" t="s">
        <v>1383</v>
      </c>
      <c r="C152" s="28" t="s">
        <v>1383</v>
      </c>
      <c r="D152" s="28" t="s">
        <v>1406</v>
      </c>
      <c r="E152" s="28" t="s">
        <v>1284</v>
      </c>
      <c r="F152" s="28" t="s">
        <v>1235</v>
      </c>
      <c r="G152" s="28" t="s">
        <v>1177</v>
      </c>
      <c r="H152" s="26"/>
    </row>
    <row r="153">
      <c r="A153" s="20" t="s">
        <v>1188</v>
      </c>
      <c r="B153" s="21" t="s">
        <v>1886</v>
      </c>
      <c r="C153" s="21" t="s">
        <v>1823</v>
      </c>
      <c r="D153" s="21" t="s">
        <v>1655</v>
      </c>
      <c r="E153" s="21" t="s">
        <v>1822</v>
      </c>
      <c r="F153" s="21" t="s">
        <v>1677</v>
      </c>
      <c r="G153" s="21" t="s">
        <v>1177</v>
      </c>
      <c r="H153" s="26"/>
    </row>
    <row r="154">
      <c r="A154" s="29"/>
      <c r="B154" s="21" t="s">
        <v>1426</v>
      </c>
      <c r="C154" s="21" t="s">
        <v>1983</v>
      </c>
      <c r="D154" s="21" t="s">
        <v>1760</v>
      </c>
      <c r="E154" s="21" t="s">
        <v>1778</v>
      </c>
      <c r="F154" s="21" t="s">
        <v>1678</v>
      </c>
      <c r="G154" s="21" t="s">
        <v>1177</v>
      </c>
      <c r="H154" s="26"/>
    </row>
    <row r="155">
      <c r="A155" s="29"/>
      <c r="B155" s="21" t="s">
        <v>1415</v>
      </c>
      <c r="C155" s="21" t="s">
        <v>1373</v>
      </c>
      <c r="D155" s="21" t="s">
        <v>1575</v>
      </c>
      <c r="E155" s="21" t="s">
        <v>1629</v>
      </c>
      <c r="F155" s="21" t="s">
        <v>1577</v>
      </c>
      <c r="G155" s="21" t="s">
        <v>1177</v>
      </c>
      <c r="H155" s="26"/>
    </row>
    <row r="156">
      <c r="A156" s="24"/>
      <c r="B156" s="21" t="s">
        <v>1307</v>
      </c>
      <c r="C156" s="21" t="s">
        <v>1307</v>
      </c>
      <c r="D156" s="21" t="s">
        <v>1438</v>
      </c>
      <c r="E156" s="21" t="s">
        <v>1311</v>
      </c>
      <c r="F156" s="21" t="s">
        <v>1664</v>
      </c>
      <c r="G156" s="21" t="s">
        <v>1177</v>
      </c>
      <c r="H156" s="30"/>
      <c r="I156" s="14"/>
    </row>
    <row r="157">
      <c r="A157" s="16" t="s">
        <v>1174</v>
      </c>
      <c r="B157" s="17" t="s">
        <v>2048</v>
      </c>
      <c r="C157" s="18"/>
      <c r="D157" s="18"/>
      <c r="E157" s="18"/>
      <c r="F157" s="18"/>
      <c r="G157" s="18"/>
      <c r="H157" s="18"/>
      <c r="I157" s="16"/>
    </row>
    <row r="158" ht="60.0" customHeight="1">
      <c r="A158" s="20" t="s">
        <v>1176</v>
      </c>
      <c r="B158" s="21" t="str">
        <f t="array" ref="B158">iferror(VLOOKUP(INDIRECT(ADDRESS(ROW()+1,COLUMN(), 4)),Dex!$A$2:$C725,3,false),"")</f>
        <v/>
      </c>
      <c r="C158" s="21" t="str">
        <f t="array" ref="C158">iferror(VLOOKUP(INDIRECT(ADDRESS(ROW()+1,COLUMN(), 4)),Dex!$A$2:$C725,3,false),"")</f>
        <v/>
      </c>
      <c r="D158" s="21" t="str">
        <f t="array" ref="D158">iferror(VLOOKUP(INDIRECT(ADDRESS(ROW()+1,COLUMN(), 4)),Dex!$A$2:$C725,3,false),"")</f>
        <v/>
      </c>
      <c r="E158" s="21" t="s">
        <v>1177</v>
      </c>
      <c r="F158" s="21" t="s">
        <v>1177</v>
      </c>
      <c r="G158" s="21" t="s">
        <v>1177</v>
      </c>
      <c r="H158" s="22" t="str">
        <f t="array" ref="H158">iferror(VLOOKUP("TRAINER_PIC_BLACK_BELT",Sprites!$A$1:$B725,2,false),"")</f>
        <v/>
      </c>
      <c r="I158" s="23"/>
    </row>
    <row r="159">
      <c r="A159" s="24"/>
      <c r="B159" s="25" t="s">
        <v>961</v>
      </c>
      <c r="C159" s="25" t="s">
        <v>690</v>
      </c>
      <c r="D159" s="25" t="s">
        <v>296</v>
      </c>
      <c r="E159" s="25" t="s">
        <v>1177</v>
      </c>
      <c r="F159" s="25" t="s">
        <v>1177</v>
      </c>
      <c r="G159" s="25" t="s">
        <v>1177</v>
      </c>
      <c r="H159" s="26"/>
    </row>
    <row r="160">
      <c r="A160" s="16" t="s">
        <v>1178</v>
      </c>
      <c r="B160" s="27" t="s">
        <v>2017</v>
      </c>
      <c r="C160" s="27" t="s">
        <v>2010</v>
      </c>
      <c r="D160" s="27" t="s">
        <v>2017</v>
      </c>
      <c r="E160" s="21" t="s">
        <v>1177</v>
      </c>
      <c r="F160" s="21" t="s">
        <v>1177</v>
      </c>
      <c r="G160" s="21" t="s">
        <v>1177</v>
      </c>
      <c r="H160" s="26"/>
    </row>
    <row r="161">
      <c r="A161" s="16" t="s">
        <v>1181</v>
      </c>
      <c r="B161" s="28" t="s">
        <v>1177</v>
      </c>
      <c r="C161" s="28" t="s">
        <v>1366</v>
      </c>
      <c r="D161" s="28" t="s">
        <v>1417</v>
      </c>
      <c r="E161" s="28" t="s">
        <v>1177</v>
      </c>
      <c r="F161" s="28" t="s">
        <v>1177</v>
      </c>
      <c r="G161" s="28" t="s">
        <v>1177</v>
      </c>
      <c r="H161" s="26"/>
    </row>
    <row r="162">
      <c r="A162" s="16" t="s">
        <v>1182</v>
      </c>
      <c r="B162" s="21" t="s">
        <v>1405</v>
      </c>
      <c r="C162" s="21" t="s">
        <v>1419</v>
      </c>
      <c r="D162" s="21" t="s">
        <v>1419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1186</v>
      </c>
      <c r="B163" s="28" t="s">
        <v>1235</v>
      </c>
      <c r="C163" s="28" t="s">
        <v>1406</v>
      </c>
      <c r="D163" s="28" t="s">
        <v>1235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20" t="s">
        <v>1188</v>
      </c>
      <c r="B164" s="21" t="s">
        <v>1874</v>
      </c>
      <c r="C164" s="21" t="s">
        <v>2049</v>
      </c>
      <c r="D164" s="21" t="s">
        <v>1874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29"/>
      <c r="B165" s="21" t="s">
        <v>1438</v>
      </c>
      <c r="C165" s="21" t="s">
        <v>1432</v>
      </c>
      <c r="D165" s="21" t="s">
        <v>1777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1307</v>
      </c>
      <c r="C166" s="21" t="s">
        <v>1410</v>
      </c>
      <c r="D166" s="21" t="s">
        <v>1466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4"/>
      <c r="B167" s="21" t="s">
        <v>1238</v>
      </c>
      <c r="C167" s="21" t="s">
        <v>1398</v>
      </c>
      <c r="D167" s="21" t="s">
        <v>1432</v>
      </c>
      <c r="E167" s="21" t="s">
        <v>1177</v>
      </c>
      <c r="F167" s="21" t="s">
        <v>1177</v>
      </c>
      <c r="G167" s="21" t="s">
        <v>1177</v>
      </c>
      <c r="H167" s="30"/>
      <c r="I167" s="14"/>
    </row>
    <row r="168">
      <c r="A168" s="16" t="s">
        <v>1174</v>
      </c>
      <c r="B168" s="17" t="s">
        <v>2050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4)),Dex!$A$2:$C725,3,false),"")</f>
        <v/>
      </c>
      <c r="C169" s="21" t="str">
        <f t="array" ref="C169">iferror(VLOOKUP(INDIRECT(ADDRESS(ROW()+1,COLUMN(), 4)),Dex!$A$2:$C725,3,false),"")</f>
        <v/>
      </c>
      <c r="D169" s="21" t="str">
        <f t="array" ref="D169">iferror(VLOOKUP(INDIRECT(ADDRESS(ROW()+1,COLUMN(), 4)),Dex!$A$2:$C725,3,false),"")</f>
        <v/>
      </c>
      <c r="E169" s="21" t="str">
        <f t="array" ref="E169">iferror(VLOOKUP(INDIRECT(ADDRESS(ROW()+1,COLUMN(), 4)),Dex!$A$2:$C725,3,false),"")</f>
        <v/>
      </c>
      <c r="F169" s="21" t="str">
        <f t="array" ref="F169">iferror(VLOOKUP(INDIRECT(ADDRESS(ROW()+1,COLUMN(), 4)),Dex!$A$2:$C725,3,false),"")</f>
        <v/>
      </c>
      <c r="G169" s="21" t="s">
        <v>1177</v>
      </c>
      <c r="H169" s="22" t="str">
        <f t="array" ref="H169">iferror(VLOOKUP("TRAINER_PIC_COOLTRAINER_F",Sprites!$A$1:$B725,2,false),"")</f>
        <v/>
      </c>
      <c r="I169" s="23"/>
    </row>
    <row r="170">
      <c r="A170" s="24"/>
      <c r="B170" s="25" t="s">
        <v>743</v>
      </c>
      <c r="C170" s="25" t="s">
        <v>107</v>
      </c>
      <c r="D170" s="25" t="s">
        <v>132</v>
      </c>
      <c r="E170" s="25" t="s">
        <v>589</v>
      </c>
      <c r="F170" s="25" t="s">
        <v>773</v>
      </c>
      <c r="G170" s="25" t="s">
        <v>1177</v>
      </c>
      <c r="H170" s="26"/>
    </row>
    <row r="171">
      <c r="A171" s="16" t="s">
        <v>1178</v>
      </c>
      <c r="B171" s="27" t="s">
        <v>2017</v>
      </c>
      <c r="C171" s="27" t="s">
        <v>2010</v>
      </c>
      <c r="D171" s="27" t="s">
        <v>2010</v>
      </c>
      <c r="E171" s="27" t="s">
        <v>2010</v>
      </c>
      <c r="F171" s="27" t="s">
        <v>2010</v>
      </c>
      <c r="G171" s="21" t="s">
        <v>1177</v>
      </c>
      <c r="H171" s="26"/>
    </row>
    <row r="172">
      <c r="A172" s="16" t="s">
        <v>1181</v>
      </c>
      <c r="B172" s="28" t="s">
        <v>1209</v>
      </c>
      <c r="C172" s="28" t="s">
        <v>2051</v>
      </c>
      <c r="D172" s="28" t="s">
        <v>1295</v>
      </c>
      <c r="E172" s="28" t="s">
        <v>2051</v>
      </c>
      <c r="F172" s="28" t="s">
        <v>1572</v>
      </c>
      <c r="G172" s="28" t="s">
        <v>1177</v>
      </c>
      <c r="H172" s="26"/>
    </row>
    <row r="173">
      <c r="A173" s="16" t="s">
        <v>1182</v>
      </c>
      <c r="B173" s="21" t="s">
        <v>2052</v>
      </c>
      <c r="C173" s="21" t="s">
        <v>1783</v>
      </c>
      <c r="D173" s="21" t="s">
        <v>1596</v>
      </c>
      <c r="E173" s="21" t="s">
        <v>1318</v>
      </c>
      <c r="F173" s="21" t="s">
        <v>2053</v>
      </c>
      <c r="G173" s="21" t="s">
        <v>1177</v>
      </c>
      <c r="H173" s="26"/>
    </row>
    <row r="174">
      <c r="A174" s="16" t="s">
        <v>1186</v>
      </c>
      <c r="B174" s="28" t="s">
        <v>1249</v>
      </c>
      <c r="C174" s="28" t="s">
        <v>1249</v>
      </c>
      <c r="D174" s="28" t="s">
        <v>1383</v>
      </c>
      <c r="E174" s="28" t="s">
        <v>1269</v>
      </c>
      <c r="F174" s="28" t="s">
        <v>1248</v>
      </c>
      <c r="G174" s="28" t="s">
        <v>1177</v>
      </c>
      <c r="H174" s="26"/>
    </row>
    <row r="175">
      <c r="A175" s="20" t="s">
        <v>1188</v>
      </c>
      <c r="B175" s="21" t="s">
        <v>2054</v>
      </c>
      <c r="C175" s="21" t="s">
        <v>1617</v>
      </c>
      <c r="D175" s="21" t="s">
        <v>2054</v>
      </c>
      <c r="E175" s="21" t="s">
        <v>1740</v>
      </c>
      <c r="F175" s="21" t="s">
        <v>1920</v>
      </c>
      <c r="G175" s="21" t="s">
        <v>1177</v>
      </c>
      <c r="H175" s="26"/>
    </row>
    <row r="176">
      <c r="A176" s="29"/>
      <c r="B176" s="21" t="s">
        <v>1835</v>
      </c>
      <c r="C176" s="21" t="s">
        <v>1749</v>
      </c>
      <c r="D176" s="21" t="s">
        <v>1772</v>
      </c>
      <c r="E176" s="21" t="s">
        <v>1829</v>
      </c>
      <c r="F176" s="21" t="s">
        <v>1472</v>
      </c>
      <c r="G176" s="21" t="s">
        <v>1177</v>
      </c>
      <c r="H176" s="26"/>
    </row>
    <row r="177">
      <c r="A177" s="29"/>
      <c r="B177" s="21" t="s">
        <v>1651</v>
      </c>
      <c r="C177" s="21" t="s">
        <v>2054</v>
      </c>
      <c r="D177" s="21" t="s">
        <v>1389</v>
      </c>
      <c r="E177" s="21" t="s">
        <v>1697</v>
      </c>
      <c r="F177" s="21" t="s">
        <v>1438</v>
      </c>
      <c r="G177" s="21" t="s">
        <v>1177</v>
      </c>
      <c r="H177" s="26"/>
    </row>
    <row r="178">
      <c r="A178" s="24"/>
      <c r="B178" s="21" t="s">
        <v>1830</v>
      </c>
      <c r="C178" s="21" t="s">
        <v>1854</v>
      </c>
      <c r="D178" s="21" t="s">
        <v>1959</v>
      </c>
      <c r="E178" s="21" t="s">
        <v>2022</v>
      </c>
      <c r="F178" s="21" t="s">
        <v>1236</v>
      </c>
      <c r="G178" s="21" t="s">
        <v>1177</v>
      </c>
      <c r="H178" s="30"/>
      <c r="I178" s="14"/>
    </row>
    <row r="179">
      <c r="A179" s="37"/>
      <c r="B179" s="38" t="s">
        <v>2055</v>
      </c>
      <c r="C179" s="14"/>
      <c r="D179" s="14"/>
      <c r="E179" s="14"/>
      <c r="F179" s="14"/>
      <c r="G179" s="14"/>
      <c r="H179" s="24"/>
      <c r="I179" s="33"/>
    </row>
    <row r="180">
      <c r="A180" s="16" t="s">
        <v>1174</v>
      </c>
      <c r="B180" s="17" t="s">
        <v>2056</v>
      </c>
      <c r="C180" s="18"/>
      <c r="D180" s="18"/>
      <c r="E180" s="18"/>
      <c r="F180" s="18"/>
      <c r="G180" s="18"/>
      <c r="H180" s="18"/>
      <c r="I180" s="16"/>
    </row>
    <row r="181" ht="60.0" customHeight="1">
      <c r="A181" s="20" t="s">
        <v>1176</v>
      </c>
      <c r="B181" s="21" t="str">
        <f t="array" ref="B181">iferror(VLOOKUP(INDIRECT(ADDRESS(ROW()+1,COLUMN(), 4)),Dex!$A$2:$C725,3,false),"")</f>
        <v/>
      </c>
      <c r="C181" s="21" t="str">
        <f t="array" ref="C181">iferror(VLOOKUP(INDIRECT(ADDRESS(ROW()+1,COLUMN(), 4)),Dex!$A$2:$C725,3,false),"")</f>
        <v/>
      </c>
      <c r="D181" s="21" t="str">
        <f t="array" ref="D181">iferror(VLOOKUP(INDIRECT(ADDRESS(ROW()+1,COLUMN(), 4)),Dex!$A$2:$C725,3,false),"")</f>
        <v/>
      </c>
      <c r="E181" s="21" t="str">
        <f t="array" ref="E181">iferror(VLOOKUP(INDIRECT(ADDRESS(ROW()+1,COLUMN(), 4)),Dex!$A$2:$C725,3,false),"")</f>
        <v/>
      </c>
      <c r="F181" s="21" t="s">
        <v>1177</v>
      </c>
      <c r="G181" s="21" t="s">
        <v>1177</v>
      </c>
      <c r="H181" s="22" t="str">
        <f t="array" ref="H181">iferror(VLOOKUP("TRAINER_PIC_POKEMANIAC",Sprites!$A$1:$B725,2,false),"")</f>
        <v/>
      </c>
      <c r="I181" s="23"/>
    </row>
    <row r="182">
      <c r="A182" s="24"/>
      <c r="B182" s="25" t="s">
        <v>869</v>
      </c>
      <c r="C182" s="25" t="s">
        <v>953</v>
      </c>
      <c r="D182" s="25" t="s">
        <v>454</v>
      </c>
      <c r="E182" s="25" t="s">
        <v>285</v>
      </c>
      <c r="F182" s="25" t="s">
        <v>1177</v>
      </c>
      <c r="G182" s="25" t="s">
        <v>1177</v>
      </c>
      <c r="H182" s="26"/>
    </row>
    <row r="183">
      <c r="A183" s="16" t="s">
        <v>1178</v>
      </c>
      <c r="B183" s="27" t="s">
        <v>2028</v>
      </c>
      <c r="C183" s="27" t="s">
        <v>2017</v>
      </c>
      <c r="D183" s="27" t="s">
        <v>2017</v>
      </c>
      <c r="E183" s="27" t="s">
        <v>2028</v>
      </c>
      <c r="F183" s="21" t="s">
        <v>1177</v>
      </c>
      <c r="G183" s="21" t="s">
        <v>1177</v>
      </c>
      <c r="H183" s="26"/>
    </row>
    <row r="184">
      <c r="A184" s="16" t="s">
        <v>1181</v>
      </c>
      <c r="B184" s="28" t="s">
        <v>1882</v>
      </c>
      <c r="C184" s="28" t="s">
        <v>1209</v>
      </c>
      <c r="D184" s="28" t="s">
        <v>1838</v>
      </c>
      <c r="E184" s="28" t="s">
        <v>1209</v>
      </c>
      <c r="F184" s="28" t="s">
        <v>1177</v>
      </c>
      <c r="G184" s="28" t="s">
        <v>1177</v>
      </c>
      <c r="H184" s="26"/>
    </row>
    <row r="185">
      <c r="A185" s="16" t="s">
        <v>1182</v>
      </c>
      <c r="B185" s="21" t="s">
        <v>1931</v>
      </c>
      <c r="C185" s="21" t="s">
        <v>1903</v>
      </c>
      <c r="D185" s="21" t="s">
        <v>1443</v>
      </c>
      <c r="E185" s="21" t="s">
        <v>1902</v>
      </c>
      <c r="F185" s="21" t="s">
        <v>1177</v>
      </c>
      <c r="G185" s="21" t="s">
        <v>1177</v>
      </c>
      <c r="H185" s="26"/>
    </row>
    <row r="186">
      <c r="A186" s="16" t="s">
        <v>1186</v>
      </c>
      <c r="B186" s="28" t="s">
        <v>1284</v>
      </c>
      <c r="C186" s="28" t="s">
        <v>1284</v>
      </c>
      <c r="D186" s="28" t="s">
        <v>1446</v>
      </c>
      <c r="E186" s="28" t="s">
        <v>1406</v>
      </c>
      <c r="F186" s="28" t="s">
        <v>1177</v>
      </c>
      <c r="G186" s="28" t="s">
        <v>1177</v>
      </c>
      <c r="H186" s="26"/>
    </row>
    <row r="187">
      <c r="A187" s="20" t="s">
        <v>1188</v>
      </c>
      <c r="B187" s="21" t="s">
        <v>1778</v>
      </c>
      <c r="C187" s="21" t="s">
        <v>1740</v>
      </c>
      <c r="D187" s="21" t="s">
        <v>1423</v>
      </c>
      <c r="E187" s="21" t="s">
        <v>1214</v>
      </c>
      <c r="F187" s="21" t="s">
        <v>1177</v>
      </c>
      <c r="G187" s="21" t="s">
        <v>1177</v>
      </c>
      <c r="H187" s="26"/>
    </row>
    <row r="188">
      <c r="A188" s="29"/>
      <c r="B188" s="21" t="s">
        <v>1724</v>
      </c>
      <c r="C188" s="21" t="s">
        <v>1373</v>
      </c>
      <c r="D188" s="21" t="s">
        <v>1307</v>
      </c>
      <c r="E188" s="21" t="s">
        <v>1818</v>
      </c>
      <c r="F188" s="21" t="s">
        <v>1177</v>
      </c>
      <c r="G188" s="21" t="s">
        <v>1177</v>
      </c>
      <c r="H188" s="26"/>
    </row>
    <row r="189">
      <c r="A189" s="29"/>
      <c r="B189" s="21" t="s">
        <v>1652</v>
      </c>
      <c r="C189" s="21" t="s">
        <v>1470</v>
      </c>
      <c r="D189" s="21" t="s">
        <v>1422</v>
      </c>
      <c r="E189" s="21" t="s">
        <v>1725</v>
      </c>
      <c r="F189" s="21" t="s">
        <v>1177</v>
      </c>
      <c r="G189" s="21" t="s">
        <v>1177</v>
      </c>
      <c r="H189" s="26"/>
    </row>
    <row r="190">
      <c r="A190" s="24"/>
      <c r="B190" s="21" t="s">
        <v>1743</v>
      </c>
      <c r="C190" s="21" t="s">
        <v>1771</v>
      </c>
      <c r="D190" s="21" t="s">
        <v>1578</v>
      </c>
      <c r="E190" s="21" t="s">
        <v>1377</v>
      </c>
      <c r="F190" s="21" t="s">
        <v>1177</v>
      </c>
      <c r="G190" s="21" t="s">
        <v>1177</v>
      </c>
      <c r="H190" s="30"/>
      <c r="I190" s="14"/>
    </row>
    <row r="191">
      <c r="A191" s="16" t="s">
        <v>1174</v>
      </c>
      <c r="B191" s="17" t="s">
        <v>2057</v>
      </c>
      <c r="C191" s="18"/>
      <c r="D191" s="18"/>
      <c r="E191" s="18"/>
      <c r="F191" s="18"/>
      <c r="G191" s="18"/>
      <c r="H191" s="18"/>
      <c r="I191" s="16"/>
    </row>
    <row r="192" ht="60.0" customHeight="1">
      <c r="A192" s="20" t="s">
        <v>1176</v>
      </c>
      <c r="B192" s="21" t="str">
        <f t="array" ref="B192">iferror(VLOOKUP(INDIRECT(ADDRESS(ROW()+1,COLUMN(), 4)),Dex!$A$2:$C725,3,false),"")</f>
        <v/>
      </c>
      <c r="C192" s="21" t="str">
        <f t="array" ref="C192">iferror(VLOOKUP(INDIRECT(ADDRESS(ROW()+1,COLUMN(), 4)),Dex!$A$2:$C725,3,false),"")</f>
        <v/>
      </c>
      <c r="D192" s="21" t="str">
        <f t="array" ref="D192">iferror(VLOOKUP(INDIRECT(ADDRESS(ROW()+1,COLUMN(), 4)),Dex!$A$2:$C725,3,false),"")</f>
        <v/>
      </c>
      <c r="E192" s="21" t="s">
        <v>1177</v>
      </c>
      <c r="F192" s="21" t="s">
        <v>1177</v>
      </c>
      <c r="G192" s="21" t="s">
        <v>1177</v>
      </c>
      <c r="H192" s="22" t="str">
        <f t="array" ref="H192">iferror(VLOOKUP("TRAINER_PIC_NINJA_BOY",Sprites!$A$1:$B725,2,false),"")</f>
        <v/>
      </c>
      <c r="I192" s="23"/>
    </row>
    <row r="193">
      <c r="A193" s="24"/>
      <c r="B193" s="25" t="s">
        <v>245</v>
      </c>
      <c r="C193" s="25" t="s">
        <v>136</v>
      </c>
      <c r="D193" s="25" t="s">
        <v>165</v>
      </c>
      <c r="E193" s="25" t="s">
        <v>1177</v>
      </c>
      <c r="F193" s="25" t="s">
        <v>1177</v>
      </c>
      <c r="G193" s="25" t="s">
        <v>1177</v>
      </c>
      <c r="H193" s="26"/>
    </row>
    <row r="194">
      <c r="A194" s="16" t="s">
        <v>1178</v>
      </c>
      <c r="B194" s="27" t="s">
        <v>2028</v>
      </c>
      <c r="C194" s="27" t="s">
        <v>2017</v>
      </c>
      <c r="D194" s="27" t="s">
        <v>2017</v>
      </c>
      <c r="E194" s="21" t="s">
        <v>1177</v>
      </c>
      <c r="F194" s="21" t="s">
        <v>1177</v>
      </c>
      <c r="G194" s="21" t="s">
        <v>1177</v>
      </c>
      <c r="H194" s="26"/>
    </row>
    <row r="195">
      <c r="A195" s="16" t="s">
        <v>1181</v>
      </c>
      <c r="B195" s="28" t="s">
        <v>1882</v>
      </c>
      <c r="C195" s="28" t="s">
        <v>1346</v>
      </c>
      <c r="D195" s="28" t="s">
        <v>1346</v>
      </c>
      <c r="E195" s="28" t="s">
        <v>1177</v>
      </c>
      <c r="F195" s="28" t="s">
        <v>1177</v>
      </c>
      <c r="G195" s="28" t="s">
        <v>1177</v>
      </c>
      <c r="H195" s="26"/>
    </row>
    <row r="196">
      <c r="A196" s="16" t="s">
        <v>1182</v>
      </c>
      <c r="B196" s="21" t="s">
        <v>1356</v>
      </c>
      <c r="C196" s="21" t="s">
        <v>1267</v>
      </c>
      <c r="D196" s="21" t="s">
        <v>1368</v>
      </c>
      <c r="E196" s="21" t="s">
        <v>1177</v>
      </c>
      <c r="F196" s="21" t="s">
        <v>1177</v>
      </c>
      <c r="G196" s="21" t="s">
        <v>1177</v>
      </c>
      <c r="H196" s="26"/>
    </row>
    <row r="197">
      <c r="A197" s="16" t="s">
        <v>1186</v>
      </c>
      <c r="B197" s="28" t="s">
        <v>1249</v>
      </c>
      <c r="C197" s="28" t="s">
        <v>1446</v>
      </c>
      <c r="D197" s="28" t="s">
        <v>1257</v>
      </c>
      <c r="E197" s="28" t="s">
        <v>1177</v>
      </c>
      <c r="F197" s="28" t="s">
        <v>1177</v>
      </c>
      <c r="G197" s="28" t="s">
        <v>1177</v>
      </c>
      <c r="H197" s="26"/>
    </row>
    <row r="198">
      <c r="A198" s="20" t="s">
        <v>1188</v>
      </c>
      <c r="B198" s="21" t="s">
        <v>1776</v>
      </c>
      <c r="C198" s="21" t="s">
        <v>1814</v>
      </c>
      <c r="D198" s="21" t="s">
        <v>2058</v>
      </c>
      <c r="E198" s="21" t="s">
        <v>1177</v>
      </c>
      <c r="F198" s="21" t="s">
        <v>1177</v>
      </c>
      <c r="G198" s="21" t="s">
        <v>1177</v>
      </c>
      <c r="H198" s="26"/>
    </row>
    <row r="199">
      <c r="A199" s="29"/>
      <c r="B199" s="21" t="s">
        <v>1373</v>
      </c>
      <c r="C199" s="21" t="s">
        <v>1307</v>
      </c>
      <c r="D199" s="21" t="s">
        <v>1350</v>
      </c>
      <c r="E199" s="21" t="s">
        <v>1177</v>
      </c>
      <c r="F199" s="21" t="s">
        <v>1177</v>
      </c>
      <c r="G199" s="21" t="s">
        <v>1177</v>
      </c>
      <c r="H199" s="26"/>
    </row>
    <row r="200">
      <c r="A200" s="29"/>
      <c r="B200" s="21" t="s">
        <v>1629</v>
      </c>
      <c r="C200" s="21" t="s">
        <v>1323</v>
      </c>
      <c r="D200" s="21" t="s">
        <v>1740</v>
      </c>
      <c r="E200" s="21" t="s">
        <v>1177</v>
      </c>
      <c r="F200" s="21" t="s">
        <v>1177</v>
      </c>
      <c r="G200" s="21" t="s">
        <v>1177</v>
      </c>
      <c r="H200" s="26"/>
    </row>
    <row r="201">
      <c r="A201" s="24"/>
      <c r="B201" s="21" t="s">
        <v>1285</v>
      </c>
      <c r="C201" s="21" t="s">
        <v>1761</v>
      </c>
      <c r="D201" s="21" t="s">
        <v>1362</v>
      </c>
      <c r="E201" s="21" t="s">
        <v>1177</v>
      </c>
      <c r="F201" s="21" t="s">
        <v>1177</v>
      </c>
      <c r="G201" s="21" t="s">
        <v>1177</v>
      </c>
      <c r="H201" s="30"/>
      <c r="I201" s="14"/>
    </row>
    <row r="202">
      <c r="A202" s="16" t="s">
        <v>1174</v>
      </c>
      <c r="B202" s="17" t="s">
        <v>2059</v>
      </c>
      <c r="C202" s="18"/>
      <c r="D202" s="18"/>
      <c r="E202" s="18"/>
      <c r="F202" s="18"/>
      <c r="G202" s="18"/>
      <c r="H202" s="18"/>
      <c r="I202" s="16"/>
    </row>
    <row r="203" ht="60.0" customHeight="1">
      <c r="A203" s="20" t="s">
        <v>1176</v>
      </c>
      <c r="B203" s="21" t="str">
        <f t="array" ref="B203">iferror(VLOOKUP(INDIRECT(ADDRESS(ROW()+1,COLUMN(), 4)),Dex!$A$2:$C725,3,false),"")</f>
        <v/>
      </c>
      <c r="C203" s="21" t="str">
        <f t="array" ref="C203">iferror(VLOOKUP(INDIRECT(ADDRESS(ROW()+1,COLUMN(), 4)),Dex!$A$2:$C725,3,false),"")</f>
        <v/>
      </c>
      <c r="D203" s="21" t="str">
        <f t="array" ref="D203">iferror(VLOOKUP(INDIRECT(ADDRESS(ROW()+1,COLUMN(), 4)),Dex!$A$2:$C725,3,false),"")</f>
        <v/>
      </c>
      <c r="E203" s="21" t="str">
        <f t="array" ref="E203">iferror(VLOOKUP(INDIRECT(ADDRESS(ROW()+1,COLUMN(), 4)),Dex!$A$2:$C725,3,false),"")</f>
        <v/>
      </c>
      <c r="F203" s="21" t="s">
        <v>1177</v>
      </c>
      <c r="G203" s="21" t="s">
        <v>1177</v>
      </c>
      <c r="H203" s="22" t="str">
        <f t="array" ref="H203">iferror(VLOOKUP("TRAINER_PIC_PICNICKER",Sprites!$A$1:$B725,2,false),"")</f>
        <v/>
      </c>
      <c r="I203" s="23"/>
    </row>
    <row r="204">
      <c r="A204" s="24"/>
      <c r="B204" s="25" t="s">
        <v>859</v>
      </c>
      <c r="C204" s="25" t="s">
        <v>585</v>
      </c>
      <c r="D204" s="25" t="s">
        <v>1078</v>
      </c>
      <c r="E204" s="25" t="s">
        <v>1113</v>
      </c>
      <c r="F204" s="25" t="s">
        <v>1177</v>
      </c>
      <c r="G204" s="25" t="s">
        <v>1177</v>
      </c>
      <c r="H204" s="26"/>
    </row>
    <row r="205">
      <c r="A205" s="16" t="s">
        <v>1178</v>
      </c>
      <c r="B205" s="27" t="s">
        <v>2028</v>
      </c>
      <c r="C205" s="27" t="s">
        <v>2017</v>
      </c>
      <c r="D205" s="27" t="s">
        <v>2017</v>
      </c>
      <c r="E205" s="27" t="s">
        <v>2017</v>
      </c>
      <c r="F205" s="21" t="s">
        <v>1177</v>
      </c>
      <c r="G205" s="21" t="s">
        <v>1177</v>
      </c>
      <c r="H205" s="26"/>
    </row>
    <row r="206">
      <c r="A206" s="16" t="s">
        <v>1181</v>
      </c>
      <c r="B206" s="28" t="s">
        <v>1366</v>
      </c>
      <c r="C206" s="28" t="s">
        <v>1209</v>
      </c>
      <c r="D206" s="28" t="s">
        <v>2060</v>
      </c>
      <c r="E206" s="28" t="s">
        <v>1295</v>
      </c>
      <c r="F206" s="28" t="s">
        <v>1177</v>
      </c>
      <c r="G206" s="28" t="s">
        <v>1177</v>
      </c>
      <c r="H206" s="26"/>
    </row>
    <row r="207">
      <c r="A207" s="16" t="s">
        <v>1182</v>
      </c>
      <c r="B207" s="21" t="s">
        <v>1222</v>
      </c>
      <c r="C207" s="21" t="s">
        <v>1223</v>
      </c>
      <c r="D207" s="21" t="s">
        <v>1299</v>
      </c>
      <c r="E207" s="21" t="s">
        <v>1917</v>
      </c>
      <c r="F207" s="21" t="s">
        <v>1177</v>
      </c>
      <c r="G207" s="21" t="s">
        <v>1177</v>
      </c>
      <c r="H207" s="26"/>
    </row>
    <row r="208">
      <c r="A208" s="16" t="s">
        <v>1186</v>
      </c>
      <c r="B208" s="28" t="s">
        <v>1284</v>
      </c>
      <c r="C208" s="28" t="s">
        <v>1235</v>
      </c>
      <c r="D208" s="28" t="s">
        <v>1284</v>
      </c>
      <c r="E208" s="28" t="s">
        <v>1257</v>
      </c>
      <c r="F208" s="28" t="s">
        <v>1177</v>
      </c>
      <c r="G208" s="28" t="s">
        <v>1177</v>
      </c>
      <c r="H208" s="26"/>
    </row>
    <row r="209">
      <c r="A209" s="20" t="s">
        <v>1188</v>
      </c>
      <c r="B209" s="21" t="s">
        <v>1605</v>
      </c>
      <c r="C209" s="21" t="s">
        <v>1805</v>
      </c>
      <c r="D209" s="21" t="s">
        <v>1828</v>
      </c>
      <c r="E209" s="21" t="s">
        <v>1261</v>
      </c>
      <c r="F209" s="21" t="s">
        <v>1177</v>
      </c>
      <c r="G209" s="21" t="s">
        <v>1177</v>
      </c>
      <c r="H209" s="26"/>
    </row>
    <row r="210">
      <c r="A210" s="29"/>
      <c r="B210" s="21" t="s">
        <v>1740</v>
      </c>
      <c r="C210" s="21" t="s">
        <v>1983</v>
      </c>
      <c r="D210" s="21" t="s">
        <v>2061</v>
      </c>
      <c r="E210" s="21" t="s">
        <v>1726</v>
      </c>
      <c r="F210" s="21" t="s">
        <v>1177</v>
      </c>
      <c r="G210" s="21" t="s">
        <v>1177</v>
      </c>
      <c r="H210" s="26"/>
    </row>
    <row r="211">
      <c r="A211" s="29"/>
      <c r="B211" s="21" t="s">
        <v>1731</v>
      </c>
      <c r="C211" s="21" t="s">
        <v>1321</v>
      </c>
      <c r="D211" s="21" t="s">
        <v>1275</v>
      </c>
      <c r="E211" s="21" t="s">
        <v>1921</v>
      </c>
      <c r="F211" s="21" t="s">
        <v>1177</v>
      </c>
      <c r="G211" s="21" t="s">
        <v>1177</v>
      </c>
      <c r="H211" s="26"/>
    </row>
    <row r="212">
      <c r="A212" s="24"/>
      <c r="B212" s="21" t="s">
        <v>1310</v>
      </c>
      <c r="C212" s="21" t="s">
        <v>1307</v>
      </c>
      <c r="D212" s="21" t="s">
        <v>1398</v>
      </c>
      <c r="E212" s="21" t="s">
        <v>1698</v>
      </c>
      <c r="F212" s="21" t="s">
        <v>1177</v>
      </c>
      <c r="G212" s="21" t="s">
        <v>1177</v>
      </c>
      <c r="H212" s="30"/>
      <c r="I212" s="14"/>
    </row>
    <row r="213">
      <c r="A213" s="16" t="s">
        <v>1174</v>
      </c>
      <c r="B213" s="17" t="s">
        <v>2062</v>
      </c>
      <c r="C213" s="18"/>
      <c r="D213" s="18"/>
      <c r="E213" s="18"/>
      <c r="F213" s="18"/>
      <c r="G213" s="18"/>
      <c r="H213" s="18"/>
      <c r="I213" s="16"/>
    </row>
    <row r="214" ht="60.0" customHeight="1">
      <c r="A214" s="20" t="s">
        <v>1176</v>
      </c>
      <c r="B214" s="21" t="str">
        <f t="array" ref="B214">iferror(VLOOKUP(INDIRECT(ADDRESS(ROW()+1,COLUMN(), 4)),Dex!$A$2:$C725,3,false),"")</f>
        <v/>
      </c>
      <c r="C214" s="21" t="str">
        <f t="array" ref="C214">iferror(VLOOKUP(INDIRECT(ADDRESS(ROW()+1,COLUMN(), 4)),Dex!$A$2:$C725,3,false),"")</f>
        <v/>
      </c>
      <c r="D214" s="21" t="str">
        <f t="array" ref="D214">iferror(VLOOKUP(INDIRECT(ADDRESS(ROW()+1,COLUMN(), 4)),Dex!$A$2:$C725,3,false),"")</f>
        <v/>
      </c>
      <c r="E214" s="21" t="s">
        <v>1177</v>
      </c>
      <c r="F214" s="21" t="s">
        <v>1177</v>
      </c>
      <c r="G214" s="21" t="s">
        <v>1177</v>
      </c>
      <c r="H214" s="22" t="str">
        <f t="array" ref="H214">iferror(VLOOKUP("TRAINER_PIC_NINJA_BOY",Sprites!$A$1:$B725,2,false),"")</f>
        <v/>
      </c>
      <c r="I214" s="23"/>
    </row>
    <row r="215">
      <c r="A215" s="24"/>
      <c r="B215" s="25" t="s">
        <v>438</v>
      </c>
      <c r="C215" s="25" t="s">
        <v>776</v>
      </c>
      <c r="D215" s="25" t="s">
        <v>828</v>
      </c>
      <c r="E215" s="25" t="s">
        <v>1177</v>
      </c>
      <c r="F215" s="25" t="s">
        <v>1177</v>
      </c>
      <c r="G215" s="25" t="s">
        <v>1177</v>
      </c>
      <c r="H215" s="26"/>
    </row>
    <row r="216">
      <c r="A216" s="16" t="s">
        <v>1178</v>
      </c>
      <c r="B216" s="27" t="s">
        <v>2028</v>
      </c>
      <c r="C216" s="27" t="s">
        <v>2017</v>
      </c>
      <c r="D216" s="27" t="s">
        <v>2017</v>
      </c>
      <c r="E216" s="21" t="s">
        <v>1177</v>
      </c>
      <c r="F216" s="21" t="s">
        <v>1177</v>
      </c>
      <c r="G216" s="21" t="s">
        <v>1177</v>
      </c>
      <c r="H216" s="26"/>
    </row>
    <row r="217">
      <c r="A217" s="16" t="s">
        <v>1181</v>
      </c>
      <c r="B217" s="28" t="s">
        <v>1702</v>
      </c>
      <c r="C217" s="28" t="s">
        <v>1882</v>
      </c>
      <c r="D217" s="28" t="s">
        <v>1177</v>
      </c>
      <c r="E217" s="28" t="s">
        <v>1177</v>
      </c>
      <c r="F217" s="28" t="s">
        <v>1177</v>
      </c>
      <c r="G217" s="28" t="s">
        <v>1177</v>
      </c>
      <c r="H217" s="26"/>
    </row>
    <row r="218">
      <c r="A218" s="16" t="s">
        <v>1182</v>
      </c>
      <c r="B218" s="21" t="s">
        <v>1463</v>
      </c>
      <c r="C218" s="21" t="s">
        <v>1767</v>
      </c>
      <c r="D218" s="21" t="s">
        <v>1443</v>
      </c>
      <c r="E218" s="21" t="s">
        <v>1177</v>
      </c>
      <c r="F218" s="21" t="s">
        <v>1177</v>
      </c>
      <c r="G218" s="21" t="s">
        <v>1177</v>
      </c>
      <c r="H218" s="26"/>
    </row>
    <row r="219">
      <c r="A219" s="16" t="s">
        <v>1186</v>
      </c>
      <c r="B219" s="28" t="s">
        <v>1249</v>
      </c>
      <c r="C219" s="28" t="s">
        <v>1284</v>
      </c>
      <c r="D219" s="28" t="s">
        <v>1249</v>
      </c>
      <c r="E219" s="28" t="s">
        <v>1177</v>
      </c>
      <c r="F219" s="28" t="s">
        <v>1177</v>
      </c>
      <c r="G219" s="28" t="s">
        <v>1177</v>
      </c>
      <c r="H219" s="26"/>
    </row>
    <row r="220">
      <c r="A220" s="20" t="s">
        <v>1188</v>
      </c>
      <c r="B220" s="21" t="s">
        <v>1373</v>
      </c>
      <c r="C220" s="21" t="s">
        <v>1650</v>
      </c>
      <c r="D220" s="21" t="s">
        <v>1770</v>
      </c>
      <c r="E220" s="21" t="s">
        <v>1177</v>
      </c>
      <c r="F220" s="21" t="s">
        <v>1177</v>
      </c>
      <c r="G220" s="21" t="s">
        <v>1177</v>
      </c>
      <c r="H220" s="26"/>
    </row>
    <row r="221">
      <c r="A221" s="29"/>
      <c r="B221" s="21" t="s">
        <v>1740</v>
      </c>
      <c r="C221" s="21" t="s">
        <v>1878</v>
      </c>
      <c r="D221" s="21" t="s">
        <v>1814</v>
      </c>
      <c r="E221" s="21" t="s">
        <v>1177</v>
      </c>
      <c r="F221" s="21" t="s">
        <v>1177</v>
      </c>
      <c r="G221" s="21" t="s">
        <v>1177</v>
      </c>
      <c r="H221" s="26"/>
    </row>
    <row r="222">
      <c r="A222" s="29"/>
      <c r="B222" s="21" t="s">
        <v>1285</v>
      </c>
      <c r="C222" s="21" t="s">
        <v>1770</v>
      </c>
      <c r="D222" s="21" t="s">
        <v>1238</v>
      </c>
      <c r="E222" s="21" t="s">
        <v>1177</v>
      </c>
      <c r="F222" s="21" t="s">
        <v>1177</v>
      </c>
      <c r="G222" s="21" t="s">
        <v>1177</v>
      </c>
      <c r="H222" s="26"/>
    </row>
    <row r="223">
      <c r="A223" s="24"/>
      <c r="B223" s="21" t="s">
        <v>1677</v>
      </c>
      <c r="C223" s="21" t="s">
        <v>2063</v>
      </c>
      <c r="D223" s="21" t="s">
        <v>1759</v>
      </c>
      <c r="E223" s="21" t="s">
        <v>1177</v>
      </c>
      <c r="F223" s="21" t="s">
        <v>1177</v>
      </c>
      <c r="G223" s="21" t="s">
        <v>1177</v>
      </c>
      <c r="H223" s="30"/>
      <c r="I223" s="14"/>
    </row>
    <row r="224">
      <c r="A224" s="16" t="s">
        <v>1174</v>
      </c>
      <c r="B224" s="17" t="s">
        <v>2064</v>
      </c>
      <c r="C224" s="18"/>
      <c r="D224" s="18"/>
      <c r="E224" s="18"/>
      <c r="F224" s="18"/>
      <c r="G224" s="18"/>
      <c r="H224" s="18"/>
      <c r="I224" s="16"/>
    </row>
    <row r="225" ht="60.0" customHeight="1">
      <c r="A225" s="20" t="s">
        <v>1176</v>
      </c>
      <c r="B225" s="21" t="str">
        <f t="array" ref="B225">iferror(VLOOKUP(INDIRECT(ADDRESS(ROW()+1,COLUMN(), 4)),Dex!$A$2:$C725,3,false),"")</f>
        <v/>
      </c>
      <c r="C225" s="21" t="str">
        <f t="array" ref="C225">iferror(VLOOKUP(INDIRECT(ADDRESS(ROW()+1,COLUMN(), 4)),Dex!$A$2:$C725,3,false),"")</f>
        <v/>
      </c>
      <c r="D225" s="21" t="str">
        <f t="array" ref="D225">iferror(VLOOKUP(INDIRECT(ADDRESS(ROW()+1,COLUMN(), 4)),Dex!$A$2:$C725,3,false),"")</f>
        <v/>
      </c>
      <c r="E225" s="21" t="str">
        <f t="array" ref="E225">iferror(VLOOKUP(INDIRECT(ADDRESS(ROW()+1,COLUMN(), 4)),Dex!$A$2:$C725,3,false),"")</f>
        <v/>
      </c>
      <c r="F225" s="21" t="s">
        <v>1177</v>
      </c>
      <c r="G225" s="21" t="s">
        <v>1177</v>
      </c>
      <c r="H225" s="22" t="str">
        <f t="array" ref="H225">iferror(VLOOKUP("TRAINER_PIC_RICH_BOY",Sprites!$A$1:$B725,2,false),"")</f>
        <v/>
      </c>
      <c r="I225" s="23"/>
    </row>
    <row r="226">
      <c r="A226" s="24"/>
      <c r="B226" s="25" t="s">
        <v>61</v>
      </c>
      <c r="C226" s="25" t="s">
        <v>595</v>
      </c>
      <c r="D226" s="25" t="s">
        <v>368</v>
      </c>
      <c r="E226" s="25" t="s">
        <v>232</v>
      </c>
      <c r="F226" s="25" t="s">
        <v>1177</v>
      </c>
      <c r="G226" s="25" t="s">
        <v>1177</v>
      </c>
      <c r="H226" s="26"/>
    </row>
    <row r="227">
      <c r="A227" s="16" t="s">
        <v>1178</v>
      </c>
      <c r="B227" s="27" t="s">
        <v>2028</v>
      </c>
      <c r="C227" s="27" t="s">
        <v>2017</v>
      </c>
      <c r="D227" s="27" t="s">
        <v>2010</v>
      </c>
      <c r="E227" s="27" t="s">
        <v>2017</v>
      </c>
      <c r="F227" s="21" t="s">
        <v>1177</v>
      </c>
      <c r="G227" s="21" t="s">
        <v>1177</v>
      </c>
      <c r="H227" s="26"/>
    </row>
    <row r="228">
      <c r="A228" s="16" t="s">
        <v>1181</v>
      </c>
      <c r="B228" s="28" t="s">
        <v>1209</v>
      </c>
      <c r="C228" s="28" t="s">
        <v>1209</v>
      </c>
      <c r="D228" s="28" t="s">
        <v>1209</v>
      </c>
      <c r="E228" s="28" t="s">
        <v>1688</v>
      </c>
      <c r="F228" s="28" t="s">
        <v>1177</v>
      </c>
      <c r="G228" s="28" t="s">
        <v>1177</v>
      </c>
      <c r="H228" s="26"/>
    </row>
    <row r="229">
      <c r="A229" s="16" t="s">
        <v>1182</v>
      </c>
      <c r="B229" s="21" t="s">
        <v>2065</v>
      </c>
      <c r="C229" s="21" t="s">
        <v>2066</v>
      </c>
      <c r="D229" s="21" t="s">
        <v>1369</v>
      </c>
      <c r="E229" s="21" t="s">
        <v>1444</v>
      </c>
      <c r="F229" s="21" t="s">
        <v>1177</v>
      </c>
      <c r="G229" s="21" t="s">
        <v>1177</v>
      </c>
      <c r="H229" s="26"/>
    </row>
    <row r="230">
      <c r="A230" s="16" t="s">
        <v>1186</v>
      </c>
      <c r="B230" s="28" t="s">
        <v>1284</v>
      </c>
      <c r="C230" s="28" t="s">
        <v>1235</v>
      </c>
      <c r="D230" s="28" t="s">
        <v>1300</v>
      </c>
      <c r="E230" s="28" t="s">
        <v>1256</v>
      </c>
      <c r="F230" s="28" t="s">
        <v>1177</v>
      </c>
      <c r="G230" s="28" t="s">
        <v>1177</v>
      </c>
      <c r="H230" s="26"/>
    </row>
    <row r="231">
      <c r="A231" s="20" t="s">
        <v>1188</v>
      </c>
      <c r="B231" s="21" t="s">
        <v>1740</v>
      </c>
      <c r="C231" s="21" t="s">
        <v>1677</v>
      </c>
      <c r="D231" s="21" t="s">
        <v>2067</v>
      </c>
      <c r="E231" s="21" t="s">
        <v>1939</v>
      </c>
      <c r="F231" s="21" t="s">
        <v>1177</v>
      </c>
      <c r="G231" s="21" t="s">
        <v>1177</v>
      </c>
      <c r="H231" s="26"/>
    </row>
    <row r="232">
      <c r="A232" s="29"/>
      <c r="B232" s="21" t="s">
        <v>1914</v>
      </c>
      <c r="C232" s="21" t="s">
        <v>2068</v>
      </c>
      <c r="D232" s="21" t="s">
        <v>1890</v>
      </c>
      <c r="E232" s="21" t="s">
        <v>1177</v>
      </c>
      <c r="F232" s="21" t="s">
        <v>1177</v>
      </c>
      <c r="G232" s="21" t="s">
        <v>1177</v>
      </c>
      <c r="H232" s="26"/>
    </row>
    <row r="233">
      <c r="A233" s="29"/>
      <c r="B233" s="21" t="s">
        <v>1786</v>
      </c>
      <c r="C233" s="21" t="s">
        <v>1651</v>
      </c>
      <c r="D233" s="21" t="s">
        <v>1830</v>
      </c>
      <c r="E233" s="21" t="s">
        <v>1177</v>
      </c>
      <c r="F233" s="21" t="s">
        <v>1177</v>
      </c>
      <c r="G233" s="21" t="s">
        <v>1177</v>
      </c>
      <c r="H233" s="26"/>
    </row>
    <row r="234">
      <c r="A234" s="24"/>
      <c r="B234" s="21" t="s">
        <v>1311</v>
      </c>
      <c r="C234" s="21" t="s">
        <v>1705</v>
      </c>
      <c r="D234" s="21" t="s">
        <v>1629</v>
      </c>
      <c r="E234" s="21" t="s">
        <v>1177</v>
      </c>
      <c r="F234" s="21" t="s">
        <v>1177</v>
      </c>
      <c r="G234" s="21" t="s">
        <v>1177</v>
      </c>
      <c r="H234" s="30"/>
      <c r="I234" s="14"/>
    </row>
    <row r="235">
      <c r="A235" s="16" t="s">
        <v>1174</v>
      </c>
      <c r="B235" s="17" t="s">
        <v>2069</v>
      </c>
      <c r="C235" s="18"/>
      <c r="D235" s="18"/>
      <c r="E235" s="18"/>
      <c r="F235" s="18"/>
      <c r="G235" s="18"/>
      <c r="H235" s="18"/>
      <c r="I235" s="16"/>
    </row>
    <row r="236" ht="60.0" customHeight="1">
      <c r="A236" s="20" t="s">
        <v>1176</v>
      </c>
      <c r="B236" s="21" t="str">
        <f t="array" ref="B236">iferror(VLOOKUP(INDIRECT(ADDRESS(ROW()+1,COLUMN(), 4)),Dex!$A$2:$C725,3,false),"")</f>
        <v/>
      </c>
      <c r="C236" s="21" t="str">
        <f t="array" ref="C236">iferror(VLOOKUP(INDIRECT(ADDRESS(ROW()+1,COLUMN(), 4)),Dex!$A$2:$C725,3,false),"")</f>
        <v/>
      </c>
      <c r="D236" s="21" t="str">
        <f t="array" ref="D236">iferror(VLOOKUP(INDIRECT(ADDRESS(ROW()+1,COLUMN(), 4)),Dex!$A$2:$C725,3,false),"")</f>
        <v/>
      </c>
      <c r="E236" s="21" t="str">
        <f t="array" ref="E236">iferror(VLOOKUP(INDIRECT(ADDRESS(ROW()+1,COLUMN(), 4)),Dex!$A$2:$C725,3,false),"")</f>
        <v/>
      </c>
      <c r="F236" s="21" t="s">
        <v>1177</v>
      </c>
      <c r="G236" s="21" t="s">
        <v>1177</v>
      </c>
      <c r="H236" s="22" t="str">
        <f t="array" ref="H236">iferror(VLOOKUP("TRAINER_PIC_TWINS",Sprites!$A$1:$B725,2,false),"")</f>
        <v/>
      </c>
      <c r="I236" s="23"/>
    </row>
    <row r="237">
      <c r="A237" s="24"/>
      <c r="B237" s="25" t="s">
        <v>715</v>
      </c>
      <c r="C237" s="25" t="s">
        <v>994</v>
      </c>
      <c r="D237" s="25" t="s">
        <v>735</v>
      </c>
      <c r="E237" s="25" t="s">
        <v>785</v>
      </c>
      <c r="F237" s="25" t="s">
        <v>1177</v>
      </c>
      <c r="G237" s="25" t="s">
        <v>1177</v>
      </c>
      <c r="H237" s="26"/>
    </row>
    <row r="238">
      <c r="A238" s="16" t="s">
        <v>1178</v>
      </c>
      <c r="B238" s="27" t="s">
        <v>2017</v>
      </c>
      <c r="C238" s="27" t="s">
        <v>2017</v>
      </c>
      <c r="D238" s="27" t="s">
        <v>2010</v>
      </c>
      <c r="E238" s="27" t="s">
        <v>2010</v>
      </c>
      <c r="F238" s="21" t="s">
        <v>1177</v>
      </c>
      <c r="G238" s="21" t="s">
        <v>1177</v>
      </c>
      <c r="H238" s="26"/>
    </row>
    <row r="239">
      <c r="A239" s="16" t="s">
        <v>1181</v>
      </c>
      <c r="B239" s="28" t="s">
        <v>1366</v>
      </c>
      <c r="C239" s="28" t="s">
        <v>1209</v>
      </c>
      <c r="D239" s="28" t="s">
        <v>1366</v>
      </c>
      <c r="E239" s="28" t="s">
        <v>1209</v>
      </c>
      <c r="F239" s="28" t="s">
        <v>1177</v>
      </c>
      <c r="G239" s="28" t="s">
        <v>1177</v>
      </c>
      <c r="H239" s="26"/>
    </row>
    <row r="240">
      <c r="A240" s="16" t="s">
        <v>1182</v>
      </c>
      <c r="B240" s="21" t="s">
        <v>1298</v>
      </c>
      <c r="C240" s="21" t="s">
        <v>2070</v>
      </c>
      <c r="D240" s="21" t="s">
        <v>1730</v>
      </c>
      <c r="E240" s="21" t="s">
        <v>1405</v>
      </c>
      <c r="F240" s="21" t="s">
        <v>1177</v>
      </c>
      <c r="G240" s="21" t="s">
        <v>1177</v>
      </c>
      <c r="H240" s="26"/>
    </row>
    <row r="241">
      <c r="A241" s="16" t="s">
        <v>1186</v>
      </c>
      <c r="B241" s="28" t="s">
        <v>1235</v>
      </c>
      <c r="C241" s="28" t="s">
        <v>1235</v>
      </c>
      <c r="D241" s="28" t="s">
        <v>1284</v>
      </c>
      <c r="E241" s="28" t="s">
        <v>1235</v>
      </c>
      <c r="F241" s="28" t="s">
        <v>1177</v>
      </c>
      <c r="G241" s="28" t="s">
        <v>1177</v>
      </c>
      <c r="H241" s="26"/>
    </row>
    <row r="242">
      <c r="A242" s="20" t="s">
        <v>1188</v>
      </c>
      <c r="B242" s="21" t="s">
        <v>1874</v>
      </c>
      <c r="C242" s="21" t="s">
        <v>1741</v>
      </c>
      <c r="D242" s="21" t="s">
        <v>1731</v>
      </c>
      <c r="E242" s="21" t="s">
        <v>1607</v>
      </c>
      <c r="F242" s="21" t="s">
        <v>1177</v>
      </c>
      <c r="G242" s="21" t="s">
        <v>1177</v>
      </c>
      <c r="H242" s="26"/>
    </row>
    <row r="243">
      <c r="A243" s="29"/>
      <c r="B243" s="21" t="s">
        <v>1307</v>
      </c>
      <c r="C243" s="21" t="s">
        <v>1760</v>
      </c>
      <c r="D243" s="21" t="s">
        <v>1587</v>
      </c>
      <c r="E243" s="21" t="s">
        <v>1471</v>
      </c>
      <c r="F243" s="21" t="s">
        <v>1177</v>
      </c>
      <c r="G243" s="21" t="s">
        <v>1177</v>
      </c>
      <c r="H243" s="26"/>
    </row>
    <row r="244">
      <c r="A244" s="29"/>
      <c r="B244" s="21" t="s">
        <v>1732</v>
      </c>
      <c r="C244" s="21" t="s">
        <v>1594</v>
      </c>
      <c r="D244" s="21" t="s">
        <v>1225</v>
      </c>
      <c r="E244" s="21" t="s">
        <v>1307</v>
      </c>
      <c r="F244" s="21" t="s">
        <v>1177</v>
      </c>
      <c r="G244" s="21" t="s">
        <v>1177</v>
      </c>
      <c r="H244" s="26"/>
    </row>
    <row r="245">
      <c r="A245" s="24"/>
      <c r="B245" s="21" t="s">
        <v>1225</v>
      </c>
      <c r="C245" s="21" t="s">
        <v>1410</v>
      </c>
      <c r="D245" s="21" t="s">
        <v>1311</v>
      </c>
      <c r="E245" s="21" t="s">
        <v>1759</v>
      </c>
      <c r="F245" s="21" t="s">
        <v>1177</v>
      </c>
      <c r="G245" s="21" t="s">
        <v>1177</v>
      </c>
      <c r="H245" s="30"/>
      <c r="I245" s="14"/>
    </row>
    <row r="246">
      <c r="A246" s="16" t="s">
        <v>1174</v>
      </c>
      <c r="B246" s="17" t="s">
        <v>2071</v>
      </c>
      <c r="C246" s="18"/>
      <c r="D246" s="18"/>
      <c r="E246" s="18"/>
      <c r="F246" s="18"/>
      <c r="G246" s="18"/>
      <c r="H246" s="18"/>
      <c r="I246" s="16"/>
    </row>
    <row r="247" ht="60.0" customHeight="1">
      <c r="A247" s="20" t="s">
        <v>1176</v>
      </c>
      <c r="B247" s="21" t="str">
        <f t="array" ref="B247">iferror(VLOOKUP(INDIRECT(ADDRESS(ROW()+1,COLUMN(), 4)),Dex!$A$2:$C725,3,false),"")</f>
        <v/>
      </c>
      <c r="C247" s="21" t="str">
        <f t="array" ref="C247">iferror(VLOOKUP(INDIRECT(ADDRESS(ROW()+1,COLUMN(), 4)),Dex!$A$2:$C725,3,false),"")</f>
        <v/>
      </c>
      <c r="D247" s="21" t="str">
        <f t="array" ref="D247">iferror(VLOOKUP(INDIRECT(ADDRESS(ROW()+1,COLUMN(), 4)),Dex!$A$2:$C725,3,false),"")</f>
        <v/>
      </c>
      <c r="E247" s="21" t="s">
        <v>1177</v>
      </c>
      <c r="F247" s="21" t="s">
        <v>1177</v>
      </c>
      <c r="G247" s="21" t="s">
        <v>1177</v>
      </c>
      <c r="H247" s="22" t="str">
        <f t="array" ref="H247">iferror(VLOOKUP("TRAINER_PIC_YOUNGSTER",Sprites!$A$1:$B725,2,false),"")</f>
        <v/>
      </c>
      <c r="I247" s="23"/>
    </row>
    <row r="248">
      <c r="A248" s="24"/>
      <c r="B248" s="25" t="s">
        <v>182</v>
      </c>
      <c r="C248" s="25" t="s">
        <v>834</v>
      </c>
      <c r="D248" s="25" t="s">
        <v>188</v>
      </c>
      <c r="E248" s="25" t="s">
        <v>1177</v>
      </c>
      <c r="F248" s="25" t="s">
        <v>1177</v>
      </c>
      <c r="G248" s="25" t="s">
        <v>1177</v>
      </c>
      <c r="H248" s="26"/>
    </row>
    <row r="249">
      <c r="A249" s="16" t="s">
        <v>1178</v>
      </c>
      <c r="B249" s="27" t="s">
        <v>2017</v>
      </c>
      <c r="C249" s="27" t="s">
        <v>2017</v>
      </c>
      <c r="D249" s="27" t="s">
        <v>2017</v>
      </c>
      <c r="E249" s="21" t="s">
        <v>1177</v>
      </c>
      <c r="F249" s="21" t="s">
        <v>1177</v>
      </c>
      <c r="G249" s="21" t="s">
        <v>1177</v>
      </c>
      <c r="H249" s="26"/>
    </row>
    <row r="250">
      <c r="A250" s="16" t="s">
        <v>1181</v>
      </c>
      <c r="B250" s="28" t="s">
        <v>1246</v>
      </c>
      <c r="C250" s="28" t="s">
        <v>1282</v>
      </c>
      <c r="D250" s="28" t="s">
        <v>1209</v>
      </c>
      <c r="E250" s="28" t="s">
        <v>1177</v>
      </c>
      <c r="F250" s="28" t="s">
        <v>1177</v>
      </c>
      <c r="G250" s="28" t="s">
        <v>1177</v>
      </c>
      <c r="H250" s="26"/>
    </row>
    <row r="251">
      <c r="A251" s="16" t="s">
        <v>1182</v>
      </c>
      <c r="B251" s="21" t="s">
        <v>1461</v>
      </c>
      <c r="C251" s="21" t="s">
        <v>1318</v>
      </c>
      <c r="D251" s="21" t="s">
        <v>1938</v>
      </c>
      <c r="E251" s="21" t="s">
        <v>1177</v>
      </c>
      <c r="F251" s="21" t="s">
        <v>1177</v>
      </c>
      <c r="G251" s="21" t="s">
        <v>1177</v>
      </c>
      <c r="H251" s="26"/>
    </row>
    <row r="252">
      <c r="A252" s="16" t="s">
        <v>1186</v>
      </c>
      <c r="B252" s="28" t="s">
        <v>1235</v>
      </c>
      <c r="C252" s="28" t="s">
        <v>1235</v>
      </c>
      <c r="D252" s="28" t="s">
        <v>1235</v>
      </c>
      <c r="E252" s="28" t="s">
        <v>1177</v>
      </c>
      <c r="F252" s="28" t="s">
        <v>1177</v>
      </c>
      <c r="G252" s="28" t="s">
        <v>1177</v>
      </c>
      <c r="H252" s="26"/>
    </row>
    <row r="253">
      <c r="A253" s="20" t="s">
        <v>1188</v>
      </c>
      <c r="B253" s="21" t="s">
        <v>1886</v>
      </c>
      <c r="C253" s="21" t="s">
        <v>1737</v>
      </c>
      <c r="D253" s="21" t="s">
        <v>1407</v>
      </c>
      <c r="E253" s="21" t="s">
        <v>1177</v>
      </c>
      <c r="F253" s="21" t="s">
        <v>1177</v>
      </c>
      <c r="G253" s="21" t="s">
        <v>1177</v>
      </c>
      <c r="H253" s="26"/>
    </row>
    <row r="254">
      <c r="A254" s="29"/>
      <c r="B254" s="21" t="s">
        <v>1415</v>
      </c>
      <c r="C254" s="21" t="s">
        <v>1238</v>
      </c>
      <c r="D254" s="21" t="s">
        <v>1874</v>
      </c>
      <c r="E254" s="21" t="s">
        <v>1177</v>
      </c>
      <c r="F254" s="21" t="s">
        <v>1177</v>
      </c>
      <c r="G254" s="21" t="s">
        <v>1177</v>
      </c>
      <c r="H254" s="26"/>
    </row>
    <row r="255">
      <c r="A255" s="29"/>
      <c r="B255" s="21" t="s">
        <v>1177</v>
      </c>
      <c r="C255" s="21" t="s">
        <v>1641</v>
      </c>
      <c r="D255" s="21" t="s">
        <v>1469</v>
      </c>
      <c r="E255" s="21" t="s">
        <v>1177</v>
      </c>
      <c r="F255" s="21" t="s">
        <v>1177</v>
      </c>
      <c r="G255" s="21" t="s">
        <v>1177</v>
      </c>
      <c r="H255" s="26"/>
    </row>
    <row r="256">
      <c r="A256" s="24"/>
      <c r="B256" s="21" t="s">
        <v>1177</v>
      </c>
      <c r="C256" s="21" t="s">
        <v>1590</v>
      </c>
      <c r="D256" s="21" t="s">
        <v>1967</v>
      </c>
      <c r="E256" s="21" t="s">
        <v>1177</v>
      </c>
      <c r="F256" s="21" t="s">
        <v>1177</v>
      </c>
      <c r="G256" s="21" t="s">
        <v>1177</v>
      </c>
      <c r="H256" s="30"/>
      <c r="I256" s="14"/>
    </row>
    <row r="257">
      <c r="A257" s="16" t="s">
        <v>1174</v>
      </c>
      <c r="B257" s="17" t="s">
        <v>2072</v>
      </c>
      <c r="C257" s="18"/>
      <c r="D257" s="18"/>
      <c r="E257" s="18"/>
      <c r="F257" s="18"/>
      <c r="G257" s="18"/>
      <c r="H257" s="18"/>
      <c r="I257" s="16"/>
    </row>
    <row r="258" ht="60.0" customHeight="1">
      <c r="A258" s="20" t="s">
        <v>1176</v>
      </c>
      <c r="B258" s="21" t="str">
        <f t="array" ref="B258">iferror(VLOOKUP(INDIRECT(ADDRESS(ROW()+1,COLUMN(), 4)),Dex!$A$2:$C725,3,false),"")</f>
        <v/>
      </c>
      <c r="C258" s="21" t="str">
        <f t="array" ref="C258">iferror(VLOOKUP(INDIRECT(ADDRESS(ROW()+1,COLUMN(), 4)),Dex!$A$2:$C725,3,false),"")</f>
        <v/>
      </c>
      <c r="D258" s="21" t="str">
        <f t="array" ref="D258">iferror(VLOOKUP(INDIRECT(ADDRESS(ROW()+1,COLUMN(), 4)),Dex!$A$2:$C725,3,false),"")</f>
        <v/>
      </c>
      <c r="E258" s="21" t="s">
        <v>1177</v>
      </c>
      <c r="F258" s="21" t="s">
        <v>1177</v>
      </c>
      <c r="G258" s="21" t="s">
        <v>1177</v>
      </c>
      <c r="H258" s="22" t="str">
        <f t="array" ref="H258">iferror(VLOOKUP("TRAINER_PIC_BIRD_KEEPER",Sprites!$A$1:$B725,2,false),"")</f>
        <v/>
      </c>
      <c r="I258" s="23"/>
    </row>
    <row r="259">
      <c r="A259" s="24"/>
      <c r="B259" s="25" t="s">
        <v>783</v>
      </c>
      <c r="C259" s="25" t="s">
        <v>1076</v>
      </c>
      <c r="D259" s="25" t="s">
        <v>925</v>
      </c>
      <c r="E259" s="25" t="s">
        <v>1177</v>
      </c>
      <c r="F259" s="25" t="s">
        <v>1177</v>
      </c>
      <c r="G259" s="25" t="s">
        <v>1177</v>
      </c>
      <c r="H259" s="26"/>
    </row>
    <row r="260">
      <c r="A260" s="16" t="s">
        <v>1178</v>
      </c>
      <c r="B260" s="27" t="s">
        <v>2017</v>
      </c>
      <c r="C260" s="27" t="s">
        <v>2017</v>
      </c>
      <c r="D260" s="27" t="s">
        <v>2028</v>
      </c>
      <c r="E260" s="21" t="s">
        <v>1177</v>
      </c>
      <c r="F260" s="21" t="s">
        <v>1177</v>
      </c>
      <c r="G260" s="21" t="s">
        <v>1177</v>
      </c>
      <c r="H260" s="26"/>
    </row>
    <row r="261">
      <c r="A261" s="16" t="s">
        <v>1181</v>
      </c>
      <c r="B261" s="28" t="s">
        <v>1209</v>
      </c>
      <c r="C261" s="28" t="s">
        <v>2060</v>
      </c>
      <c r="D261" s="28" t="s">
        <v>1209</v>
      </c>
      <c r="E261" s="28" t="s">
        <v>1177</v>
      </c>
      <c r="F261" s="28" t="s">
        <v>1177</v>
      </c>
      <c r="G261" s="28" t="s">
        <v>1177</v>
      </c>
      <c r="H261" s="26"/>
    </row>
    <row r="262">
      <c r="A262" s="16" t="s">
        <v>1182</v>
      </c>
      <c r="B262" s="21" t="s">
        <v>1420</v>
      </c>
      <c r="C262" s="21" t="s">
        <v>1299</v>
      </c>
      <c r="D262" s="21" t="s">
        <v>1368</v>
      </c>
      <c r="E262" s="21" t="s">
        <v>1177</v>
      </c>
      <c r="F262" s="21" t="s">
        <v>1177</v>
      </c>
      <c r="G262" s="21" t="s">
        <v>1177</v>
      </c>
      <c r="H262" s="26"/>
    </row>
    <row r="263">
      <c r="A263" s="16" t="s">
        <v>1186</v>
      </c>
      <c r="B263" s="28" t="s">
        <v>1235</v>
      </c>
      <c r="C263" s="28" t="s">
        <v>1249</v>
      </c>
      <c r="D263" s="28" t="s">
        <v>1284</v>
      </c>
      <c r="E263" s="28" t="s">
        <v>1177</v>
      </c>
      <c r="F263" s="28" t="s">
        <v>1177</v>
      </c>
      <c r="G263" s="28" t="s">
        <v>1177</v>
      </c>
      <c r="H263" s="26"/>
    </row>
    <row r="264">
      <c r="A264" s="20" t="s">
        <v>1188</v>
      </c>
      <c r="B264" s="21" t="s">
        <v>1677</v>
      </c>
      <c r="C264" s="21" t="s">
        <v>1828</v>
      </c>
      <c r="D264" s="21" t="s">
        <v>1650</v>
      </c>
      <c r="E264" s="21" t="s">
        <v>1177</v>
      </c>
      <c r="F264" s="21" t="s">
        <v>1177</v>
      </c>
      <c r="G264" s="21" t="s">
        <v>1177</v>
      </c>
      <c r="H264" s="26"/>
    </row>
    <row r="265">
      <c r="A265" s="29"/>
      <c r="B265" s="21" t="s">
        <v>1448</v>
      </c>
      <c r="C265" s="21" t="s">
        <v>2073</v>
      </c>
      <c r="D265" s="21" t="s">
        <v>1840</v>
      </c>
      <c r="E265" s="21" t="s">
        <v>1177</v>
      </c>
      <c r="F265" s="21" t="s">
        <v>1177</v>
      </c>
      <c r="G265" s="21" t="s">
        <v>1177</v>
      </c>
      <c r="H265" s="26"/>
    </row>
    <row r="266">
      <c r="A266" s="29"/>
      <c r="B266" s="21" t="s">
        <v>1928</v>
      </c>
      <c r="C266" s="21" t="s">
        <v>1238</v>
      </c>
      <c r="D266" s="21" t="s">
        <v>1371</v>
      </c>
      <c r="E266" s="21" t="s">
        <v>1177</v>
      </c>
      <c r="F266" s="21" t="s">
        <v>1177</v>
      </c>
      <c r="G266" s="21" t="s">
        <v>1177</v>
      </c>
      <c r="H266" s="26"/>
    </row>
    <row r="267">
      <c r="A267" s="24"/>
      <c r="B267" s="21" t="s">
        <v>1705</v>
      </c>
      <c r="C267" s="21" t="s">
        <v>1915</v>
      </c>
      <c r="D267" s="21" t="s">
        <v>1891</v>
      </c>
      <c r="E267" s="21" t="s">
        <v>1177</v>
      </c>
      <c r="F267" s="21" t="s">
        <v>1177</v>
      </c>
      <c r="G267" s="21" t="s">
        <v>1177</v>
      </c>
      <c r="H267" s="30"/>
      <c r="I267" s="14"/>
    </row>
    <row r="268">
      <c r="A268" s="16" t="s">
        <v>1174</v>
      </c>
      <c r="B268" s="17" t="s">
        <v>2074</v>
      </c>
      <c r="C268" s="18"/>
      <c r="D268" s="18"/>
      <c r="E268" s="18"/>
      <c r="F268" s="18"/>
      <c r="G268" s="18"/>
      <c r="H268" s="18"/>
      <c r="I268" s="19"/>
    </row>
    <row r="269" ht="60.0" customHeight="1">
      <c r="A269" s="20" t="s">
        <v>1176</v>
      </c>
      <c r="B269" s="21" t="str">
        <f t="array" ref="B269">iferror(VLOOKUP(INDIRECT(ADDRESS(ROW()+1,COLUMN(), 4)),Dex!$A$2:$C725,3,false),"")</f>
        <v/>
      </c>
      <c r="C269" s="21" t="str">
        <f t="array" ref="C269">iferror(VLOOKUP(INDIRECT(ADDRESS(ROW()+1,COLUMN(), 4)),Dex!$A$2:$C725,3,false),"")</f>
        <v/>
      </c>
      <c r="D269" s="21" t="str">
        <f t="array" ref="D269">iferror(VLOOKUP(INDIRECT(ADDRESS(ROW()+1,COLUMN(), 4)),Dex!$A$2:$C725,3,false),"")</f>
        <v/>
      </c>
      <c r="E269" s="21" t="s">
        <v>1177</v>
      </c>
      <c r="F269" s="21" t="s">
        <v>1177</v>
      </c>
      <c r="G269" s="21" t="s">
        <v>1177</v>
      </c>
      <c r="H269" s="22" t="str">
        <f t="array" ref="H269">iferror(VLOOKUP("TRAINER_PIC_PARASOL_LADY",Sprites!$A$1:$B725,2,false),"")</f>
        <v/>
      </c>
      <c r="I269" s="23"/>
    </row>
    <row r="270">
      <c r="A270" s="24"/>
      <c r="B270" s="25" t="s">
        <v>43</v>
      </c>
      <c r="C270" s="25" t="s">
        <v>159</v>
      </c>
      <c r="D270" s="25" t="s">
        <v>586</v>
      </c>
      <c r="E270" s="25" t="s">
        <v>1177</v>
      </c>
      <c r="F270" s="25" t="s">
        <v>1177</v>
      </c>
      <c r="G270" s="25" t="s">
        <v>1177</v>
      </c>
      <c r="H270" s="26"/>
    </row>
    <row r="271">
      <c r="A271" s="16" t="s">
        <v>1178</v>
      </c>
      <c r="B271" s="27" t="s">
        <v>2017</v>
      </c>
      <c r="C271" s="27" t="s">
        <v>2010</v>
      </c>
      <c r="D271" s="27" t="s">
        <v>2010</v>
      </c>
      <c r="E271" s="21" t="s">
        <v>1177</v>
      </c>
      <c r="F271" s="21" t="s">
        <v>1177</v>
      </c>
      <c r="G271" s="21" t="s">
        <v>1177</v>
      </c>
      <c r="H271" s="26"/>
    </row>
    <row r="272">
      <c r="A272" s="16" t="s">
        <v>1181</v>
      </c>
      <c r="B272" s="28" t="s">
        <v>1209</v>
      </c>
      <c r="C272" s="28" t="s">
        <v>1995</v>
      </c>
      <c r="D272" s="28" t="s">
        <v>1295</v>
      </c>
      <c r="E272" s="28" t="s">
        <v>1177</v>
      </c>
      <c r="F272" s="28" t="s">
        <v>1177</v>
      </c>
      <c r="G272" s="28" t="s">
        <v>1177</v>
      </c>
      <c r="H272" s="26"/>
    </row>
    <row r="273">
      <c r="A273" s="16" t="s">
        <v>1182</v>
      </c>
      <c r="B273" s="21" t="s">
        <v>1669</v>
      </c>
      <c r="C273" s="21" t="s">
        <v>1669</v>
      </c>
      <c r="D273" s="21" t="s">
        <v>1669</v>
      </c>
      <c r="E273" s="21" t="s">
        <v>1177</v>
      </c>
      <c r="F273" s="21" t="s">
        <v>1177</v>
      </c>
      <c r="G273" s="21" t="s">
        <v>1177</v>
      </c>
      <c r="H273" s="26"/>
    </row>
    <row r="274">
      <c r="A274" s="16" t="s">
        <v>1186</v>
      </c>
      <c r="B274" s="28" t="s">
        <v>1249</v>
      </c>
      <c r="C274" s="28" t="s">
        <v>1235</v>
      </c>
      <c r="D274" s="28" t="s">
        <v>1406</v>
      </c>
      <c r="E274" s="28" t="s">
        <v>1177</v>
      </c>
      <c r="F274" s="28" t="s">
        <v>1177</v>
      </c>
      <c r="G274" s="28" t="s">
        <v>1177</v>
      </c>
      <c r="H274" s="26"/>
    </row>
    <row r="275">
      <c r="A275" s="20" t="s">
        <v>1188</v>
      </c>
      <c r="B275" s="21" t="s">
        <v>1724</v>
      </c>
      <c r="C275" s="21" t="s">
        <v>2075</v>
      </c>
      <c r="D275" s="21" t="s">
        <v>1677</v>
      </c>
      <c r="E275" s="21" t="s">
        <v>1177</v>
      </c>
      <c r="F275" s="21" t="s">
        <v>1177</v>
      </c>
      <c r="G275" s="21" t="s">
        <v>1177</v>
      </c>
      <c r="H275" s="26"/>
    </row>
    <row r="276">
      <c r="A276" s="29"/>
      <c r="B276" s="21" t="s">
        <v>1652</v>
      </c>
      <c r="C276" s="21" t="s">
        <v>1320</v>
      </c>
      <c r="D276" s="21" t="s">
        <v>1678</v>
      </c>
      <c r="E276" s="21" t="s">
        <v>1177</v>
      </c>
      <c r="F276" s="21" t="s">
        <v>1177</v>
      </c>
      <c r="G276" s="21" t="s">
        <v>1177</v>
      </c>
      <c r="H276" s="26"/>
    </row>
    <row r="277">
      <c r="A277" s="29"/>
      <c r="B277" s="21" t="s">
        <v>1672</v>
      </c>
      <c r="C277" s="21" t="s">
        <v>1999</v>
      </c>
      <c r="D277" s="21" t="s">
        <v>1779</v>
      </c>
      <c r="E277" s="21" t="s">
        <v>1177</v>
      </c>
      <c r="F277" s="21" t="s">
        <v>1177</v>
      </c>
      <c r="G277" s="21" t="s">
        <v>1177</v>
      </c>
      <c r="H277" s="26"/>
    </row>
    <row r="278">
      <c r="A278" s="24"/>
      <c r="B278" s="21" t="s">
        <v>1225</v>
      </c>
      <c r="C278" s="21" t="s">
        <v>1759</v>
      </c>
      <c r="D278" s="21" t="s">
        <v>1361</v>
      </c>
      <c r="E278" s="21" t="s">
        <v>1177</v>
      </c>
      <c r="F278" s="21" t="s">
        <v>1177</v>
      </c>
      <c r="G278" s="21" t="s">
        <v>1177</v>
      </c>
      <c r="H278" s="30"/>
      <c r="I278" s="14"/>
    </row>
    <row r="279">
      <c r="A279" s="16" t="s">
        <v>1174</v>
      </c>
      <c r="B279" s="17" t="s">
        <v>2076</v>
      </c>
      <c r="C279" s="18"/>
      <c r="D279" s="18"/>
      <c r="E279" s="18"/>
      <c r="F279" s="18"/>
      <c r="G279" s="18"/>
      <c r="H279" s="18"/>
      <c r="I279" s="16"/>
    </row>
    <row r="280" ht="60.0" customHeight="1">
      <c r="A280" s="20" t="s">
        <v>1176</v>
      </c>
      <c r="B280" s="21" t="str">
        <f t="array" ref="B280">iferror(VLOOKUP(INDIRECT(ADDRESS(ROW()+1,COLUMN(), 4)),Dex!$A$2:$C725,3,false),"")</f>
        <v/>
      </c>
      <c r="C280" s="21" t="str">
        <f t="array" ref="C280">iferror(VLOOKUP(INDIRECT(ADDRESS(ROW()+1,COLUMN(), 4)),Dex!$A$2:$C725,3,false),"")</f>
        <v/>
      </c>
      <c r="D280" s="21" t="str">
        <f t="array" ref="D280">iferror(VLOOKUP(INDIRECT(ADDRESS(ROW()+1,COLUMN(), 4)),Dex!$A$2:$C725,3,false),"")</f>
        <v/>
      </c>
      <c r="E280" s="21" t="s">
        <v>1177</v>
      </c>
      <c r="F280" s="21" t="s">
        <v>1177</v>
      </c>
      <c r="G280" s="21" t="s">
        <v>1177</v>
      </c>
      <c r="H280" s="22" t="str">
        <f t="array" ref="H280">iferror(VLOOKUP("TRAINER_PIC_CAMPER",Sprites!$A$1:$B725,2,false),"")</f>
        <v/>
      </c>
      <c r="I280" s="23"/>
    </row>
    <row r="281">
      <c r="A281" s="24"/>
      <c r="B281" s="25" t="s">
        <v>513</v>
      </c>
      <c r="C281" s="25" t="s">
        <v>578</v>
      </c>
      <c r="D281" s="25" t="s">
        <v>193</v>
      </c>
      <c r="E281" s="25" t="s">
        <v>1177</v>
      </c>
      <c r="F281" s="25" t="s">
        <v>1177</v>
      </c>
      <c r="G281" s="25" t="s">
        <v>1177</v>
      </c>
      <c r="H281" s="26"/>
    </row>
    <row r="282">
      <c r="A282" s="16" t="s">
        <v>1178</v>
      </c>
      <c r="B282" s="27" t="s">
        <v>2010</v>
      </c>
      <c r="C282" s="27" t="s">
        <v>2017</v>
      </c>
      <c r="D282" s="27" t="s">
        <v>2010</v>
      </c>
      <c r="E282" s="21" t="s">
        <v>1177</v>
      </c>
      <c r="F282" s="21" t="s">
        <v>1177</v>
      </c>
      <c r="G282" s="21" t="s">
        <v>1177</v>
      </c>
      <c r="H282" s="26"/>
    </row>
    <row r="283">
      <c r="A283" s="16" t="s">
        <v>1181</v>
      </c>
      <c r="B283" s="28" t="s">
        <v>1572</v>
      </c>
      <c r="C283" s="28" t="s">
        <v>1247</v>
      </c>
      <c r="D283" s="28" t="s">
        <v>1295</v>
      </c>
      <c r="E283" s="28" t="s">
        <v>1177</v>
      </c>
      <c r="F283" s="28" t="s">
        <v>1177</v>
      </c>
      <c r="G283" s="28" t="s">
        <v>1177</v>
      </c>
      <c r="H283" s="26"/>
    </row>
    <row r="284">
      <c r="A284" s="16" t="s">
        <v>1182</v>
      </c>
      <c r="B284" s="21" t="s">
        <v>1298</v>
      </c>
      <c r="C284" s="21" t="s">
        <v>1694</v>
      </c>
      <c r="D284" s="21" t="s">
        <v>1298</v>
      </c>
      <c r="E284" s="21" t="s">
        <v>1177</v>
      </c>
      <c r="F284" s="21" t="s">
        <v>1177</v>
      </c>
      <c r="G284" s="21" t="s">
        <v>1177</v>
      </c>
      <c r="H284" s="26"/>
    </row>
    <row r="285">
      <c r="A285" s="16" t="s">
        <v>1186</v>
      </c>
      <c r="B285" s="28" t="s">
        <v>1235</v>
      </c>
      <c r="C285" s="28" t="s">
        <v>1249</v>
      </c>
      <c r="D285" s="28" t="s">
        <v>1235</v>
      </c>
      <c r="E285" s="28" t="s">
        <v>1177</v>
      </c>
      <c r="F285" s="28" t="s">
        <v>1177</v>
      </c>
      <c r="G285" s="28" t="s">
        <v>1177</v>
      </c>
      <c r="H285" s="26"/>
    </row>
    <row r="286">
      <c r="A286" s="20" t="s">
        <v>1188</v>
      </c>
      <c r="B286" s="21" t="s">
        <v>1415</v>
      </c>
      <c r="C286" s="21" t="s">
        <v>1251</v>
      </c>
      <c r="D286" s="21" t="s">
        <v>1817</v>
      </c>
      <c r="E286" s="21" t="s">
        <v>1177</v>
      </c>
      <c r="F286" s="21" t="s">
        <v>1177</v>
      </c>
      <c r="G286" s="21" t="s">
        <v>1177</v>
      </c>
      <c r="H286" s="26"/>
    </row>
    <row r="287">
      <c r="A287" s="29"/>
      <c r="B287" s="21" t="s">
        <v>1192</v>
      </c>
      <c r="C287" s="21" t="s">
        <v>1468</v>
      </c>
      <c r="D287" s="21" t="s">
        <v>1250</v>
      </c>
      <c r="E287" s="21" t="s">
        <v>1177</v>
      </c>
      <c r="F287" s="21" t="s">
        <v>1177</v>
      </c>
      <c r="G287" s="21" t="s">
        <v>1177</v>
      </c>
      <c r="H287" s="26"/>
    </row>
    <row r="288">
      <c r="A288" s="29"/>
      <c r="B288" s="21" t="s">
        <v>1874</v>
      </c>
      <c r="C288" s="21" t="s">
        <v>1619</v>
      </c>
      <c r="D288" s="21" t="s">
        <v>1915</v>
      </c>
      <c r="E288" s="21" t="s">
        <v>1177</v>
      </c>
      <c r="F288" s="21" t="s">
        <v>1177</v>
      </c>
      <c r="G288" s="21" t="s">
        <v>1177</v>
      </c>
      <c r="H288" s="26"/>
    </row>
    <row r="289">
      <c r="A289" s="24"/>
      <c r="B289" s="21" t="s">
        <v>1377</v>
      </c>
      <c r="C289" s="21" t="s">
        <v>1252</v>
      </c>
      <c r="D289" s="21" t="s">
        <v>1959</v>
      </c>
      <c r="E289" s="21" t="s">
        <v>1177</v>
      </c>
      <c r="F289" s="21" t="s">
        <v>1177</v>
      </c>
      <c r="G289" s="21" t="s">
        <v>1177</v>
      </c>
      <c r="H289" s="30"/>
      <c r="I289" s="14"/>
    </row>
    <row r="290">
      <c r="A290" s="37"/>
      <c r="B290" s="38" t="s">
        <v>2077</v>
      </c>
      <c r="C290" s="14"/>
      <c r="D290" s="14"/>
      <c r="E290" s="14"/>
      <c r="F290" s="14"/>
      <c r="G290" s="14"/>
      <c r="H290" s="24"/>
      <c r="I290" s="33"/>
    </row>
    <row r="291">
      <c r="A291" s="16" t="s">
        <v>1174</v>
      </c>
      <c r="B291" s="17" t="s">
        <v>2078</v>
      </c>
      <c r="C291" s="18"/>
      <c r="D291" s="18"/>
      <c r="E291" s="18"/>
      <c r="F291" s="18"/>
      <c r="G291" s="18"/>
      <c r="H291" s="18"/>
      <c r="I291" s="16"/>
    </row>
    <row r="292" ht="60.0" customHeight="1">
      <c r="A292" s="20" t="s">
        <v>1176</v>
      </c>
      <c r="B292" s="21" t="str">
        <f t="array" ref="B292">iferror(VLOOKUP(INDIRECT(ADDRESS(ROW()+1,COLUMN(), 4)),Dex!$A$2:$C725,3,false),"")</f>
        <v/>
      </c>
      <c r="C292" s="21" t="str">
        <f t="array" ref="C292">iferror(VLOOKUP(INDIRECT(ADDRESS(ROW()+1,COLUMN(), 4)),Dex!$A$2:$C725,3,false),"")</f>
        <v/>
      </c>
      <c r="D292" s="21" t="str">
        <f t="array" ref="D292">iferror(VLOOKUP(INDIRECT(ADDRESS(ROW()+1,COLUMN(), 4)),Dex!$A$2:$C725,3,false),"")</f>
        <v/>
      </c>
      <c r="E292" s="21" t="str">
        <f t="array" ref="E292">iferror(VLOOKUP(INDIRECT(ADDRESS(ROW()+1,COLUMN(), 4)),Dex!$A$2:$C725,3,false),"")</f>
        <v/>
      </c>
      <c r="F292" s="21" t="str">
        <f t="array" ref="F292">iferror(VLOOKUP(INDIRECT(ADDRESS(ROW()+1,COLUMN(), 4)),Dex!$A$2:$C725,3,false),"")</f>
        <v/>
      </c>
      <c r="G292" s="21" t="str">
        <f t="array" ref="G292">iferror(VLOOKUP(INDIRECT(ADDRESS(ROW()+1,COLUMN(), 4)),Dex!$A$2:$C725,3,false),"")</f>
        <v/>
      </c>
      <c r="H292" s="22" t="str">
        <f t="array" ref="H292">iferror(VLOOKUP("TRAINER_PIC_COOLTRAINER_M",Sprites!$A$1:$B725,2,false),"")</f>
        <v/>
      </c>
      <c r="I292" s="23"/>
    </row>
    <row r="293">
      <c r="A293" s="24"/>
      <c r="B293" s="25" t="s">
        <v>97</v>
      </c>
      <c r="C293" s="25" t="s">
        <v>245</v>
      </c>
      <c r="D293" s="25" t="s">
        <v>380</v>
      </c>
      <c r="E293" s="25" t="s">
        <v>444</v>
      </c>
      <c r="F293" s="25" t="s">
        <v>370</v>
      </c>
      <c r="G293" s="25" t="s">
        <v>403</v>
      </c>
      <c r="H293" s="26"/>
    </row>
    <row r="294">
      <c r="A294" s="16" t="s">
        <v>1178</v>
      </c>
      <c r="B294" s="27" t="s">
        <v>2079</v>
      </c>
      <c r="C294" s="27" t="s">
        <v>2080</v>
      </c>
      <c r="D294" s="27" t="s">
        <v>2080</v>
      </c>
      <c r="E294" s="27" t="s">
        <v>2080</v>
      </c>
      <c r="F294" s="27" t="s">
        <v>2080</v>
      </c>
      <c r="G294" s="27" t="s">
        <v>2079</v>
      </c>
      <c r="H294" s="26"/>
    </row>
    <row r="295">
      <c r="A295" s="16" t="s">
        <v>1181</v>
      </c>
      <c r="B295" s="28" t="s">
        <v>1247</v>
      </c>
      <c r="C295" s="28" t="s">
        <v>1209</v>
      </c>
      <c r="D295" s="28" t="s">
        <v>1612</v>
      </c>
      <c r="E295" s="28" t="s">
        <v>1962</v>
      </c>
      <c r="F295" s="28" t="s">
        <v>1882</v>
      </c>
      <c r="G295" s="28" t="s">
        <v>2081</v>
      </c>
      <c r="H295" s="26"/>
    </row>
    <row r="296">
      <c r="A296" s="16" t="s">
        <v>1182</v>
      </c>
      <c r="B296" s="21" t="s">
        <v>1356</v>
      </c>
      <c r="C296" s="21" t="s">
        <v>1356</v>
      </c>
      <c r="D296" s="21" t="s">
        <v>1461</v>
      </c>
      <c r="E296" s="21" t="s">
        <v>2082</v>
      </c>
      <c r="F296" s="21" t="s">
        <v>1907</v>
      </c>
      <c r="G296" s="21" t="s">
        <v>2083</v>
      </c>
      <c r="H296" s="26"/>
    </row>
    <row r="297">
      <c r="A297" s="16" t="s">
        <v>1186</v>
      </c>
      <c r="B297" s="28" t="s">
        <v>1284</v>
      </c>
      <c r="C297" s="28" t="s">
        <v>1284</v>
      </c>
      <c r="D297" s="28" t="s">
        <v>1235</v>
      </c>
      <c r="E297" s="28" t="s">
        <v>1235</v>
      </c>
      <c r="F297" s="28" t="s">
        <v>1249</v>
      </c>
      <c r="G297" s="28" t="s">
        <v>1235</v>
      </c>
      <c r="H297" s="26"/>
    </row>
    <row r="298">
      <c r="A298" s="20" t="s">
        <v>1188</v>
      </c>
      <c r="B298" s="21" t="s">
        <v>1731</v>
      </c>
      <c r="C298" s="21" t="s">
        <v>1373</v>
      </c>
      <c r="D298" s="21" t="s">
        <v>1684</v>
      </c>
      <c r="E298" s="21" t="s">
        <v>1943</v>
      </c>
      <c r="F298" s="21" t="s">
        <v>1933</v>
      </c>
      <c r="G298" s="21" t="s">
        <v>1607</v>
      </c>
      <c r="H298" s="26"/>
    </row>
    <row r="299">
      <c r="A299" s="29"/>
      <c r="B299" s="21" t="s">
        <v>1739</v>
      </c>
      <c r="C299" s="21" t="s">
        <v>1629</v>
      </c>
      <c r="D299" s="21" t="s">
        <v>1324</v>
      </c>
      <c r="E299" s="21" t="s">
        <v>1307</v>
      </c>
      <c r="F299" s="21" t="s">
        <v>1776</v>
      </c>
      <c r="G299" s="21" t="s">
        <v>1677</v>
      </c>
      <c r="H299" s="26"/>
    </row>
    <row r="300">
      <c r="A300" s="29"/>
      <c r="B300" s="21" t="s">
        <v>1742</v>
      </c>
      <c r="C300" s="21" t="s">
        <v>1285</v>
      </c>
      <c r="D300" s="21" t="s">
        <v>1273</v>
      </c>
      <c r="E300" s="21" t="s">
        <v>1236</v>
      </c>
      <c r="F300" s="21" t="s">
        <v>1629</v>
      </c>
      <c r="G300" s="21" t="s">
        <v>1804</v>
      </c>
      <c r="H300" s="26"/>
    </row>
    <row r="301">
      <c r="A301" s="24"/>
      <c r="B301" s="21" t="s">
        <v>1840</v>
      </c>
      <c r="C301" s="21" t="s">
        <v>1771</v>
      </c>
      <c r="D301" s="21" t="s">
        <v>1441</v>
      </c>
      <c r="E301" s="21" t="s">
        <v>1874</v>
      </c>
      <c r="F301" s="21" t="s">
        <v>1192</v>
      </c>
      <c r="G301" s="21" t="s">
        <v>1787</v>
      </c>
      <c r="H301" s="30"/>
      <c r="I301" s="14"/>
    </row>
    <row r="302">
      <c r="A302" s="37"/>
      <c r="B302" s="38" t="s">
        <v>2084</v>
      </c>
      <c r="C302" s="14"/>
      <c r="D302" s="14"/>
      <c r="E302" s="14"/>
      <c r="F302" s="14"/>
      <c r="G302" s="14"/>
      <c r="H302" s="24"/>
      <c r="I302" s="33"/>
    </row>
    <row r="303">
      <c r="A303" s="16" t="s">
        <v>1174</v>
      </c>
      <c r="B303" s="17" t="s">
        <v>2085</v>
      </c>
      <c r="C303" s="18"/>
      <c r="D303" s="18"/>
      <c r="E303" s="18"/>
      <c r="F303" s="18"/>
      <c r="G303" s="18"/>
      <c r="H303" s="18"/>
      <c r="I303" s="16"/>
    </row>
    <row r="304" ht="60.0" customHeight="1">
      <c r="A304" s="20" t="s">
        <v>1176</v>
      </c>
      <c r="B304" s="21" t="str">
        <f t="array" ref="B304">iferror(VLOOKUP(INDIRECT(ADDRESS(ROW()+1,COLUMN(), 4)),Dex!$A$2:$C725,3,false),"")</f>
        <v/>
      </c>
      <c r="C304" s="21" t="str">
        <f t="array" ref="C304">iferror(VLOOKUP(INDIRECT(ADDRESS(ROW()+1,COLUMN(), 4)),Dex!$A$2:$C725,3,false),"")</f>
        <v/>
      </c>
      <c r="D304" s="21" t="str">
        <f t="array" ref="D304">iferror(VLOOKUP(INDIRECT(ADDRESS(ROW()+1,COLUMN(), 4)),Dex!$A$2:$C725,3,false),"")</f>
        <v/>
      </c>
      <c r="E304" s="21" t="s">
        <v>1177</v>
      </c>
      <c r="F304" s="21" t="s">
        <v>1177</v>
      </c>
      <c r="G304" s="21" t="s">
        <v>1177</v>
      </c>
      <c r="H304" s="22" t="str">
        <f t="array" ref="H304">iferror(VLOOKUP("TRAINER_PIC_PICNICKER",Sprites!$A$1:$B725,2,false),"")</f>
        <v/>
      </c>
      <c r="I304" s="23"/>
    </row>
    <row r="305">
      <c r="A305" s="24"/>
      <c r="B305" s="25" t="s">
        <v>130</v>
      </c>
      <c r="C305" s="25" t="s">
        <v>197</v>
      </c>
      <c r="D305" s="25" t="s">
        <v>592</v>
      </c>
      <c r="E305" s="25" t="s">
        <v>1177</v>
      </c>
      <c r="F305" s="25" t="s">
        <v>1177</v>
      </c>
      <c r="G305" s="25" t="s">
        <v>1177</v>
      </c>
      <c r="H305" s="26"/>
    </row>
    <row r="306">
      <c r="A306" s="16" t="s">
        <v>1178</v>
      </c>
      <c r="B306" s="27" t="s">
        <v>2079</v>
      </c>
      <c r="C306" s="27" t="s">
        <v>2086</v>
      </c>
      <c r="D306" s="27" t="s">
        <v>2079</v>
      </c>
      <c r="E306" s="21" t="s">
        <v>1177</v>
      </c>
      <c r="F306" s="21" t="s">
        <v>1177</v>
      </c>
      <c r="G306" s="21" t="s">
        <v>1177</v>
      </c>
      <c r="H306" s="26"/>
    </row>
    <row r="307">
      <c r="A307" s="16" t="s">
        <v>1181</v>
      </c>
      <c r="B307" s="28" t="s">
        <v>1246</v>
      </c>
      <c r="C307" s="28" t="s">
        <v>1247</v>
      </c>
      <c r="D307" s="28" t="s">
        <v>1295</v>
      </c>
      <c r="E307" s="28" t="s">
        <v>1177</v>
      </c>
      <c r="F307" s="28" t="s">
        <v>1177</v>
      </c>
      <c r="G307" s="28" t="s">
        <v>1177</v>
      </c>
      <c r="H307" s="26"/>
    </row>
    <row r="308">
      <c r="A308" s="16" t="s">
        <v>1182</v>
      </c>
      <c r="B308" s="21" t="s">
        <v>2087</v>
      </c>
      <c r="C308" s="21" t="s">
        <v>2088</v>
      </c>
      <c r="D308" s="21" t="s">
        <v>2089</v>
      </c>
      <c r="E308" s="21" t="s">
        <v>1177</v>
      </c>
      <c r="F308" s="21" t="s">
        <v>1177</v>
      </c>
      <c r="G308" s="21" t="s">
        <v>1177</v>
      </c>
      <c r="H308" s="26"/>
    </row>
    <row r="309">
      <c r="A309" s="16" t="s">
        <v>1186</v>
      </c>
      <c r="B309" s="28" t="s">
        <v>1235</v>
      </c>
      <c r="C309" s="28" t="s">
        <v>1187</v>
      </c>
      <c r="D309" s="28" t="s">
        <v>1235</v>
      </c>
      <c r="E309" s="28" t="s">
        <v>1177</v>
      </c>
      <c r="F309" s="28" t="s">
        <v>1177</v>
      </c>
      <c r="G309" s="28" t="s">
        <v>1177</v>
      </c>
      <c r="H309" s="26"/>
    </row>
    <row r="310">
      <c r="A310" s="20" t="s">
        <v>1188</v>
      </c>
      <c r="B310" s="21" t="s">
        <v>1776</v>
      </c>
      <c r="C310" s="21" t="s">
        <v>2090</v>
      </c>
      <c r="D310" s="21" t="s">
        <v>1816</v>
      </c>
      <c r="E310" s="21" t="s">
        <v>1177</v>
      </c>
      <c r="F310" s="21" t="s">
        <v>1177</v>
      </c>
      <c r="G310" s="21" t="s">
        <v>1177</v>
      </c>
      <c r="H310" s="26"/>
    </row>
    <row r="311">
      <c r="A311" s="29"/>
      <c r="B311" s="21" t="s">
        <v>1805</v>
      </c>
      <c r="C311" s="21" t="s">
        <v>1177</v>
      </c>
      <c r="D311" s="21" t="s">
        <v>1307</v>
      </c>
      <c r="E311" s="21" t="s">
        <v>1177</v>
      </c>
      <c r="F311" s="21" t="s">
        <v>1177</v>
      </c>
      <c r="G311" s="21" t="s">
        <v>1177</v>
      </c>
      <c r="H311" s="26"/>
    </row>
    <row r="312">
      <c r="A312" s="29"/>
      <c r="B312" s="21" t="s">
        <v>1177</v>
      </c>
      <c r="C312" s="21" t="s">
        <v>1177</v>
      </c>
      <c r="D312" s="21" t="s">
        <v>1378</v>
      </c>
      <c r="E312" s="21" t="s">
        <v>1177</v>
      </c>
      <c r="F312" s="21" t="s">
        <v>1177</v>
      </c>
      <c r="G312" s="21" t="s">
        <v>1177</v>
      </c>
      <c r="H312" s="26"/>
    </row>
    <row r="313">
      <c r="A313" s="24"/>
      <c r="B313" s="21" t="s">
        <v>1177</v>
      </c>
      <c r="C313" s="21" t="s">
        <v>1177</v>
      </c>
      <c r="D313" s="21" t="s">
        <v>1641</v>
      </c>
      <c r="E313" s="21" t="s">
        <v>1177</v>
      </c>
      <c r="F313" s="21" t="s">
        <v>1177</v>
      </c>
      <c r="G313" s="21" t="s">
        <v>1177</v>
      </c>
      <c r="H313" s="30"/>
      <c r="I313" s="14"/>
    </row>
    <row r="314">
      <c r="A314" s="16" t="s">
        <v>1174</v>
      </c>
      <c r="B314" s="17" t="s">
        <v>2091</v>
      </c>
      <c r="C314" s="18"/>
      <c r="D314" s="18"/>
      <c r="E314" s="18"/>
      <c r="F314" s="18"/>
      <c r="G314" s="18"/>
      <c r="H314" s="18"/>
      <c r="I314" s="16"/>
    </row>
    <row r="315" ht="60.0" customHeight="1">
      <c r="A315" s="20" t="s">
        <v>1176</v>
      </c>
      <c r="B315" s="21" t="str">
        <f t="array" ref="B315">iferror(VLOOKUP(INDIRECT(ADDRESS(ROW()+1,COLUMN(), 4)),Dex!$A$2:$C725,3,false),"")</f>
        <v/>
      </c>
      <c r="C315" s="21" t="str">
        <f t="array" ref="C315">iferror(VLOOKUP(INDIRECT(ADDRESS(ROW()+1,COLUMN(), 4)),Dex!$A$2:$C725,3,false),"")</f>
        <v/>
      </c>
      <c r="D315" s="21" t="str">
        <f t="array" ref="D315">iferror(VLOOKUP(INDIRECT(ADDRESS(ROW()+1,COLUMN(), 4)),Dex!$A$2:$C725,3,false),"")</f>
        <v/>
      </c>
      <c r="E315" s="21" t="str">
        <f t="array" ref="E315">iferror(VLOOKUP(INDIRECT(ADDRESS(ROW()+1,COLUMN(), 4)),Dex!$A$2:$C725,3,false),"")</f>
        <v/>
      </c>
      <c r="F315" s="21" t="s">
        <v>1177</v>
      </c>
      <c r="G315" s="21" t="s">
        <v>1177</v>
      </c>
      <c r="H315" s="22" t="str">
        <f t="array" ref="H315">iferror(VLOOKUP("TRAINER_PIC_RICH_BOY",Sprites!$A$1:$B725,2,false),"")</f>
        <v/>
      </c>
      <c r="I315" s="23"/>
    </row>
    <row r="316">
      <c r="A316" s="24"/>
      <c r="B316" s="25" t="s">
        <v>56</v>
      </c>
      <c r="C316" s="25" t="s">
        <v>548</v>
      </c>
      <c r="D316" s="25" t="s">
        <v>993</v>
      </c>
      <c r="E316" s="25" t="s">
        <v>210</v>
      </c>
      <c r="F316" s="25" t="s">
        <v>1177</v>
      </c>
      <c r="G316" s="25" t="s">
        <v>1177</v>
      </c>
      <c r="H316" s="26"/>
    </row>
    <row r="317">
      <c r="A317" s="16" t="s">
        <v>1178</v>
      </c>
      <c r="B317" s="27" t="s">
        <v>2079</v>
      </c>
      <c r="C317" s="27" t="s">
        <v>2079</v>
      </c>
      <c r="D317" s="27" t="s">
        <v>2079</v>
      </c>
      <c r="E317" s="27" t="s">
        <v>2010</v>
      </c>
      <c r="F317" s="21" t="s">
        <v>1177</v>
      </c>
      <c r="G317" s="21" t="s">
        <v>1177</v>
      </c>
      <c r="H317" s="26"/>
    </row>
    <row r="318">
      <c r="A318" s="16" t="s">
        <v>1181</v>
      </c>
      <c r="B318" s="28" t="s">
        <v>1435</v>
      </c>
      <c r="C318" s="28" t="s">
        <v>1209</v>
      </c>
      <c r="D318" s="28" t="s">
        <v>1882</v>
      </c>
      <c r="E318" s="28" t="s">
        <v>1295</v>
      </c>
      <c r="F318" s="28" t="s">
        <v>1177</v>
      </c>
      <c r="G318" s="28" t="s">
        <v>1177</v>
      </c>
      <c r="H318" s="26"/>
    </row>
    <row r="319">
      <c r="A319" s="16" t="s">
        <v>1182</v>
      </c>
      <c r="B319" s="21" t="s">
        <v>1938</v>
      </c>
      <c r="C319" s="21" t="s">
        <v>1797</v>
      </c>
      <c r="D319" s="21" t="s">
        <v>1947</v>
      </c>
      <c r="E319" s="21" t="s">
        <v>1932</v>
      </c>
      <c r="F319" s="21" t="s">
        <v>1177</v>
      </c>
      <c r="G319" s="21" t="s">
        <v>1177</v>
      </c>
      <c r="H319" s="26"/>
    </row>
    <row r="320">
      <c r="A320" s="16" t="s">
        <v>1186</v>
      </c>
      <c r="B320" s="28" t="s">
        <v>1284</v>
      </c>
      <c r="C320" s="28" t="s">
        <v>1249</v>
      </c>
      <c r="D320" s="28" t="s">
        <v>1235</v>
      </c>
      <c r="E320" s="28" t="s">
        <v>1446</v>
      </c>
      <c r="F320" s="28" t="s">
        <v>1177</v>
      </c>
      <c r="G320" s="28" t="s">
        <v>1177</v>
      </c>
      <c r="H320" s="26"/>
    </row>
    <row r="321">
      <c r="A321" s="20" t="s">
        <v>1188</v>
      </c>
      <c r="B321" s="21" t="s">
        <v>1618</v>
      </c>
      <c r="C321" s="21" t="s">
        <v>1776</v>
      </c>
      <c r="D321" s="21" t="s">
        <v>1372</v>
      </c>
      <c r="E321" s="21" t="s">
        <v>1407</v>
      </c>
      <c r="F321" s="21" t="s">
        <v>1177</v>
      </c>
      <c r="G321" s="21" t="s">
        <v>1177</v>
      </c>
      <c r="H321" s="26"/>
    </row>
    <row r="322">
      <c r="A322" s="29"/>
      <c r="B322" s="21" t="s">
        <v>2054</v>
      </c>
      <c r="C322" s="21" t="s">
        <v>1336</v>
      </c>
      <c r="D322" s="21" t="s">
        <v>1952</v>
      </c>
      <c r="E322" s="21" t="s">
        <v>1677</v>
      </c>
      <c r="F322" s="21" t="s">
        <v>1177</v>
      </c>
      <c r="G322" s="21" t="s">
        <v>1177</v>
      </c>
      <c r="H322" s="26"/>
    </row>
    <row r="323">
      <c r="A323" s="29"/>
      <c r="B323" s="21" t="s">
        <v>1663</v>
      </c>
      <c r="C323" s="21" t="s">
        <v>1472</v>
      </c>
      <c r="D323" s="21" t="s">
        <v>1578</v>
      </c>
      <c r="E323" s="21" t="s">
        <v>1755</v>
      </c>
      <c r="F323" s="21" t="s">
        <v>1177</v>
      </c>
      <c r="G323" s="21" t="s">
        <v>1177</v>
      </c>
      <c r="H323" s="26"/>
    </row>
    <row r="324">
      <c r="A324" s="24"/>
      <c r="B324" s="21" t="s">
        <v>1322</v>
      </c>
      <c r="C324" s="21" t="s">
        <v>1629</v>
      </c>
      <c r="D324" s="21" t="s">
        <v>1590</v>
      </c>
      <c r="E324" s="21" t="s">
        <v>1761</v>
      </c>
      <c r="F324" s="21" t="s">
        <v>1177</v>
      </c>
      <c r="G324" s="21" t="s">
        <v>1177</v>
      </c>
      <c r="H324" s="30"/>
      <c r="I324" s="14"/>
    </row>
    <row r="325">
      <c r="A325" s="16" t="s">
        <v>1174</v>
      </c>
      <c r="B325" s="17" t="s">
        <v>2092</v>
      </c>
      <c r="C325" s="18"/>
      <c r="D325" s="18"/>
      <c r="E325" s="18"/>
      <c r="F325" s="18"/>
      <c r="G325" s="18"/>
      <c r="H325" s="18"/>
      <c r="I325" s="16"/>
    </row>
    <row r="326" ht="60.0" customHeight="1">
      <c r="A326" s="20" t="s">
        <v>1176</v>
      </c>
      <c r="B326" s="21" t="str">
        <f t="array" ref="B326">iferror(VLOOKUP(INDIRECT(ADDRESS(ROW()+1,COLUMN(), 4)),Dex!$A$2:$C725,3,false),"")</f>
        <v/>
      </c>
      <c r="C326" s="21" t="str">
        <f t="array" ref="C326">iferror(VLOOKUP(INDIRECT(ADDRESS(ROW()+1,COLUMN(), 4)),Dex!$A$2:$C725,3,false),"")</f>
        <v/>
      </c>
      <c r="D326" s="21" t="s">
        <v>1177</v>
      </c>
      <c r="E326" s="21" t="s">
        <v>1177</v>
      </c>
      <c r="F326" s="21" t="s">
        <v>1177</v>
      </c>
      <c r="G326" s="21" t="s">
        <v>1177</v>
      </c>
      <c r="H326" s="22" t="str">
        <f t="array" ref="H326">iferror(VLOOKUP("TRAINER_PIC_FISHERMAN",Sprites!$A$1:$B725,2,false),"")</f>
        <v/>
      </c>
      <c r="I326" s="23"/>
    </row>
    <row r="327">
      <c r="A327" s="24"/>
      <c r="B327" s="25" t="s">
        <v>452</v>
      </c>
      <c r="C327" s="25" t="s">
        <v>177</v>
      </c>
      <c r="D327" s="25" t="s">
        <v>1177</v>
      </c>
      <c r="E327" s="25" t="s">
        <v>1177</v>
      </c>
      <c r="F327" s="25" t="s">
        <v>1177</v>
      </c>
      <c r="G327" s="25" t="s">
        <v>1177</v>
      </c>
      <c r="H327" s="26"/>
    </row>
    <row r="328">
      <c r="A328" s="16" t="s">
        <v>1178</v>
      </c>
      <c r="B328" s="27" t="s">
        <v>2093</v>
      </c>
      <c r="C328" s="27" t="s">
        <v>2093</v>
      </c>
      <c r="D328" s="21" t="s">
        <v>1177</v>
      </c>
      <c r="E328" s="21" t="s">
        <v>1177</v>
      </c>
      <c r="F328" s="21" t="s">
        <v>1177</v>
      </c>
      <c r="G328" s="21" t="s">
        <v>1177</v>
      </c>
      <c r="H328" s="26"/>
    </row>
    <row r="329">
      <c r="A329" s="16" t="s">
        <v>1181</v>
      </c>
      <c r="B329" s="28" t="s">
        <v>1209</v>
      </c>
      <c r="C329" s="28" t="s">
        <v>1583</v>
      </c>
      <c r="D329" s="28" t="s">
        <v>1177</v>
      </c>
      <c r="E329" s="28" t="s">
        <v>1177</v>
      </c>
      <c r="F329" s="28" t="s">
        <v>1177</v>
      </c>
      <c r="G329" s="28" t="s">
        <v>1177</v>
      </c>
      <c r="H329" s="26"/>
    </row>
    <row r="330">
      <c r="A330" s="16" t="s">
        <v>1182</v>
      </c>
      <c r="B330" s="21" t="s">
        <v>2094</v>
      </c>
      <c r="C330" s="21" t="s">
        <v>1811</v>
      </c>
      <c r="D330" s="21" t="s">
        <v>1177</v>
      </c>
      <c r="E330" s="21" t="s">
        <v>1177</v>
      </c>
      <c r="F330" s="21" t="s">
        <v>1177</v>
      </c>
      <c r="G330" s="21" t="s">
        <v>1177</v>
      </c>
      <c r="H330" s="26"/>
    </row>
    <row r="331">
      <c r="A331" s="16" t="s">
        <v>1186</v>
      </c>
      <c r="B331" s="28" t="s">
        <v>1257</v>
      </c>
      <c r="C331" s="28" t="s">
        <v>1284</v>
      </c>
      <c r="D331" s="28" t="s">
        <v>1177</v>
      </c>
      <c r="E331" s="28" t="s">
        <v>1177</v>
      </c>
      <c r="F331" s="28" t="s">
        <v>1177</v>
      </c>
      <c r="G331" s="28" t="s">
        <v>1177</v>
      </c>
      <c r="H331" s="26"/>
    </row>
    <row r="332">
      <c r="A332" s="20" t="s">
        <v>1188</v>
      </c>
      <c r="B332" s="21" t="s">
        <v>1695</v>
      </c>
      <c r="C332" s="21" t="s">
        <v>1251</v>
      </c>
      <c r="D332" s="21" t="s">
        <v>1177</v>
      </c>
      <c r="E332" s="21" t="s">
        <v>1177</v>
      </c>
      <c r="F332" s="21" t="s">
        <v>1177</v>
      </c>
      <c r="G332" s="21" t="s">
        <v>1177</v>
      </c>
      <c r="H332" s="26"/>
    </row>
    <row r="333">
      <c r="A333" s="29"/>
      <c r="B333" s="21" t="s">
        <v>1468</v>
      </c>
      <c r="C333" s="21" t="s">
        <v>1731</v>
      </c>
      <c r="D333" s="21" t="s">
        <v>1177</v>
      </c>
      <c r="E333" s="21" t="s">
        <v>1177</v>
      </c>
      <c r="F333" s="21" t="s">
        <v>1177</v>
      </c>
      <c r="G333" s="21" t="s">
        <v>1177</v>
      </c>
      <c r="H333" s="26"/>
    </row>
    <row r="334">
      <c r="A334" s="29"/>
      <c r="B334" s="21" t="s">
        <v>2095</v>
      </c>
      <c r="C334" s="21" t="s">
        <v>1724</v>
      </c>
      <c r="D334" s="21" t="s">
        <v>1177</v>
      </c>
      <c r="E334" s="21" t="s">
        <v>1177</v>
      </c>
      <c r="F334" s="21" t="s">
        <v>1177</v>
      </c>
      <c r="G334" s="21" t="s">
        <v>1177</v>
      </c>
      <c r="H334" s="26"/>
    </row>
    <row r="335">
      <c r="A335" s="24"/>
      <c r="B335" s="21" t="s">
        <v>1398</v>
      </c>
      <c r="C335" s="21" t="s">
        <v>1652</v>
      </c>
      <c r="D335" s="21" t="s">
        <v>1177</v>
      </c>
      <c r="E335" s="21" t="s">
        <v>1177</v>
      </c>
      <c r="F335" s="21" t="s">
        <v>1177</v>
      </c>
      <c r="G335" s="21" t="s">
        <v>1177</v>
      </c>
      <c r="H335" s="30"/>
      <c r="I335" s="14"/>
    </row>
    <row r="336">
      <c r="A336" s="16" t="s">
        <v>1174</v>
      </c>
      <c r="B336" s="17" t="s">
        <v>2096</v>
      </c>
      <c r="C336" s="18"/>
      <c r="D336" s="18"/>
      <c r="E336" s="18"/>
      <c r="F336" s="18"/>
      <c r="G336" s="18"/>
      <c r="H336" s="18"/>
      <c r="I336" s="16"/>
    </row>
    <row r="337" ht="60.0" customHeight="1">
      <c r="A337" s="20" t="s">
        <v>1176</v>
      </c>
      <c r="B337" s="21" t="str">
        <f t="array" ref="B337">iferror(VLOOKUP(INDIRECT(ADDRESS(ROW()+1,COLUMN(), 4)),Dex!$A$2:$C725,3,false),"")</f>
        <v/>
      </c>
      <c r="C337" s="21" t="str">
        <f t="array" ref="C337">iferror(VLOOKUP(INDIRECT(ADDRESS(ROW()+1,COLUMN(), 4)),Dex!$A$2:$C725,3,false),"")</f>
        <v/>
      </c>
      <c r="D337" s="21" t="str">
        <f t="array" ref="D337">iferror(VLOOKUP(INDIRECT(ADDRESS(ROW()+1,COLUMN(), 4)),Dex!$A$2:$C725,3,false),"")</f>
        <v/>
      </c>
      <c r="E337" s="21" t="str">
        <f t="array" ref="E337">iferror(VLOOKUP(INDIRECT(ADDRESS(ROW()+1,COLUMN(), 4)),Dex!$A$2:$C725,3,false),"")</f>
        <v/>
      </c>
      <c r="F337" s="21" t="s">
        <v>1177</v>
      </c>
      <c r="G337" s="21" t="s">
        <v>1177</v>
      </c>
      <c r="H337" s="22" t="str">
        <f t="array" ref="H337">iferror(VLOOKUP("TRAINER_PIC_FISHERMAN",Sprites!$A$1:$B725,2,false),"")</f>
        <v/>
      </c>
      <c r="I337" s="23"/>
    </row>
    <row r="338">
      <c r="A338" s="24"/>
      <c r="B338" s="25" t="s">
        <v>263</v>
      </c>
      <c r="C338" s="25" t="s">
        <v>1085</v>
      </c>
      <c r="D338" s="25" t="s">
        <v>450</v>
      </c>
      <c r="E338" s="25" t="s">
        <v>963</v>
      </c>
      <c r="F338" s="25" t="s">
        <v>1177</v>
      </c>
      <c r="G338" s="25" t="s">
        <v>1177</v>
      </c>
      <c r="H338" s="26"/>
    </row>
    <row r="339">
      <c r="A339" s="16" t="s">
        <v>1178</v>
      </c>
      <c r="B339" s="27" t="s">
        <v>2080</v>
      </c>
      <c r="C339" s="27" t="s">
        <v>2080</v>
      </c>
      <c r="D339" s="27" t="s">
        <v>2080</v>
      </c>
      <c r="E339" s="27" t="s">
        <v>2079</v>
      </c>
      <c r="F339" s="21" t="s">
        <v>1177</v>
      </c>
      <c r="G339" s="21" t="s">
        <v>1177</v>
      </c>
      <c r="H339" s="26"/>
    </row>
    <row r="340">
      <c r="A340" s="16" t="s">
        <v>1181</v>
      </c>
      <c r="B340" s="28" t="s">
        <v>1295</v>
      </c>
      <c r="C340" s="28" t="s">
        <v>1281</v>
      </c>
      <c r="D340" s="28" t="s">
        <v>1209</v>
      </c>
      <c r="E340" s="28" t="s">
        <v>1832</v>
      </c>
      <c r="F340" s="28" t="s">
        <v>1177</v>
      </c>
      <c r="G340" s="28" t="s">
        <v>1177</v>
      </c>
      <c r="H340" s="26"/>
    </row>
    <row r="341">
      <c r="A341" s="16" t="s">
        <v>1182</v>
      </c>
      <c r="B341" s="21" t="s">
        <v>2097</v>
      </c>
      <c r="C341" s="21" t="s">
        <v>1212</v>
      </c>
      <c r="D341" s="21" t="s">
        <v>1212</v>
      </c>
      <c r="E341" s="21" t="s">
        <v>2047</v>
      </c>
      <c r="F341" s="21" t="s">
        <v>1177</v>
      </c>
      <c r="G341" s="21" t="s">
        <v>1177</v>
      </c>
      <c r="H341" s="26"/>
    </row>
    <row r="342">
      <c r="A342" s="16" t="s">
        <v>1186</v>
      </c>
      <c r="B342" s="28" t="s">
        <v>1257</v>
      </c>
      <c r="C342" s="28" t="s">
        <v>1248</v>
      </c>
      <c r="D342" s="28" t="s">
        <v>1235</v>
      </c>
      <c r="E342" s="28" t="s">
        <v>1248</v>
      </c>
      <c r="F342" s="28" t="s">
        <v>1177</v>
      </c>
      <c r="G342" s="28" t="s">
        <v>1177</v>
      </c>
      <c r="H342" s="26"/>
    </row>
    <row r="343">
      <c r="A343" s="20" t="s">
        <v>1188</v>
      </c>
      <c r="B343" s="21" t="s">
        <v>1695</v>
      </c>
      <c r="C343" s="21" t="s">
        <v>1760</v>
      </c>
      <c r="D343" s="21" t="s">
        <v>1678</v>
      </c>
      <c r="E343" s="21" t="s">
        <v>1655</v>
      </c>
      <c r="F343" s="21" t="s">
        <v>1177</v>
      </c>
      <c r="G343" s="21" t="s">
        <v>1177</v>
      </c>
      <c r="H343" s="26"/>
    </row>
    <row r="344">
      <c r="A344" s="29"/>
      <c r="B344" s="21" t="s">
        <v>1731</v>
      </c>
      <c r="C344" s="21" t="s">
        <v>2098</v>
      </c>
      <c r="D344" s="21" t="s">
        <v>1586</v>
      </c>
      <c r="E344" s="21" t="s">
        <v>1760</v>
      </c>
      <c r="F344" s="21" t="s">
        <v>1177</v>
      </c>
      <c r="G344" s="21" t="s">
        <v>1177</v>
      </c>
      <c r="H344" s="26"/>
    </row>
    <row r="345">
      <c r="A345" s="29"/>
      <c r="B345" s="21" t="s">
        <v>1389</v>
      </c>
      <c r="C345" s="21" t="s">
        <v>1236</v>
      </c>
      <c r="D345" s="21" t="s">
        <v>1760</v>
      </c>
      <c r="E345" s="21" t="s">
        <v>1575</v>
      </c>
      <c r="F345" s="21" t="s">
        <v>1177</v>
      </c>
      <c r="G345" s="21" t="s">
        <v>1177</v>
      </c>
      <c r="H345" s="26"/>
    </row>
    <row r="346">
      <c r="A346" s="24"/>
      <c r="B346" s="21" t="s">
        <v>1362</v>
      </c>
      <c r="C346" s="21" t="s">
        <v>1874</v>
      </c>
      <c r="D346" s="21" t="s">
        <v>1641</v>
      </c>
      <c r="E346" s="21" t="s">
        <v>1236</v>
      </c>
      <c r="F346" s="21" t="s">
        <v>1177</v>
      </c>
      <c r="G346" s="21" t="s">
        <v>1177</v>
      </c>
      <c r="H346" s="30"/>
      <c r="I346" s="14"/>
    </row>
    <row r="347">
      <c r="A347" s="16" t="s">
        <v>1174</v>
      </c>
      <c r="B347" s="17" t="s">
        <v>2099</v>
      </c>
      <c r="C347" s="18"/>
      <c r="D347" s="18"/>
      <c r="E347" s="18"/>
      <c r="F347" s="18"/>
      <c r="G347" s="18"/>
      <c r="H347" s="18"/>
      <c r="I347" s="16"/>
    </row>
    <row r="348" ht="60.0" customHeight="1">
      <c r="A348" s="20" t="s">
        <v>1176</v>
      </c>
      <c r="B348" s="21" t="str">
        <f t="array" ref="B348">iferror(VLOOKUP(INDIRECT(ADDRESS(ROW()+1,COLUMN(), 4)),Dex!$A$2:$C725,3,false),"")</f>
        <v/>
      </c>
      <c r="C348" s="21" t="str">
        <f t="array" ref="C348">iferror(VLOOKUP(INDIRECT(ADDRESS(ROW()+1,COLUMN(), 4)),Dex!$A$2:$C725,3,false),"")</f>
        <v/>
      </c>
      <c r="D348" s="21" t="str">
        <f t="array" ref="D348">iferror(VLOOKUP(INDIRECT(ADDRESS(ROW()+1,COLUMN(), 4)),Dex!$A$2:$C725,3,false),"")</f>
        <v/>
      </c>
      <c r="E348" s="21" t="str">
        <f t="array" ref="E348">iferror(VLOOKUP(INDIRECT(ADDRESS(ROW()+1,COLUMN(), 4)),Dex!$A$2:$C725,3,false),"")</f>
        <v/>
      </c>
      <c r="F348" s="21" t="s">
        <v>1177</v>
      </c>
      <c r="G348" s="21" t="s">
        <v>1177</v>
      </c>
      <c r="H348" s="22" t="str">
        <f t="array" ref="H348">iferror(VLOOKUP("TRAINER_PIC_FISHERMAN",Sprites!$A$1:$B725,2,false),"")</f>
        <v/>
      </c>
      <c r="I348" s="23"/>
    </row>
    <row r="349">
      <c r="A349" s="24"/>
      <c r="B349" s="25" t="s">
        <v>291</v>
      </c>
      <c r="C349" s="25" t="s">
        <v>200</v>
      </c>
      <c r="D349" s="25" t="s">
        <v>867</v>
      </c>
      <c r="E349" s="25" t="s">
        <v>510</v>
      </c>
      <c r="F349" s="25" t="s">
        <v>1177</v>
      </c>
      <c r="G349" s="25" t="s">
        <v>1177</v>
      </c>
      <c r="H349" s="26"/>
    </row>
    <row r="350">
      <c r="A350" s="16" t="s">
        <v>1178</v>
      </c>
      <c r="B350" s="27" t="s">
        <v>2079</v>
      </c>
      <c r="C350" s="27" t="s">
        <v>2093</v>
      </c>
      <c r="D350" s="27" t="s">
        <v>2079</v>
      </c>
      <c r="E350" s="27" t="s">
        <v>2079</v>
      </c>
      <c r="F350" s="21" t="s">
        <v>1177</v>
      </c>
      <c r="G350" s="21" t="s">
        <v>1177</v>
      </c>
      <c r="H350" s="26"/>
    </row>
    <row r="351">
      <c r="A351" s="16" t="s">
        <v>1181</v>
      </c>
      <c r="B351" s="28" t="s">
        <v>1247</v>
      </c>
      <c r="C351" s="28" t="s">
        <v>1295</v>
      </c>
      <c r="D351" s="28" t="s">
        <v>1457</v>
      </c>
      <c r="E351" s="28" t="s">
        <v>1295</v>
      </c>
      <c r="F351" s="28" t="s">
        <v>1177</v>
      </c>
      <c r="G351" s="28" t="s">
        <v>1177</v>
      </c>
      <c r="H351" s="26"/>
    </row>
    <row r="352">
      <c r="A352" s="16" t="s">
        <v>1182</v>
      </c>
      <c r="B352" s="21" t="s">
        <v>1298</v>
      </c>
      <c r="C352" s="21" t="s">
        <v>1462</v>
      </c>
      <c r="D352" s="21" t="s">
        <v>2100</v>
      </c>
      <c r="E352" s="21" t="s">
        <v>1405</v>
      </c>
      <c r="F352" s="21" t="s">
        <v>1177</v>
      </c>
      <c r="G352" s="21" t="s">
        <v>1177</v>
      </c>
      <c r="H352" s="26"/>
    </row>
    <row r="353">
      <c r="A353" s="16" t="s">
        <v>1186</v>
      </c>
      <c r="B353" s="28" t="s">
        <v>1235</v>
      </c>
      <c r="C353" s="28" t="s">
        <v>1284</v>
      </c>
      <c r="D353" s="28" t="s">
        <v>1284</v>
      </c>
      <c r="E353" s="28" t="s">
        <v>1754</v>
      </c>
      <c r="F353" s="28" t="s">
        <v>1177</v>
      </c>
      <c r="G353" s="28" t="s">
        <v>1177</v>
      </c>
      <c r="H353" s="26"/>
    </row>
    <row r="354">
      <c r="A354" s="20" t="s">
        <v>1188</v>
      </c>
      <c r="B354" s="21" t="s">
        <v>1749</v>
      </c>
      <c r="C354" s="21" t="s">
        <v>1695</v>
      </c>
      <c r="D354" s="21" t="s">
        <v>1272</v>
      </c>
      <c r="E354" s="21" t="s">
        <v>1834</v>
      </c>
      <c r="F354" s="21" t="s">
        <v>1177</v>
      </c>
      <c r="G354" s="21" t="s">
        <v>1177</v>
      </c>
      <c r="H354" s="26"/>
    </row>
    <row r="355">
      <c r="A355" s="29"/>
      <c r="B355" s="21" t="s">
        <v>1834</v>
      </c>
      <c r="C355" s="21" t="s">
        <v>1468</v>
      </c>
      <c r="D355" s="21" t="s">
        <v>1739</v>
      </c>
      <c r="E355" s="21" t="s">
        <v>1723</v>
      </c>
      <c r="F355" s="21" t="s">
        <v>1177</v>
      </c>
      <c r="G355" s="21" t="s">
        <v>1177</v>
      </c>
      <c r="H355" s="26"/>
    </row>
    <row r="356">
      <c r="A356" s="29"/>
      <c r="B356" s="21" t="s">
        <v>1830</v>
      </c>
      <c r="C356" s="21" t="s">
        <v>1856</v>
      </c>
      <c r="D356" s="21" t="s">
        <v>1890</v>
      </c>
      <c r="E356" s="21" t="s">
        <v>1677</v>
      </c>
      <c r="F356" s="21" t="s">
        <v>1177</v>
      </c>
      <c r="G356" s="21" t="s">
        <v>1177</v>
      </c>
      <c r="H356" s="26"/>
    </row>
    <row r="357">
      <c r="A357" s="24"/>
      <c r="B357" s="21" t="s">
        <v>1854</v>
      </c>
      <c r="C357" s="21" t="s">
        <v>1959</v>
      </c>
      <c r="D357" s="21" t="s">
        <v>1875</v>
      </c>
      <c r="E357" s="21" t="s">
        <v>1389</v>
      </c>
      <c r="F357" s="21" t="s">
        <v>1177</v>
      </c>
      <c r="G357" s="21" t="s">
        <v>1177</v>
      </c>
      <c r="H357" s="30"/>
      <c r="I357" s="14"/>
    </row>
    <row r="358">
      <c r="A358" s="16" t="s">
        <v>1174</v>
      </c>
      <c r="B358" s="17" t="s">
        <v>2101</v>
      </c>
      <c r="C358" s="18"/>
      <c r="D358" s="18"/>
      <c r="E358" s="18"/>
      <c r="F358" s="18"/>
      <c r="G358" s="18"/>
      <c r="H358" s="18"/>
      <c r="I358" s="16"/>
    </row>
    <row r="359" ht="60.0" customHeight="1">
      <c r="A359" s="20" t="s">
        <v>1176</v>
      </c>
      <c r="B359" s="21" t="str">
        <f t="array" ref="B359">iferror(VLOOKUP(INDIRECT(ADDRESS(ROW()+1,COLUMN(), 4)),Dex!$A$2:$C725,3,false),"")</f>
        <v/>
      </c>
      <c r="C359" s="21" t="str">
        <f t="array" ref="C359">iferror(VLOOKUP(INDIRECT(ADDRESS(ROW()+1,COLUMN(), 4)),Dex!$A$2:$C725,3,false),"")</f>
        <v/>
      </c>
      <c r="D359" s="21" t="str">
        <f t="array" ref="D359">iferror(VLOOKUP(INDIRECT(ADDRESS(ROW()+1,COLUMN(), 4)),Dex!$A$2:$C725,3,false),"")</f>
        <v/>
      </c>
      <c r="E359" s="21" t="str">
        <f t="array" ref="E359">iferror(VLOOKUP(INDIRECT(ADDRESS(ROW()+1,COLUMN(), 4)),Dex!$A$2:$C725,3,false),"")</f>
        <v/>
      </c>
      <c r="F359" s="21" t="s">
        <v>1177</v>
      </c>
      <c r="G359" s="21" t="s">
        <v>1177</v>
      </c>
      <c r="H359" s="22" t="str">
        <f t="array" ref="H359">iferror(VLOOKUP("TRAINER_PIC_KINDLER",Sprites!$A$1:$B725,2,false),"")</f>
        <v/>
      </c>
      <c r="I359" s="23"/>
    </row>
    <row r="360">
      <c r="A360" s="24"/>
      <c r="B360" s="25" t="s">
        <v>605</v>
      </c>
      <c r="C360" s="25" t="s">
        <v>665</v>
      </c>
      <c r="D360" s="25" t="s">
        <v>553</v>
      </c>
      <c r="E360" s="25" t="s">
        <v>781</v>
      </c>
      <c r="F360" s="25" t="s">
        <v>1177</v>
      </c>
      <c r="G360" s="25" t="s">
        <v>1177</v>
      </c>
      <c r="H360" s="26"/>
    </row>
    <row r="361">
      <c r="A361" s="16" t="s">
        <v>1178</v>
      </c>
      <c r="B361" s="27" t="s">
        <v>2093</v>
      </c>
      <c r="C361" s="27" t="s">
        <v>2093</v>
      </c>
      <c r="D361" s="27" t="s">
        <v>2079</v>
      </c>
      <c r="E361" s="27" t="s">
        <v>2079</v>
      </c>
      <c r="F361" s="21" t="s">
        <v>1177</v>
      </c>
      <c r="G361" s="21" t="s">
        <v>1177</v>
      </c>
      <c r="H361" s="26"/>
    </row>
    <row r="362">
      <c r="A362" s="16" t="s">
        <v>1181</v>
      </c>
      <c r="B362" s="28" t="s">
        <v>1572</v>
      </c>
      <c r="C362" s="28" t="s">
        <v>2060</v>
      </c>
      <c r="D362" s="28" t="s">
        <v>2102</v>
      </c>
      <c r="E362" s="28" t="s">
        <v>1391</v>
      </c>
      <c r="F362" s="28" t="s">
        <v>1177</v>
      </c>
      <c r="G362" s="28" t="s">
        <v>1177</v>
      </c>
      <c r="H362" s="26"/>
    </row>
    <row r="363">
      <c r="A363" s="16" t="s">
        <v>1182</v>
      </c>
      <c r="B363" s="21" t="s">
        <v>1368</v>
      </c>
      <c r="C363" s="21" t="s">
        <v>1299</v>
      </c>
      <c r="D363" s="21" t="s">
        <v>2103</v>
      </c>
      <c r="E363" s="21" t="s">
        <v>1266</v>
      </c>
      <c r="F363" s="21" t="s">
        <v>1177</v>
      </c>
      <c r="G363" s="21" t="s">
        <v>1177</v>
      </c>
      <c r="H363" s="26"/>
    </row>
    <row r="364">
      <c r="A364" s="16" t="s">
        <v>1186</v>
      </c>
      <c r="B364" s="28" t="s">
        <v>1284</v>
      </c>
      <c r="C364" s="28" t="s">
        <v>1249</v>
      </c>
      <c r="D364" s="28" t="s">
        <v>1249</v>
      </c>
      <c r="E364" s="28" t="s">
        <v>1383</v>
      </c>
      <c r="F364" s="28" t="s">
        <v>1177</v>
      </c>
      <c r="G364" s="28" t="s">
        <v>1177</v>
      </c>
      <c r="H364" s="26"/>
    </row>
    <row r="365">
      <c r="A365" s="20" t="s">
        <v>1188</v>
      </c>
      <c r="B365" s="21" t="s">
        <v>1918</v>
      </c>
      <c r="C365" s="21" t="s">
        <v>2104</v>
      </c>
      <c r="D365" s="21" t="s">
        <v>1373</v>
      </c>
      <c r="E365" s="21" t="s">
        <v>2039</v>
      </c>
      <c r="F365" s="21" t="s">
        <v>1177</v>
      </c>
      <c r="G365" s="21" t="s">
        <v>1177</v>
      </c>
      <c r="H365" s="26"/>
    </row>
    <row r="366">
      <c r="A366" s="29"/>
      <c r="B366" s="21" t="s">
        <v>1724</v>
      </c>
      <c r="C366" s="21" t="s">
        <v>1878</v>
      </c>
      <c r="D366" s="21" t="s">
        <v>1307</v>
      </c>
      <c r="E366" s="21" t="s">
        <v>1740</v>
      </c>
      <c r="F366" s="21" t="s">
        <v>1177</v>
      </c>
      <c r="G366" s="21" t="s">
        <v>1177</v>
      </c>
      <c r="H366" s="26"/>
    </row>
    <row r="367">
      <c r="A367" s="29"/>
      <c r="B367" s="21" t="s">
        <v>1788</v>
      </c>
      <c r="C367" s="21" t="s">
        <v>1238</v>
      </c>
      <c r="D367" s="21" t="s">
        <v>1830</v>
      </c>
      <c r="E367" s="21" t="s">
        <v>1607</v>
      </c>
      <c r="F367" s="21" t="s">
        <v>1177</v>
      </c>
      <c r="G367" s="21" t="s">
        <v>1177</v>
      </c>
      <c r="H367" s="26"/>
    </row>
    <row r="368">
      <c r="A368" s="24"/>
      <c r="B368" s="21" t="s">
        <v>1771</v>
      </c>
      <c r="C368" s="21" t="s">
        <v>1959</v>
      </c>
      <c r="D368" s="21" t="s">
        <v>2104</v>
      </c>
      <c r="E368" s="21" t="s">
        <v>1725</v>
      </c>
      <c r="F368" s="21" t="s">
        <v>1177</v>
      </c>
      <c r="G368" s="21" t="s">
        <v>1177</v>
      </c>
      <c r="H368" s="30"/>
      <c r="I368" s="14"/>
    </row>
    <row r="369">
      <c r="A369" s="16" t="s">
        <v>1174</v>
      </c>
      <c r="B369" s="17" t="s">
        <v>2105</v>
      </c>
      <c r="C369" s="18"/>
      <c r="D369" s="18"/>
      <c r="E369" s="18"/>
      <c r="F369" s="18"/>
      <c r="G369" s="18"/>
      <c r="H369" s="18"/>
      <c r="I369" s="16"/>
    </row>
    <row r="370" ht="60.0" customHeight="1">
      <c r="A370" s="20" t="s">
        <v>1176</v>
      </c>
      <c r="B370" s="21" t="str">
        <f t="array" ref="B370">iferror(VLOOKUP(INDIRECT(ADDRESS(ROW()+1,COLUMN(), 4)),Dex!$A$2:$C725,3,false),"")</f>
        <v/>
      </c>
      <c r="C370" s="21" t="str">
        <f t="array" ref="C370">iferror(VLOOKUP(INDIRECT(ADDRESS(ROW()+1,COLUMN(), 4)),Dex!$A$2:$C725,3,false),"")</f>
        <v/>
      </c>
      <c r="D370" s="21" t="str">
        <f t="array" ref="D370">iferror(VLOOKUP(INDIRECT(ADDRESS(ROW()+1,COLUMN(), 4)),Dex!$A$2:$C725,3,false),"")</f>
        <v/>
      </c>
      <c r="E370" s="21" t="s">
        <v>1177</v>
      </c>
      <c r="F370" s="21" t="s">
        <v>1177</v>
      </c>
      <c r="G370" s="21" t="s">
        <v>1177</v>
      </c>
      <c r="H370" s="22" t="str">
        <f t="array" ref="H370">iferror(VLOOKUP("TRAINER_PIC_PICNICKER",Sprites!$A$1:$B725,2,false),"")</f>
        <v/>
      </c>
      <c r="I370" s="23"/>
    </row>
    <row r="371">
      <c r="A371" s="24"/>
      <c r="B371" s="25" t="s">
        <v>318</v>
      </c>
      <c r="C371" s="25" t="s">
        <v>598</v>
      </c>
      <c r="D371" s="25" t="s">
        <v>550</v>
      </c>
      <c r="E371" s="25" t="s">
        <v>1177</v>
      </c>
      <c r="F371" s="25" t="s">
        <v>1177</v>
      </c>
      <c r="G371" s="25" t="s">
        <v>1177</v>
      </c>
      <c r="H371" s="26"/>
    </row>
    <row r="372">
      <c r="A372" s="16" t="s">
        <v>1178</v>
      </c>
      <c r="B372" s="27" t="s">
        <v>2079</v>
      </c>
      <c r="C372" s="27" t="s">
        <v>2093</v>
      </c>
      <c r="D372" s="27" t="s">
        <v>2093</v>
      </c>
      <c r="E372" s="21" t="s">
        <v>1177</v>
      </c>
      <c r="F372" s="21" t="s">
        <v>1177</v>
      </c>
      <c r="G372" s="21" t="s">
        <v>1177</v>
      </c>
      <c r="H372" s="26"/>
    </row>
    <row r="373">
      <c r="A373" s="16" t="s">
        <v>1181</v>
      </c>
      <c r="B373" s="28" t="s">
        <v>1703</v>
      </c>
      <c r="C373" s="28" t="s">
        <v>1295</v>
      </c>
      <c r="D373" s="28" t="s">
        <v>1345</v>
      </c>
      <c r="E373" s="28" t="s">
        <v>1177</v>
      </c>
      <c r="F373" s="28" t="s">
        <v>1177</v>
      </c>
      <c r="G373" s="28" t="s">
        <v>1177</v>
      </c>
      <c r="H373" s="26"/>
    </row>
    <row r="374">
      <c r="A374" s="16" t="s">
        <v>1182</v>
      </c>
      <c r="B374" s="21" t="s">
        <v>1199</v>
      </c>
      <c r="C374" s="21" t="s">
        <v>1356</v>
      </c>
      <c r="D374" s="21" t="s">
        <v>1405</v>
      </c>
      <c r="E374" s="21" t="s">
        <v>1177</v>
      </c>
      <c r="F374" s="21" t="s">
        <v>1177</v>
      </c>
      <c r="G374" s="21" t="s">
        <v>1177</v>
      </c>
      <c r="H374" s="26"/>
    </row>
    <row r="375">
      <c r="A375" s="16" t="s">
        <v>1186</v>
      </c>
      <c r="B375" s="28" t="s">
        <v>1248</v>
      </c>
      <c r="C375" s="28" t="s">
        <v>1235</v>
      </c>
      <c r="D375" s="28" t="s">
        <v>1235</v>
      </c>
      <c r="E375" s="28" t="s">
        <v>1177</v>
      </c>
      <c r="F375" s="28" t="s">
        <v>1177</v>
      </c>
      <c r="G375" s="28" t="s">
        <v>1177</v>
      </c>
      <c r="H375" s="26"/>
    </row>
    <row r="376">
      <c r="A376" s="20" t="s">
        <v>1188</v>
      </c>
      <c r="B376" s="21" t="s">
        <v>1677</v>
      </c>
      <c r="C376" s="21" t="s">
        <v>1469</v>
      </c>
      <c r="D376" s="21" t="s">
        <v>1805</v>
      </c>
      <c r="E376" s="21" t="s">
        <v>1177</v>
      </c>
      <c r="F376" s="21" t="s">
        <v>1177</v>
      </c>
      <c r="G376" s="21" t="s">
        <v>1177</v>
      </c>
      <c r="H376" s="26"/>
    </row>
    <row r="377">
      <c r="A377" s="29"/>
      <c r="B377" s="21" t="s">
        <v>1678</v>
      </c>
      <c r="C377" s="21" t="s">
        <v>1423</v>
      </c>
      <c r="D377" s="21" t="s">
        <v>1411</v>
      </c>
      <c r="E377" s="21" t="s">
        <v>1177</v>
      </c>
      <c r="F377" s="21" t="s">
        <v>1177</v>
      </c>
      <c r="G377" s="21" t="s">
        <v>1177</v>
      </c>
      <c r="H377" s="26"/>
    </row>
    <row r="378">
      <c r="A378" s="29"/>
      <c r="B378" s="21" t="s">
        <v>1307</v>
      </c>
      <c r="C378" s="21" t="s">
        <v>1311</v>
      </c>
      <c r="D378" s="21" t="s">
        <v>1376</v>
      </c>
      <c r="E378" s="21" t="s">
        <v>1177</v>
      </c>
      <c r="F378" s="21" t="s">
        <v>1177</v>
      </c>
      <c r="G378" s="21" t="s">
        <v>1177</v>
      </c>
      <c r="H378" s="26"/>
    </row>
    <row r="379">
      <c r="A379" s="24"/>
      <c r="B379" s="21" t="s">
        <v>1836</v>
      </c>
      <c r="C379" s="21" t="s">
        <v>1590</v>
      </c>
      <c r="D379" s="21" t="s">
        <v>1311</v>
      </c>
      <c r="E379" s="21" t="s">
        <v>1177</v>
      </c>
      <c r="F379" s="21" t="s">
        <v>1177</v>
      </c>
      <c r="G379" s="21" t="s">
        <v>1177</v>
      </c>
      <c r="H379" s="30"/>
      <c r="I379" s="14"/>
    </row>
    <row r="380">
      <c r="A380" s="16" t="s">
        <v>1174</v>
      </c>
      <c r="B380" s="17" t="s">
        <v>2106</v>
      </c>
      <c r="C380" s="18"/>
      <c r="D380" s="18"/>
      <c r="E380" s="18"/>
      <c r="F380" s="18"/>
      <c r="G380" s="18"/>
      <c r="H380" s="18"/>
      <c r="I380" s="16"/>
    </row>
    <row r="381" ht="60.0" customHeight="1">
      <c r="A381" s="20" t="s">
        <v>1176</v>
      </c>
      <c r="B381" s="21" t="str">
        <f t="array" ref="B381">iferror(VLOOKUP(INDIRECT(ADDRESS(ROW()+1,COLUMN(), 4)),Dex!$A$2:$C725,3,false),"")</f>
        <v/>
      </c>
      <c r="C381" s="21" t="str">
        <f t="array" ref="C381">iferror(VLOOKUP(INDIRECT(ADDRESS(ROW()+1,COLUMN(), 4)),Dex!$A$2:$C725,3,false),"")</f>
        <v/>
      </c>
      <c r="D381" s="21" t="str">
        <f t="array" ref="D381">iferror(VLOOKUP(INDIRECT(ADDRESS(ROW()+1,COLUMN(), 4)),Dex!$A$2:$C725,3,false),"")</f>
        <v/>
      </c>
      <c r="E381" s="21" t="str">
        <f t="array" ref="E381">iferror(VLOOKUP(INDIRECT(ADDRESS(ROW()+1,COLUMN(), 4)),Dex!$A$2:$C725,3,false),"")</f>
        <v/>
      </c>
      <c r="F381" s="21" t="str">
        <f t="array" ref="F381">iferror(VLOOKUP(INDIRECT(ADDRESS(ROW()+1,COLUMN(), 4)),Dex!$A$2:$C725,3,false),"")</f>
        <v/>
      </c>
      <c r="G381" s="21" t="s">
        <v>1177</v>
      </c>
      <c r="H381" s="22" t="str">
        <f t="array" ref="H381">iferror(VLOOKUP("TRAINER_PIC_EXPERT_F",Sprites!$A$1:$B725,2,false),"")</f>
        <v/>
      </c>
      <c r="I381" s="23"/>
    </row>
    <row r="382">
      <c r="A382" s="24"/>
      <c r="B382" s="25" t="s">
        <v>555</v>
      </c>
      <c r="C382" s="25" t="s">
        <v>1063</v>
      </c>
      <c r="D382" s="25" t="s">
        <v>1107</v>
      </c>
      <c r="E382" s="25" t="s">
        <v>995</v>
      </c>
      <c r="F382" s="25" t="s">
        <v>76</v>
      </c>
      <c r="G382" s="25" t="s">
        <v>1177</v>
      </c>
      <c r="H382" s="26"/>
    </row>
    <row r="383">
      <c r="A383" s="16" t="s">
        <v>1178</v>
      </c>
      <c r="B383" s="27" t="s">
        <v>2107</v>
      </c>
      <c r="C383" s="27" t="s">
        <v>2093</v>
      </c>
      <c r="D383" s="27" t="s">
        <v>2093</v>
      </c>
      <c r="E383" s="27" t="s">
        <v>2093</v>
      </c>
      <c r="F383" s="27" t="s">
        <v>2093</v>
      </c>
      <c r="G383" s="21" t="s">
        <v>1177</v>
      </c>
      <c r="H383" s="26"/>
    </row>
    <row r="384">
      <c r="A384" s="16" t="s">
        <v>1181</v>
      </c>
      <c r="B384" s="28" t="s">
        <v>1230</v>
      </c>
      <c r="C384" s="28" t="s">
        <v>1458</v>
      </c>
      <c r="D384" s="28" t="s">
        <v>1810</v>
      </c>
      <c r="E384" s="28" t="s">
        <v>1209</v>
      </c>
      <c r="F384" s="28" t="s">
        <v>1674</v>
      </c>
      <c r="G384" s="28" t="s">
        <v>1177</v>
      </c>
      <c r="H384" s="26"/>
    </row>
    <row r="385">
      <c r="A385" s="16" t="s">
        <v>1182</v>
      </c>
      <c r="B385" s="21" t="s">
        <v>1368</v>
      </c>
      <c r="C385" s="21" t="s">
        <v>2108</v>
      </c>
      <c r="D385" s="21" t="s">
        <v>1907</v>
      </c>
      <c r="E385" s="21" t="s">
        <v>2109</v>
      </c>
      <c r="F385" s="21" t="s">
        <v>1675</v>
      </c>
      <c r="G385" s="21" t="s">
        <v>1177</v>
      </c>
      <c r="H385" s="26"/>
    </row>
    <row r="386">
      <c r="A386" s="16" t="s">
        <v>1186</v>
      </c>
      <c r="B386" s="28" t="s">
        <v>1754</v>
      </c>
      <c r="C386" s="28" t="s">
        <v>1257</v>
      </c>
      <c r="D386" s="28" t="s">
        <v>1235</v>
      </c>
      <c r="E386" s="28" t="s">
        <v>1256</v>
      </c>
      <c r="F386" s="28" t="s">
        <v>1235</v>
      </c>
      <c r="G386" s="28" t="s">
        <v>1177</v>
      </c>
      <c r="H386" s="26"/>
    </row>
    <row r="387">
      <c r="A387" s="20" t="s">
        <v>1188</v>
      </c>
      <c r="B387" s="21" t="s">
        <v>2110</v>
      </c>
      <c r="C387" s="21" t="s">
        <v>1823</v>
      </c>
      <c r="D387" s="21" t="s">
        <v>2111</v>
      </c>
      <c r="E387" s="21" t="s">
        <v>1778</v>
      </c>
      <c r="F387" s="21" t="s">
        <v>1677</v>
      </c>
      <c r="G387" s="21" t="s">
        <v>1177</v>
      </c>
      <c r="H387" s="26"/>
    </row>
    <row r="388">
      <c r="A388" s="29"/>
      <c r="B388" s="21" t="s">
        <v>1830</v>
      </c>
      <c r="C388" s="21" t="s">
        <v>2112</v>
      </c>
      <c r="D388" s="21" t="s">
        <v>1321</v>
      </c>
      <c r="E388" s="21" t="s">
        <v>1828</v>
      </c>
      <c r="F388" s="21" t="s">
        <v>1678</v>
      </c>
      <c r="G388" s="21" t="s">
        <v>1177</v>
      </c>
      <c r="H388" s="26"/>
    </row>
    <row r="389">
      <c r="A389" s="29"/>
      <c r="B389" s="21" t="s">
        <v>1677</v>
      </c>
      <c r="C389" s="21" t="s">
        <v>1275</v>
      </c>
      <c r="D389" s="21" t="s">
        <v>1816</v>
      </c>
      <c r="E389" s="21" t="s">
        <v>1725</v>
      </c>
      <c r="F389" s="21" t="s">
        <v>1577</v>
      </c>
      <c r="G389" s="21" t="s">
        <v>1177</v>
      </c>
      <c r="H389" s="26"/>
    </row>
    <row r="390">
      <c r="A390" s="24"/>
      <c r="B390" s="21" t="s">
        <v>2113</v>
      </c>
      <c r="C390" s="21" t="s">
        <v>1622</v>
      </c>
      <c r="D390" s="21" t="s">
        <v>1577</v>
      </c>
      <c r="E390" s="21" t="s">
        <v>1377</v>
      </c>
      <c r="F390" s="21" t="s">
        <v>2063</v>
      </c>
      <c r="G390" s="21" t="s">
        <v>1177</v>
      </c>
      <c r="H390" s="30"/>
      <c r="I390" s="14"/>
    </row>
    <row r="391">
      <c r="A391" s="16" t="s">
        <v>1174</v>
      </c>
      <c r="B391" s="17" t="s">
        <v>2114</v>
      </c>
      <c r="C391" s="18"/>
      <c r="D391" s="18"/>
      <c r="E391" s="18"/>
      <c r="F391" s="18"/>
      <c r="G391" s="18"/>
      <c r="H391" s="18"/>
      <c r="I391" s="16"/>
    </row>
    <row r="392" ht="60.0" customHeight="1">
      <c r="A392" s="20" t="s">
        <v>1176</v>
      </c>
      <c r="B392" s="21" t="str">
        <f t="array" ref="B392">iferror(VLOOKUP(INDIRECT(ADDRESS(ROW()+1,COLUMN(), 4)),Dex!$A$2:$C725,3,false),"")</f>
        <v/>
      </c>
      <c r="C392" s="21" t="str">
        <f t="array" ref="C392">iferror(VLOOKUP(INDIRECT(ADDRESS(ROW()+1,COLUMN(), 4)),Dex!$A$2:$C725,3,false),"")</f>
        <v/>
      </c>
      <c r="D392" s="21" t="str">
        <f t="array" ref="D392">iferror(VLOOKUP(INDIRECT(ADDRESS(ROW()+1,COLUMN(), 4)),Dex!$A$2:$C725,3,false),"")</f>
        <v/>
      </c>
      <c r="E392" s="21" t="str">
        <f t="array" ref="E392">iferror(VLOOKUP(INDIRECT(ADDRESS(ROW()+1,COLUMN(), 4)),Dex!$A$2:$C725,3,false),"")</f>
        <v/>
      </c>
      <c r="F392" s="21" t="s">
        <v>1177</v>
      </c>
      <c r="G392" s="21" t="s">
        <v>1177</v>
      </c>
      <c r="H392" s="22" t="str">
        <f t="array" ref="H392">iferror(VLOOKUP("TRAINER_PIC_SR_AND_JR",Sprites!$A$1:$B725,2,false),"")</f>
        <v/>
      </c>
      <c r="I392" s="23"/>
    </row>
    <row r="393">
      <c r="A393" s="24"/>
      <c r="B393" s="25" t="s">
        <v>883</v>
      </c>
      <c r="C393" s="25" t="s">
        <v>314</v>
      </c>
      <c r="D393" s="25" t="s">
        <v>1102</v>
      </c>
      <c r="E393" s="25" t="s">
        <v>839</v>
      </c>
      <c r="F393" s="25" t="s">
        <v>1177</v>
      </c>
      <c r="G393" s="25" t="s">
        <v>1177</v>
      </c>
      <c r="H393" s="26"/>
    </row>
    <row r="394">
      <c r="A394" s="16" t="s">
        <v>1178</v>
      </c>
      <c r="B394" s="27" t="s">
        <v>2107</v>
      </c>
      <c r="C394" s="27" t="s">
        <v>2107</v>
      </c>
      <c r="D394" s="27" t="s">
        <v>2093</v>
      </c>
      <c r="E394" s="27" t="s">
        <v>2107</v>
      </c>
      <c r="F394" s="21" t="s">
        <v>1177</v>
      </c>
      <c r="G394" s="21" t="s">
        <v>1177</v>
      </c>
      <c r="H394" s="26"/>
    </row>
    <row r="395">
      <c r="A395" s="16" t="s">
        <v>1181</v>
      </c>
      <c r="B395" s="28" t="s">
        <v>2045</v>
      </c>
      <c r="C395" s="28" t="s">
        <v>1882</v>
      </c>
      <c r="D395" s="28" t="s">
        <v>1366</v>
      </c>
      <c r="E395" s="28" t="s">
        <v>1833</v>
      </c>
      <c r="F395" s="28" t="s">
        <v>1177</v>
      </c>
      <c r="G395" s="28" t="s">
        <v>1177</v>
      </c>
      <c r="H395" s="26"/>
    </row>
    <row r="396">
      <c r="A396" s="16" t="s">
        <v>1182</v>
      </c>
      <c r="B396" s="21" t="s">
        <v>1636</v>
      </c>
      <c r="C396" s="21" t="s">
        <v>1211</v>
      </c>
      <c r="D396" s="21" t="s">
        <v>1636</v>
      </c>
      <c r="E396" s="21" t="s">
        <v>1211</v>
      </c>
      <c r="F396" s="21" t="s">
        <v>1177</v>
      </c>
      <c r="G396" s="21" t="s">
        <v>1177</v>
      </c>
      <c r="H396" s="26"/>
    </row>
    <row r="397">
      <c r="A397" s="16" t="s">
        <v>1186</v>
      </c>
      <c r="B397" s="28" t="s">
        <v>1284</v>
      </c>
      <c r="C397" s="28" t="s">
        <v>1284</v>
      </c>
      <c r="D397" s="28" t="s">
        <v>1235</v>
      </c>
      <c r="E397" s="28" t="s">
        <v>1249</v>
      </c>
      <c r="F397" s="28" t="s">
        <v>1177</v>
      </c>
      <c r="G397" s="28" t="s">
        <v>1177</v>
      </c>
      <c r="H397" s="26"/>
    </row>
    <row r="398">
      <c r="A398" s="20" t="s">
        <v>1188</v>
      </c>
      <c r="B398" s="21" t="s">
        <v>1732</v>
      </c>
      <c r="C398" s="21" t="s">
        <v>1732</v>
      </c>
      <c r="D398" s="21" t="s">
        <v>1732</v>
      </c>
      <c r="E398" s="21" t="s">
        <v>1466</v>
      </c>
      <c r="F398" s="21" t="s">
        <v>1177</v>
      </c>
      <c r="G398" s="21" t="s">
        <v>1177</v>
      </c>
      <c r="H398" s="26"/>
    </row>
    <row r="399">
      <c r="A399" s="29"/>
      <c r="B399" s="21" t="s">
        <v>1194</v>
      </c>
      <c r="C399" s="21" t="s">
        <v>2115</v>
      </c>
      <c r="D399" s="21" t="s">
        <v>2116</v>
      </c>
      <c r="E399" s="21" t="s">
        <v>1778</v>
      </c>
      <c r="F399" s="21" t="s">
        <v>1177</v>
      </c>
      <c r="G399" s="21" t="s">
        <v>1177</v>
      </c>
      <c r="H399" s="26"/>
    </row>
    <row r="400">
      <c r="A400" s="29"/>
      <c r="B400" s="21" t="s">
        <v>1177</v>
      </c>
      <c r="C400" s="21" t="s">
        <v>1373</v>
      </c>
      <c r="D400" s="21" t="s">
        <v>1225</v>
      </c>
      <c r="E400" s="21" t="s">
        <v>2115</v>
      </c>
      <c r="F400" s="21" t="s">
        <v>1177</v>
      </c>
      <c r="G400" s="21" t="s">
        <v>1177</v>
      </c>
      <c r="H400" s="26"/>
    </row>
    <row r="401">
      <c r="A401" s="24"/>
      <c r="B401" s="21" t="s">
        <v>1177</v>
      </c>
      <c r="C401" s="21" t="s">
        <v>1389</v>
      </c>
      <c r="D401" s="21" t="s">
        <v>1194</v>
      </c>
      <c r="E401" s="21" t="s">
        <v>1389</v>
      </c>
      <c r="F401" s="21" t="s">
        <v>1177</v>
      </c>
      <c r="G401" s="21" t="s">
        <v>1177</v>
      </c>
      <c r="H401" s="30"/>
      <c r="I401" s="14"/>
    </row>
    <row r="402">
      <c r="A402" s="16" t="s">
        <v>1174</v>
      </c>
      <c r="B402" s="17" t="s">
        <v>2117</v>
      </c>
      <c r="C402" s="18"/>
      <c r="D402" s="18"/>
      <c r="E402" s="18"/>
      <c r="F402" s="18"/>
      <c r="G402" s="18"/>
      <c r="H402" s="18"/>
      <c r="I402" s="19"/>
    </row>
    <row r="403" ht="60.0" customHeight="1">
      <c r="A403" s="20" t="s">
        <v>1176</v>
      </c>
      <c r="B403" s="21" t="str">
        <f t="array" ref="B403">iferror(VLOOKUP(INDIRECT(ADDRESS(ROW()+1,COLUMN(), 4)),Dex!$A$2:$C725,3,false),"")</f>
        <v/>
      </c>
      <c r="C403" s="21" t="str">
        <f t="array" ref="C403">iferror(VLOOKUP(INDIRECT(ADDRESS(ROW()+1,COLUMN(), 4)),Dex!$A$2:$C725,3,false),"")</f>
        <v/>
      </c>
      <c r="D403" s="21" t="s">
        <v>1177</v>
      </c>
      <c r="E403" s="21" t="s">
        <v>1177</v>
      </c>
      <c r="F403" s="21" t="s">
        <v>1177</v>
      </c>
      <c r="G403" s="21" t="s">
        <v>1177</v>
      </c>
      <c r="H403" s="22" t="str">
        <f t="array" ref="H403">iferror(VLOOKUP("TRAINER_PIC_POKEMANIAC",Sprites!$A$1:$B725,2,false),"")</f>
        <v/>
      </c>
      <c r="I403" s="23"/>
    </row>
    <row r="404">
      <c r="A404" s="24"/>
      <c r="B404" s="25" t="s">
        <v>135</v>
      </c>
      <c r="C404" s="25" t="s">
        <v>1095</v>
      </c>
      <c r="D404" s="25" t="s">
        <v>1177</v>
      </c>
      <c r="E404" s="25" t="s">
        <v>1177</v>
      </c>
      <c r="F404" s="25" t="s">
        <v>1177</v>
      </c>
      <c r="G404" s="25" t="s">
        <v>1177</v>
      </c>
      <c r="H404" s="26"/>
    </row>
    <row r="405">
      <c r="A405" s="16" t="s">
        <v>1178</v>
      </c>
      <c r="B405" s="27" t="s">
        <v>2107</v>
      </c>
      <c r="C405" s="27" t="s">
        <v>2107</v>
      </c>
      <c r="D405" s="21" t="s">
        <v>1177</v>
      </c>
      <c r="E405" s="21" t="s">
        <v>1177</v>
      </c>
      <c r="F405" s="21" t="s">
        <v>1177</v>
      </c>
      <c r="G405" s="21" t="s">
        <v>1177</v>
      </c>
      <c r="H405" s="26"/>
    </row>
    <row r="406">
      <c r="A406" s="16" t="s">
        <v>1181</v>
      </c>
      <c r="B406" s="28" t="s">
        <v>1702</v>
      </c>
      <c r="C406" s="28" t="s">
        <v>1572</v>
      </c>
      <c r="D406" s="28" t="s">
        <v>1177</v>
      </c>
      <c r="E406" s="28" t="s">
        <v>1177</v>
      </c>
      <c r="F406" s="28" t="s">
        <v>1177</v>
      </c>
      <c r="G406" s="28" t="s">
        <v>1177</v>
      </c>
      <c r="H406" s="26"/>
    </row>
    <row r="407">
      <c r="A407" s="16" t="s">
        <v>1182</v>
      </c>
      <c r="B407" s="21" t="s">
        <v>1267</v>
      </c>
      <c r="C407" s="21" t="s">
        <v>1393</v>
      </c>
      <c r="D407" s="21" t="s">
        <v>1177</v>
      </c>
      <c r="E407" s="21" t="s">
        <v>1177</v>
      </c>
      <c r="F407" s="21" t="s">
        <v>1177</v>
      </c>
      <c r="G407" s="21" t="s">
        <v>1177</v>
      </c>
      <c r="H407" s="26"/>
    </row>
    <row r="408">
      <c r="A408" s="16" t="s">
        <v>1186</v>
      </c>
      <c r="B408" s="28" t="s">
        <v>1248</v>
      </c>
      <c r="C408" s="28" t="s">
        <v>1284</v>
      </c>
      <c r="D408" s="28" t="s">
        <v>1177</v>
      </c>
      <c r="E408" s="28" t="s">
        <v>1177</v>
      </c>
      <c r="F408" s="28" t="s">
        <v>1177</v>
      </c>
      <c r="G408" s="28" t="s">
        <v>1177</v>
      </c>
      <c r="H408" s="26"/>
    </row>
    <row r="409">
      <c r="A409" s="20" t="s">
        <v>1188</v>
      </c>
      <c r="B409" s="21" t="s">
        <v>1814</v>
      </c>
      <c r="C409" s="21" t="s">
        <v>1742</v>
      </c>
      <c r="D409" s="21" t="s">
        <v>1177</v>
      </c>
      <c r="E409" s="21" t="s">
        <v>1177</v>
      </c>
      <c r="F409" s="21" t="s">
        <v>1177</v>
      </c>
      <c r="G409" s="21" t="s">
        <v>1177</v>
      </c>
      <c r="H409" s="26"/>
    </row>
    <row r="410">
      <c r="A410" s="29"/>
      <c r="B410" s="21" t="s">
        <v>1830</v>
      </c>
      <c r="C410" s="21" t="s">
        <v>1285</v>
      </c>
      <c r="D410" s="21" t="s">
        <v>1177</v>
      </c>
      <c r="E410" s="21" t="s">
        <v>1177</v>
      </c>
      <c r="F410" s="21" t="s">
        <v>1177</v>
      </c>
      <c r="G410" s="21" t="s">
        <v>1177</v>
      </c>
      <c r="H410" s="26"/>
    </row>
    <row r="411">
      <c r="A411" s="29"/>
      <c r="B411" s="21" t="s">
        <v>1320</v>
      </c>
      <c r="C411" s="21" t="s">
        <v>1711</v>
      </c>
      <c r="D411" s="21" t="s">
        <v>1177</v>
      </c>
      <c r="E411" s="21" t="s">
        <v>1177</v>
      </c>
      <c r="F411" s="21" t="s">
        <v>1177</v>
      </c>
      <c r="G411" s="21" t="s">
        <v>1177</v>
      </c>
      <c r="H411" s="26"/>
    </row>
    <row r="412">
      <c r="A412" s="24"/>
      <c r="B412" s="21" t="s">
        <v>1323</v>
      </c>
      <c r="C412" s="21" t="s">
        <v>2019</v>
      </c>
      <c r="D412" s="21" t="s">
        <v>1177</v>
      </c>
      <c r="E412" s="21" t="s">
        <v>1177</v>
      </c>
      <c r="F412" s="21" t="s">
        <v>1177</v>
      </c>
      <c r="G412" s="21" t="s">
        <v>1177</v>
      </c>
      <c r="H412" s="30"/>
      <c r="I412" s="14"/>
    </row>
    <row r="413">
      <c r="A413" s="16" t="s">
        <v>1174</v>
      </c>
      <c r="B413" s="17" t="s">
        <v>2118</v>
      </c>
      <c r="C413" s="18"/>
      <c r="D413" s="18"/>
      <c r="E413" s="18"/>
      <c r="F413" s="18"/>
      <c r="G413" s="18"/>
      <c r="H413" s="18"/>
      <c r="I413" s="16"/>
    </row>
    <row r="414" ht="60.0" customHeight="1">
      <c r="A414" s="20" t="s">
        <v>1176</v>
      </c>
      <c r="B414" s="21" t="str">
        <f t="array" ref="B414">iferror(VLOOKUP(INDIRECT(ADDRESS(ROW()+1,COLUMN(), 4)),Dex!$A$2:$C725,3,false),"")</f>
        <v/>
      </c>
      <c r="C414" s="21" t="str">
        <f t="array" ref="C414">iferror(VLOOKUP(INDIRECT(ADDRESS(ROW()+1,COLUMN(), 4)),Dex!$A$2:$C725,3,false),"")</f>
        <v/>
      </c>
      <c r="D414" s="21" t="str">
        <f t="array" ref="D414">iferror(VLOOKUP(INDIRECT(ADDRESS(ROW()+1,COLUMN(), 4)),Dex!$A$2:$C725,3,false),"")</f>
        <v/>
      </c>
      <c r="E414" s="21" t="s">
        <v>1177</v>
      </c>
      <c r="F414" s="21" t="s">
        <v>1177</v>
      </c>
      <c r="G414" s="21" t="s">
        <v>1177</v>
      </c>
      <c r="H414" s="22" t="str">
        <f t="array" ref="H414">iferror(VLOOKUP("TRAINER_PIC_HIKER",Sprites!$A$1:$B725,2,false),"")</f>
        <v/>
      </c>
      <c r="I414" s="23"/>
    </row>
    <row r="415">
      <c r="A415" s="24"/>
      <c r="B415" s="25" t="s">
        <v>287</v>
      </c>
      <c r="C415" s="25" t="s">
        <v>474</v>
      </c>
      <c r="D415" s="25" t="s">
        <v>594</v>
      </c>
      <c r="E415" s="25" t="s">
        <v>1177</v>
      </c>
      <c r="F415" s="25" t="s">
        <v>1177</v>
      </c>
      <c r="G415" s="25" t="s">
        <v>1177</v>
      </c>
      <c r="H415" s="26"/>
    </row>
    <row r="416">
      <c r="A416" s="16" t="s">
        <v>1178</v>
      </c>
      <c r="B416" s="27" t="s">
        <v>2093</v>
      </c>
      <c r="C416" s="27" t="s">
        <v>2107</v>
      </c>
      <c r="D416" s="27" t="s">
        <v>2107</v>
      </c>
      <c r="E416" s="21" t="s">
        <v>1177</v>
      </c>
      <c r="F416" s="21" t="s">
        <v>1177</v>
      </c>
      <c r="G416" s="21" t="s">
        <v>1177</v>
      </c>
      <c r="H416" s="26"/>
    </row>
    <row r="417">
      <c r="A417" s="16" t="s">
        <v>1181</v>
      </c>
      <c r="B417" s="28" t="s">
        <v>1457</v>
      </c>
      <c r="C417" s="28" t="s">
        <v>1209</v>
      </c>
      <c r="D417" s="28" t="s">
        <v>1434</v>
      </c>
      <c r="E417" s="28" t="s">
        <v>1177</v>
      </c>
      <c r="F417" s="28" t="s">
        <v>1177</v>
      </c>
      <c r="G417" s="28" t="s">
        <v>1177</v>
      </c>
      <c r="H417" s="26"/>
    </row>
    <row r="418">
      <c r="A418" s="16" t="s">
        <v>1182</v>
      </c>
      <c r="B418" s="21" t="s">
        <v>1199</v>
      </c>
      <c r="C418" s="21" t="s">
        <v>1199</v>
      </c>
      <c r="D418" s="21" t="s">
        <v>1436</v>
      </c>
      <c r="E418" s="21" t="s">
        <v>1177</v>
      </c>
      <c r="F418" s="21" t="s">
        <v>1177</v>
      </c>
      <c r="G418" s="21" t="s">
        <v>1177</v>
      </c>
      <c r="H418" s="26"/>
    </row>
    <row r="419">
      <c r="A419" s="16" t="s">
        <v>1186</v>
      </c>
      <c r="B419" s="28" t="s">
        <v>1754</v>
      </c>
      <c r="C419" s="28" t="s">
        <v>1235</v>
      </c>
      <c r="D419" s="28" t="s">
        <v>1406</v>
      </c>
      <c r="E419" s="28" t="s">
        <v>1177</v>
      </c>
      <c r="F419" s="28" t="s">
        <v>1177</v>
      </c>
      <c r="G419" s="28" t="s">
        <v>1177</v>
      </c>
      <c r="H419" s="26"/>
    </row>
    <row r="420">
      <c r="A420" s="20" t="s">
        <v>1188</v>
      </c>
      <c r="B420" s="21" t="s">
        <v>1677</v>
      </c>
      <c r="C420" s="21" t="s">
        <v>1678</v>
      </c>
      <c r="D420" s="21" t="s">
        <v>1677</v>
      </c>
      <c r="E420" s="21" t="s">
        <v>1177</v>
      </c>
      <c r="F420" s="21" t="s">
        <v>1177</v>
      </c>
      <c r="G420" s="21" t="s">
        <v>1177</v>
      </c>
      <c r="H420" s="26"/>
    </row>
    <row r="421">
      <c r="A421" s="29"/>
      <c r="B421" s="21" t="s">
        <v>2110</v>
      </c>
      <c r="C421" s="21" t="s">
        <v>1760</v>
      </c>
      <c r="D421" s="21" t="s">
        <v>1432</v>
      </c>
      <c r="E421" s="21" t="s">
        <v>1177</v>
      </c>
      <c r="F421" s="21" t="s">
        <v>1177</v>
      </c>
      <c r="G421" s="21" t="s">
        <v>1177</v>
      </c>
      <c r="H421" s="26"/>
    </row>
    <row r="422">
      <c r="A422" s="29"/>
      <c r="B422" s="21" t="s">
        <v>1804</v>
      </c>
      <c r="C422" s="21" t="s">
        <v>1252</v>
      </c>
      <c r="D422" s="21" t="s">
        <v>1389</v>
      </c>
      <c r="E422" s="21" t="s">
        <v>1177</v>
      </c>
      <c r="F422" s="21" t="s">
        <v>1177</v>
      </c>
      <c r="G422" s="21" t="s">
        <v>1177</v>
      </c>
      <c r="H422" s="26"/>
    </row>
    <row r="423">
      <c r="A423" s="24"/>
      <c r="B423" s="21" t="s">
        <v>1705</v>
      </c>
      <c r="C423" s="21" t="s">
        <v>1685</v>
      </c>
      <c r="D423" s="21" t="s">
        <v>1377</v>
      </c>
      <c r="E423" s="21" t="s">
        <v>1177</v>
      </c>
      <c r="F423" s="21" t="s">
        <v>1177</v>
      </c>
      <c r="G423" s="21" t="s">
        <v>1177</v>
      </c>
      <c r="H423" s="30"/>
      <c r="I423" s="14"/>
    </row>
    <row r="424">
      <c r="A424" s="16" t="s">
        <v>1174</v>
      </c>
      <c r="B424" s="17" t="s">
        <v>2119</v>
      </c>
      <c r="C424" s="18"/>
      <c r="D424" s="18"/>
      <c r="E424" s="18"/>
      <c r="F424" s="18"/>
      <c r="G424" s="18"/>
      <c r="H424" s="18"/>
      <c r="I424" s="16"/>
    </row>
    <row r="425" ht="60.0" customHeight="1">
      <c r="A425" s="20" t="s">
        <v>1176</v>
      </c>
      <c r="B425" s="39" t="str">
        <f t="array" ref="B425">iferror(VLOOKUP(INDIRECT(ADDRESS(ROW()+1,COLUMN(), 4)),Dex!$A$2:$C725,3,false),"")</f>
        <v/>
      </c>
      <c r="C425" s="21" t="str">
        <f t="array" ref="C425">iferror(VLOOKUP(INDIRECT(ADDRESS(ROW()+1,COLUMN(), 4)),Dex!$A$2:$C725,3,false),"")</f>
        <v/>
      </c>
      <c r="D425" s="21" t="str">
        <f t="array" ref="D425">iferror(VLOOKUP(INDIRECT(ADDRESS(ROW()+1,COLUMN(), 4)),Dex!$A$2:$C725,3,false),"")</f>
        <v/>
      </c>
      <c r="E425" s="21" t="s">
        <v>1177</v>
      </c>
      <c r="F425" s="21" t="s">
        <v>1177</v>
      </c>
      <c r="G425" s="21" t="s">
        <v>1177</v>
      </c>
      <c r="H425" s="22" t="str">
        <f t="array" ref="H425">iferror(VLOOKUP("TRAINER_PIC_HIKER",Sprites!$A$1:$B725,2,false),"")</f>
        <v/>
      </c>
      <c r="I425" s="23"/>
    </row>
    <row r="426">
      <c r="A426" s="24"/>
      <c r="B426" s="25" t="s">
        <v>757</v>
      </c>
      <c r="C426" s="25" t="s">
        <v>448</v>
      </c>
      <c r="D426" s="25" t="s">
        <v>442</v>
      </c>
      <c r="E426" s="25" t="s">
        <v>1177</v>
      </c>
      <c r="F426" s="25" t="s">
        <v>1177</v>
      </c>
      <c r="G426" s="25" t="s">
        <v>1177</v>
      </c>
      <c r="H426" s="26"/>
    </row>
    <row r="427">
      <c r="A427" s="16" t="s">
        <v>1178</v>
      </c>
      <c r="B427" s="27" t="s">
        <v>2107</v>
      </c>
      <c r="C427" s="27" t="s">
        <v>2107</v>
      </c>
      <c r="D427" s="27" t="s">
        <v>2120</v>
      </c>
      <c r="E427" s="21" t="s">
        <v>1177</v>
      </c>
      <c r="F427" s="21" t="s">
        <v>1177</v>
      </c>
      <c r="G427" s="21" t="s">
        <v>1177</v>
      </c>
      <c r="H427" s="26"/>
    </row>
    <row r="428">
      <c r="A428" s="16" t="s">
        <v>1181</v>
      </c>
      <c r="B428" s="28" t="s">
        <v>2045</v>
      </c>
      <c r="C428" s="28" t="s">
        <v>1295</v>
      </c>
      <c r="D428" s="28" t="s">
        <v>1901</v>
      </c>
      <c r="E428" s="28" t="s">
        <v>1177</v>
      </c>
      <c r="F428" s="28" t="s">
        <v>1177</v>
      </c>
      <c r="G428" s="28" t="s">
        <v>1177</v>
      </c>
      <c r="H428" s="26"/>
    </row>
    <row r="429">
      <c r="A429" s="16" t="s">
        <v>1182</v>
      </c>
      <c r="B429" s="21" t="s">
        <v>1946</v>
      </c>
      <c r="C429" s="21" t="s">
        <v>2121</v>
      </c>
      <c r="D429" s="21" t="s">
        <v>2066</v>
      </c>
      <c r="E429" s="21" t="s">
        <v>1177</v>
      </c>
      <c r="F429" s="21" t="s">
        <v>1177</v>
      </c>
      <c r="G429" s="21" t="s">
        <v>1177</v>
      </c>
      <c r="H429" s="26"/>
    </row>
    <row r="430">
      <c r="A430" s="16" t="s">
        <v>1186</v>
      </c>
      <c r="B430" s="28" t="s">
        <v>1754</v>
      </c>
      <c r="C430" s="28" t="s">
        <v>1257</v>
      </c>
      <c r="D430" s="28" t="s">
        <v>1235</v>
      </c>
      <c r="E430" s="28" t="s">
        <v>1177</v>
      </c>
      <c r="F430" s="28" t="s">
        <v>1177</v>
      </c>
      <c r="G430" s="28" t="s">
        <v>1177</v>
      </c>
      <c r="H430" s="26"/>
    </row>
    <row r="431">
      <c r="A431" s="20" t="s">
        <v>1188</v>
      </c>
      <c r="B431" s="21" t="s">
        <v>1983</v>
      </c>
      <c r="C431" s="21" t="s">
        <v>1384</v>
      </c>
      <c r="D431" s="21" t="s">
        <v>1677</v>
      </c>
      <c r="E431" s="21" t="s">
        <v>1177</v>
      </c>
      <c r="F431" s="21" t="s">
        <v>1177</v>
      </c>
      <c r="G431" s="21" t="s">
        <v>1177</v>
      </c>
      <c r="H431" s="26"/>
    </row>
    <row r="432">
      <c r="A432" s="29"/>
      <c r="B432" s="21" t="s">
        <v>2110</v>
      </c>
      <c r="C432" s="21" t="s">
        <v>1618</v>
      </c>
      <c r="D432" s="21" t="s">
        <v>1817</v>
      </c>
      <c r="E432" s="21" t="s">
        <v>1177</v>
      </c>
      <c r="F432" s="21" t="s">
        <v>1177</v>
      </c>
      <c r="G432" s="21" t="s">
        <v>1177</v>
      </c>
      <c r="H432" s="26"/>
    </row>
    <row r="433">
      <c r="A433" s="29"/>
      <c r="B433" s="21" t="s">
        <v>1307</v>
      </c>
      <c r="C433" s="21" t="s">
        <v>1984</v>
      </c>
      <c r="D433" s="21" t="s">
        <v>1250</v>
      </c>
      <c r="E433" s="21" t="s">
        <v>1177</v>
      </c>
      <c r="F433" s="21" t="s">
        <v>1177</v>
      </c>
      <c r="G433" s="21" t="s">
        <v>1177</v>
      </c>
      <c r="H433" s="26"/>
    </row>
    <row r="434">
      <c r="A434" s="24"/>
      <c r="B434" s="21" t="s">
        <v>1262</v>
      </c>
      <c r="C434" s="21" t="s">
        <v>1473</v>
      </c>
      <c r="D434" s="21" t="s">
        <v>1915</v>
      </c>
      <c r="E434" s="21" t="s">
        <v>1177</v>
      </c>
      <c r="F434" s="21" t="s">
        <v>1177</v>
      </c>
      <c r="G434" s="21" t="s">
        <v>1177</v>
      </c>
      <c r="H434" s="30"/>
      <c r="I434" s="14"/>
    </row>
    <row r="435">
      <c r="A435" s="37"/>
      <c r="B435" s="38" t="s">
        <v>2122</v>
      </c>
      <c r="C435" s="14"/>
      <c r="D435" s="14"/>
      <c r="E435" s="14"/>
      <c r="F435" s="14"/>
      <c r="G435" s="14"/>
      <c r="H435" s="24"/>
      <c r="I435" s="33"/>
    </row>
    <row r="436">
      <c r="A436" s="16" t="s">
        <v>1174</v>
      </c>
      <c r="B436" s="17" t="s">
        <v>2123</v>
      </c>
      <c r="C436" s="18"/>
      <c r="D436" s="18"/>
      <c r="E436" s="18"/>
      <c r="F436" s="18"/>
      <c r="G436" s="18"/>
      <c r="H436" s="18"/>
      <c r="I436" s="16"/>
    </row>
    <row r="437" ht="60.0" customHeight="1">
      <c r="A437" s="20" t="s">
        <v>1176</v>
      </c>
      <c r="B437" s="21" t="str">
        <f t="array" ref="B437">iferror(VLOOKUP(INDIRECT(ADDRESS(ROW()+1,COLUMN(), 4)),Dex!$A$2:$C725,3,false),"")</f>
        <v/>
      </c>
      <c r="C437" s="21" t="str">
        <f t="array" ref="C437">iferror(VLOOKUP(INDIRECT(ADDRESS(ROW()+1,COLUMN(), 4)),Dex!$A$2:$C725,3,false),"")</f>
        <v/>
      </c>
      <c r="D437" s="21" t="s">
        <v>1177</v>
      </c>
      <c r="E437" s="21" t="s">
        <v>1177</v>
      </c>
      <c r="F437" s="21" t="s">
        <v>1177</v>
      </c>
      <c r="G437" s="21" t="s">
        <v>1177</v>
      </c>
      <c r="H437" s="22" t="str">
        <f t="array" ref="H437">iferror(VLOOKUP("TRAINER_PIC_BLACK_BELT",Sprites!$A$1:$B725,2,false),"")</f>
        <v/>
      </c>
      <c r="I437" s="23"/>
    </row>
    <row r="438">
      <c r="A438" s="24"/>
      <c r="B438" s="25" t="s">
        <v>780</v>
      </c>
      <c r="C438" s="25" t="s">
        <v>955</v>
      </c>
      <c r="D438" s="25" t="s">
        <v>1177</v>
      </c>
      <c r="E438" s="25" t="s">
        <v>1177</v>
      </c>
      <c r="F438" s="25" t="s">
        <v>1177</v>
      </c>
      <c r="G438" s="25" t="s">
        <v>1177</v>
      </c>
      <c r="H438" s="26"/>
    </row>
    <row r="439">
      <c r="A439" s="16" t="s">
        <v>1178</v>
      </c>
      <c r="B439" s="27" t="s">
        <v>2120</v>
      </c>
      <c r="C439" s="27" t="s">
        <v>2124</v>
      </c>
      <c r="D439" s="21" t="s">
        <v>1177</v>
      </c>
      <c r="E439" s="21" t="s">
        <v>1177</v>
      </c>
      <c r="F439" s="21" t="s">
        <v>1177</v>
      </c>
      <c r="G439" s="21" t="s">
        <v>1177</v>
      </c>
      <c r="H439" s="26"/>
    </row>
    <row r="440">
      <c r="A440" s="16" t="s">
        <v>1181</v>
      </c>
      <c r="B440" s="28" t="s">
        <v>1882</v>
      </c>
      <c r="C440" s="28" t="s">
        <v>1366</v>
      </c>
      <c r="D440" s="28" t="s">
        <v>1177</v>
      </c>
      <c r="E440" s="28" t="s">
        <v>1177</v>
      </c>
      <c r="F440" s="28" t="s">
        <v>1177</v>
      </c>
      <c r="G440" s="28" t="s">
        <v>1177</v>
      </c>
      <c r="H440" s="26"/>
    </row>
    <row r="441">
      <c r="A441" s="16" t="s">
        <v>1182</v>
      </c>
      <c r="B441" s="21" t="s">
        <v>1356</v>
      </c>
      <c r="C441" s="21" t="s">
        <v>1404</v>
      </c>
      <c r="D441" s="21" t="s">
        <v>1177</v>
      </c>
      <c r="E441" s="21" t="s">
        <v>1177</v>
      </c>
      <c r="F441" s="21" t="s">
        <v>1177</v>
      </c>
      <c r="G441" s="21" t="s">
        <v>1177</v>
      </c>
      <c r="H441" s="26"/>
    </row>
    <row r="442">
      <c r="A442" s="16" t="s">
        <v>1186</v>
      </c>
      <c r="B442" s="28" t="s">
        <v>1249</v>
      </c>
      <c r="C442" s="28" t="s">
        <v>1248</v>
      </c>
      <c r="D442" s="28" t="s">
        <v>1177</v>
      </c>
      <c r="E442" s="28" t="s">
        <v>1177</v>
      </c>
      <c r="F442" s="28" t="s">
        <v>1177</v>
      </c>
      <c r="G442" s="28" t="s">
        <v>1177</v>
      </c>
      <c r="H442" s="26"/>
    </row>
    <row r="443">
      <c r="A443" s="20" t="s">
        <v>1188</v>
      </c>
      <c r="B443" s="21" t="s">
        <v>1998</v>
      </c>
      <c r="C443" s="21" t="s">
        <v>1928</v>
      </c>
      <c r="D443" s="21" t="s">
        <v>1177</v>
      </c>
      <c r="E443" s="21" t="s">
        <v>1177</v>
      </c>
      <c r="F443" s="21" t="s">
        <v>1177</v>
      </c>
      <c r="G443" s="21" t="s">
        <v>1177</v>
      </c>
      <c r="H443" s="26"/>
    </row>
    <row r="444">
      <c r="A444" s="29"/>
      <c r="B444" s="21" t="s">
        <v>1678</v>
      </c>
      <c r="C444" s="21" t="s">
        <v>1407</v>
      </c>
      <c r="D444" s="21" t="s">
        <v>1177</v>
      </c>
      <c r="E444" s="21" t="s">
        <v>1177</v>
      </c>
      <c r="F444" s="21" t="s">
        <v>1177</v>
      </c>
      <c r="G444" s="21" t="s">
        <v>1177</v>
      </c>
      <c r="H444" s="26"/>
    </row>
    <row r="445">
      <c r="A445" s="29"/>
      <c r="B445" s="21" t="s">
        <v>1749</v>
      </c>
      <c r="C445" s="21" t="s">
        <v>1466</v>
      </c>
      <c r="D445" s="21" t="s">
        <v>1177</v>
      </c>
      <c r="E445" s="21" t="s">
        <v>1177</v>
      </c>
      <c r="F445" s="21" t="s">
        <v>1177</v>
      </c>
      <c r="G445" s="21" t="s">
        <v>1177</v>
      </c>
      <c r="H445" s="26"/>
    </row>
    <row r="446">
      <c r="A446" s="24"/>
      <c r="B446" s="21" t="s">
        <v>1652</v>
      </c>
      <c r="C446" s="21" t="s">
        <v>1896</v>
      </c>
      <c r="D446" s="21" t="s">
        <v>1177</v>
      </c>
      <c r="E446" s="21" t="s">
        <v>1177</v>
      </c>
      <c r="F446" s="21" t="s">
        <v>1177</v>
      </c>
      <c r="G446" s="21" t="s">
        <v>1177</v>
      </c>
      <c r="H446" s="30"/>
      <c r="I446" s="14"/>
    </row>
    <row r="447">
      <c r="A447" s="16" t="s">
        <v>1174</v>
      </c>
      <c r="B447" s="17" t="s">
        <v>2125</v>
      </c>
      <c r="C447" s="18"/>
      <c r="D447" s="18"/>
      <c r="E447" s="18"/>
      <c r="F447" s="18"/>
      <c r="G447" s="18"/>
      <c r="H447" s="18"/>
      <c r="I447" s="16"/>
    </row>
    <row r="448" ht="60.0" customHeight="1">
      <c r="A448" s="20" t="s">
        <v>1176</v>
      </c>
      <c r="B448" s="21" t="str">
        <f t="array" ref="B448">iferror(VLOOKUP(INDIRECT(ADDRESS(ROW()+1,COLUMN(), 4)),Dex!$A$2:$C725,3,false),"")</f>
        <v/>
      </c>
      <c r="C448" s="21" t="str">
        <f t="array" ref="C448">iferror(VLOOKUP(INDIRECT(ADDRESS(ROW()+1,COLUMN(), 4)),Dex!$A$2:$C725,3,false),"")</f>
        <v/>
      </c>
      <c r="D448" s="21" t="str">
        <f t="array" ref="D448">iferror(VLOOKUP(INDIRECT(ADDRESS(ROW()+1,COLUMN(), 4)),Dex!$A$2:$C725,3,false),"")</f>
        <v/>
      </c>
      <c r="E448" s="21" t="s">
        <v>1177</v>
      </c>
      <c r="F448" s="21" t="s">
        <v>1177</v>
      </c>
      <c r="G448" s="21" t="s">
        <v>1177</v>
      </c>
      <c r="H448" s="22" t="str">
        <f t="array" ref="H448">iferror(VLOOKUP("TRAINER_PIC_BATTLE_GIRL",Sprites!$A$1:$B725,2,false),"")</f>
        <v/>
      </c>
      <c r="I448" s="23"/>
    </row>
    <row r="449">
      <c r="A449" s="24"/>
      <c r="B449" s="25" t="s">
        <v>1093</v>
      </c>
      <c r="C449" s="25" t="s">
        <v>380</v>
      </c>
      <c r="D449" s="25" t="s">
        <v>323</v>
      </c>
      <c r="E449" s="25" t="s">
        <v>1177</v>
      </c>
      <c r="F449" s="25" t="s">
        <v>1177</v>
      </c>
      <c r="G449" s="25" t="s">
        <v>1177</v>
      </c>
      <c r="H449" s="26"/>
    </row>
    <row r="450">
      <c r="A450" s="16" t="s">
        <v>1178</v>
      </c>
      <c r="B450" s="27" t="s">
        <v>2120</v>
      </c>
      <c r="C450" s="27" t="s">
        <v>2124</v>
      </c>
      <c r="D450" s="27" t="s">
        <v>2120</v>
      </c>
      <c r="E450" s="21" t="s">
        <v>1177</v>
      </c>
      <c r="F450" s="21" t="s">
        <v>1177</v>
      </c>
      <c r="G450" s="21" t="s">
        <v>1177</v>
      </c>
      <c r="H450" s="26"/>
    </row>
    <row r="451">
      <c r="A451" s="16" t="s">
        <v>1181</v>
      </c>
      <c r="B451" s="28" t="s">
        <v>1295</v>
      </c>
      <c r="C451" s="28" t="s">
        <v>1434</v>
      </c>
      <c r="D451" s="28" t="s">
        <v>1882</v>
      </c>
      <c r="E451" s="28" t="s">
        <v>1177</v>
      </c>
      <c r="F451" s="28" t="s">
        <v>1177</v>
      </c>
      <c r="G451" s="28" t="s">
        <v>1177</v>
      </c>
      <c r="H451" s="26"/>
    </row>
    <row r="452">
      <c r="A452" s="16" t="s">
        <v>1182</v>
      </c>
      <c r="B452" s="21" t="s">
        <v>1232</v>
      </c>
      <c r="C452" s="21" t="s">
        <v>1436</v>
      </c>
      <c r="D452" s="21" t="s">
        <v>1461</v>
      </c>
      <c r="E452" s="21" t="s">
        <v>1177</v>
      </c>
      <c r="F452" s="21" t="s">
        <v>1177</v>
      </c>
      <c r="G452" s="21" t="s">
        <v>1177</v>
      </c>
      <c r="H452" s="26"/>
    </row>
    <row r="453">
      <c r="A453" s="16" t="s">
        <v>1186</v>
      </c>
      <c r="B453" s="28" t="s">
        <v>1446</v>
      </c>
      <c r="C453" s="28" t="s">
        <v>1235</v>
      </c>
      <c r="D453" s="28" t="s">
        <v>1248</v>
      </c>
      <c r="E453" s="28" t="s">
        <v>1177</v>
      </c>
      <c r="F453" s="28" t="s">
        <v>1177</v>
      </c>
      <c r="G453" s="28" t="s">
        <v>1177</v>
      </c>
      <c r="H453" s="26"/>
    </row>
    <row r="454">
      <c r="A454" s="20" t="s">
        <v>1188</v>
      </c>
      <c r="B454" s="21" t="s">
        <v>1423</v>
      </c>
      <c r="C454" s="21" t="s">
        <v>1423</v>
      </c>
      <c r="D454" s="21" t="s">
        <v>1324</v>
      </c>
      <c r="E454" s="21" t="s">
        <v>1177</v>
      </c>
      <c r="F454" s="21" t="s">
        <v>1177</v>
      </c>
      <c r="G454" s="21" t="s">
        <v>1177</v>
      </c>
      <c r="H454" s="26"/>
    </row>
    <row r="455">
      <c r="A455" s="29"/>
      <c r="B455" s="21" t="s">
        <v>1585</v>
      </c>
      <c r="C455" s="21" t="s">
        <v>1432</v>
      </c>
      <c r="D455" s="21" t="s">
        <v>1426</v>
      </c>
      <c r="E455" s="21" t="s">
        <v>1177</v>
      </c>
      <c r="F455" s="21" t="s">
        <v>1177</v>
      </c>
      <c r="G455" s="21" t="s">
        <v>1177</v>
      </c>
      <c r="H455" s="26"/>
    </row>
    <row r="456">
      <c r="A456" s="29"/>
      <c r="B456" s="21" t="s">
        <v>2126</v>
      </c>
      <c r="C456" s="21" t="s">
        <v>1410</v>
      </c>
      <c r="D456" s="21" t="s">
        <v>1225</v>
      </c>
      <c r="E456" s="21" t="s">
        <v>1177</v>
      </c>
      <c r="F456" s="21" t="s">
        <v>1177</v>
      </c>
      <c r="G456" s="21" t="s">
        <v>1177</v>
      </c>
      <c r="H456" s="26"/>
    </row>
    <row r="457">
      <c r="A457" s="24"/>
      <c r="B457" s="21" t="s">
        <v>1389</v>
      </c>
      <c r="C457" s="21" t="s">
        <v>1389</v>
      </c>
      <c r="D457" s="21" t="s">
        <v>1440</v>
      </c>
      <c r="E457" s="21" t="s">
        <v>1177</v>
      </c>
      <c r="F457" s="21" t="s">
        <v>1177</v>
      </c>
      <c r="G457" s="21" t="s">
        <v>1177</v>
      </c>
      <c r="H457" s="30"/>
      <c r="I457" s="14"/>
    </row>
    <row r="458">
      <c r="A458" s="16" t="s">
        <v>1174</v>
      </c>
      <c r="B458" s="17" t="s">
        <v>2127</v>
      </c>
      <c r="C458" s="18"/>
      <c r="D458" s="18"/>
      <c r="E458" s="18"/>
      <c r="F458" s="18"/>
      <c r="G458" s="18"/>
      <c r="H458" s="18"/>
      <c r="I458" s="16"/>
    </row>
    <row r="459" ht="60.0" customHeight="1">
      <c r="A459" s="20" t="s">
        <v>1176</v>
      </c>
      <c r="B459" s="21" t="str">
        <f t="array" ref="B459">iferror(VLOOKUP(INDIRECT(ADDRESS(ROW()+1,COLUMN(), 4)),Dex!$A$2:$C725,3,false),"")</f>
        <v/>
      </c>
      <c r="C459" s="21" t="str">
        <f t="array" ref="C459">iferror(VLOOKUP(INDIRECT(ADDRESS(ROW()+1,COLUMN(), 4)),Dex!$A$2:$C725,3,false),"")</f>
        <v/>
      </c>
      <c r="D459" s="21" t="s">
        <v>1177</v>
      </c>
      <c r="E459" s="21" t="s">
        <v>1177</v>
      </c>
      <c r="F459" s="21" t="s">
        <v>1177</v>
      </c>
      <c r="G459" s="21" t="s">
        <v>1177</v>
      </c>
      <c r="H459" s="22" t="str">
        <f t="array" ref="H459">iferror(VLOOKUP("TRAINER_PIC_PSYCHIC_F",Sprites!$A$1:$B725,2,false),"")</f>
        <v/>
      </c>
      <c r="I459" s="23"/>
    </row>
    <row r="460">
      <c r="A460" s="24"/>
      <c r="B460" s="25" t="s">
        <v>1109</v>
      </c>
      <c r="C460" s="25" t="s">
        <v>719</v>
      </c>
      <c r="D460" s="25" t="s">
        <v>1177</v>
      </c>
      <c r="E460" s="25" t="s">
        <v>1177</v>
      </c>
      <c r="F460" s="25" t="s">
        <v>1177</v>
      </c>
      <c r="G460" s="25" t="s">
        <v>1177</v>
      </c>
      <c r="H460" s="26"/>
    </row>
    <row r="461">
      <c r="A461" s="16" t="s">
        <v>1178</v>
      </c>
      <c r="B461" s="27" t="s">
        <v>2124</v>
      </c>
      <c r="C461" s="27" t="s">
        <v>2124</v>
      </c>
      <c r="D461" s="21" t="s">
        <v>1177</v>
      </c>
      <c r="E461" s="21" t="s">
        <v>1177</v>
      </c>
      <c r="F461" s="21" t="s">
        <v>1177</v>
      </c>
      <c r="G461" s="21" t="s">
        <v>1177</v>
      </c>
      <c r="H461" s="26"/>
    </row>
    <row r="462">
      <c r="A462" s="16" t="s">
        <v>1181</v>
      </c>
      <c r="B462" s="28" t="s">
        <v>1209</v>
      </c>
      <c r="C462" s="28" t="s">
        <v>1295</v>
      </c>
      <c r="D462" s="28" t="s">
        <v>1177</v>
      </c>
      <c r="E462" s="28" t="s">
        <v>1177</v>
      </c>
      <c r="F462" s="28" t="s">
        <v>1177</v>
      </c>
      <c r="G462" s="28" t="s">
        <v>1177</v>
      </c>
      <c r="H462" s="26"/>
    </row>
    <row r="463">
      <c r="A463" s="16" t="s">
        <v>1182</v>
      </c>
      <c r="B463" s="21" t="s">
        <v>2128</v>
      </c>
      <c r="C463" s="21" t="s">
        <v>2129</v>
      </c>
      <c r="D463" s="21" t="s">
        <v>1177</v>
      </c>
      <c r="E463" s="21" t="s">
        <v>1177</v>
      </c>
      <c r="F463" s="21" t="s">
        <v>1177</v>
      </c>
      <c r="G463" s="21" t="s">
        <v>1177</v>
      </c>
      <c r="H463" s="26"/>
    </row>
    <row r="464">
      <c r="A464" s="16" t="s">
        <v>1186</v>
      </c>
      <c r="B464" s="28" t="s">
        <v>1284</v>
      </c>
      <c r="C464" s="28" t="s">
        <v>1257</v>
      </c>
      <c r="D464" s="28" t="s">
        <v>1177</v>
      </c>
      <c r="E464" s="28" t="s">
        <v>1177</v>
      </c>
      <c r="F464" s="28" t="s">
        <v>1177</v>
      </c>
      <c r="G464" s="28" t="s">
        <v>1177</v>
      </c>
      <c r="H464" s="26"/>
    </row>
    <row r="465">
      <c r="A465" s="20" t="s">
        <v>1188</v>
      </c>
      <c r="B465" s="21" t="s">
        <v>1468</v>
      </c>
      <c r="C465" s="21" t="s">
        <v>1395</v>
      </c>
      <c r="D465" s="21" t="s">
        <v>1177</v>
      </c>
      <c r="E465" s="21" t="s">
        <v>1177</v>
      </c>
      <c r="F465" s="21" t="s">
        <v>1177</v>
      </c>
      <c r="G465" s="21" t="s">
        <v>1177</v>
      </c>
      <c r="H465" s="26"/>
    </row>
    <row r="466">
      <c r="A466" s="29"/>
      <c r="B466" s="21" t="s">
        <v>1839</v>
      </c>
      <c r="C466" s="21" t="s">
        <v>1804</v>
      </c>
      <c r="D466" s="21" t="s">
        <v>1177</v>
      </c>
      <c r="E466" s="21" t="s">
        <v>1177</v>
      </c>
      <c r="F466" s="21" t="s">
        <v>1177</v>
      </c>
      <c r="G466" s="21" t="s">
        <v>1177</v>
      </c>
      <c r="H466" s="26"/>
    </row>
    <row r="467">
      <c r="A467" s="29"/>
      <c r="B467" s="21" t="s">
        <v>1291</v>
      </c>
      <c r="C467" s="21" t="s">
        <v>1590</v>
      </c>
      <c r="D467" s="21" t="s">
        <v>1177</v>
      </c>
      <c r="E467" s="21" t="s">
        <v>1177</v>
      </c>
      <c r="F467" s="21" t="s">
        <v>1177</v>
      </c>
      <c r="G467" s="21" t="s">
        <v>1177</v>
      </c>
      <c r="H467" s="26"/>
    </row>
    <row r="468">
      <c r="A468" s="24"/>
      <c r="B468" s="21" t="s">
        <v>1262</v>
      </c>
      <c r="C468" s="21" t="s">
        <v>1473</v>
      </c>
      <c r="D468" s="21" t="s">
        <v>1177</v>
      </c>
      <c r="E468" s="21" t="s">
        <v>1177</v>
      </c>
      <c r="F468" s="21" t="s">
        <v>1177</v>
      </c>
      <c r="G468" s="21" t="s">
        <v>1177</v>
      </c>
      <c r="H468" s="30"/>
      <c r="I468" s="14"/>
    </row>
    <row r="469">
      <c r="A469" s="16" t="s">
        <v>1174</v>
      </c>
      <c r="B469" s="17" t="s">
        <v>2130</v>
      </c>
      <c r="C469" s="18"/>
      <c r="D469" s="18"/>
      <c r="E469" s="18"/>
      <c r="F469" s="18"/>
      <c r="G469" s="18"/>
      <c r="H469" s="18"/>
      <c r="I469" s="16"/>
    </row>
    <row r="470" ht="60.0" customHeight="1">
      <c r="A470" s="20" t="s">
        <v>1176</v>
      </c>
      <c r="B470" s="21" t="str">
        <f t="array" ref="B470">iferror(VLOOKUP(INDIRECT(ADDRESS(ROW()+1,COLUMN(), 4)),Dex!$A$2:$C725,3,false),"")</f>
        <v/>
      </c>
      <c r="C470" s="21" t="str">
        <f t="array" ref="C470">iferror(VLOOKUP(INDIRECT(ADDRESS(ROW()+1,COLUMN(), 4)),Dex!$A$2:$C725,3,false),"")</f>
        <v/>
      </c>
      <c r="D470" s="21" t="str">
        <f t="array" ref="D470">iferror(VLOOKUP(INDIRECT(ADDRESS(ROW()+1,COLUMN(), 4)),Dex!$A$2:$C725,3,false),"")</f>
        <v/>
      </c>
      <c r="E470" s="21" t="str">
        <f t="array" ref="E470">iferror(VLOOKUP(INDIRECT(ADDRESS(ROW()+1,COLUMN(), 4)),Dex!$A$2:$C725,3,false),"")</f>
        <v/>
      </c>
      <c r="F470" s="21" t="s">
        <v>1177</v>
      </c>
      <c r="G470" s="21" t="s">
        <v>1177</v>
      </c>
      <c r="H470" s="22" t="str">
        <f t="array" ref="H470">iferror(VLOOKUP("TRAINER_PIC_COLLECTOR",Sprites!$A$1:$B725,2,false),"")</f>
        <v/>
      </c>
      <c r="I470" s="23"/>
    </row>
    <row r="471">
      <c r="A471" s="24"/>
      <c r="B471" s="25" t="s">
        <v>792</v>
      </c>
      <c r="C471" s="25" t="s">
        <v>793</v>
      </c>
      <c r="D471" s="25" t="s">
        <v>277</v>
      </c>
      <c r="E471" s="25" t="s">
        <v>437</v>
      </c>
      <c r="F471" s="25" t="s">
        <v>1177</v>
      </c>
      <c r="G471" s="25" t="s">
        <v>1177</v>
      </c>
      <c r="H471" s="26"/>
    </row>
    <row r="472">
      <c r="A472" s="16" t="s">
        <v>1178</v>
      </c>
      <c r="B472" s="27" t="s">
        <v>2124</v>
      </c>
      <c r="C472" s="27" t="s">
        <v>2120</v>
      </c>
      <c r="D472" s="27" t="s">
        <v>2120</v>
      </c>
      <c r="E472" s="27" t="s">
        <v>2120</v>
      </c>
      <c r="F472" s="21" t="s">
        <v>1177</v>
      </c>
      <c r="G472" s="21" t="s">
        <v>1177</v>
      </c>
      <c r="H472" s="26"/>
    </row>
    <row r="473">
      <c r="A473" s="16" t="s">
        <v>1181</v>
      </c>
      <c r="B473" s="28" t="s">
        <v>1460</v>
      </c>
      <c r="C473" s="28" t="s">
        <v>1209</v>
      </c>
      <c r="D473" s="28" t="s">
        <v>1295</v>
      </c>
      <c r="E473" s="28" t="s">
        <v>1434</v>
      </c>
      <c r="F473" s="28" t="s">
        <v>1177</v>
      </c>
      <c r="G473" s="28" t="s">
        <v>1177</v>
      </c>
      <c r="H473" s="26"/>
    </row>
    <row r="474">
      <c r="A474" s="16" t="s">
        <v>1182</v>
      </c>
      <c r="B474" s="21" t="s">
        <v>1826</v>
      </c>
      <c r="C474" s="21" t="s">
        <v>2131</v>
      </c>
      <c r="D474" s="21" t="s">
        <v>1667</v>
      </c>
      <c r="E474" s="21" t="s">
        <v>2132</v>
      </c>
      <c r="F474" s="21" t="s">
        <v>1177</v>
      </c>
      <c r="G474" s="21" t="s">
        <v>1177</v>
      </c>
      <c r="H474" s="26"/>
    </row>
    <row r="475">
      <c r="A475" s="16" t="s">
        <v>1186</v>
      </c>
      <c r="B475" s="28" t="s">
        <v>1249</v>
      </c>
      <c r="C475" s="28" t="s">
        <v>1235</v>
      </c>
      <c r="D475" s="28" t="s">
        <v>1256</v>
      </c>
      <c r="E475" s="28" t="s">
        <v>1235</v>
      </c>
      <c r="F475" s="28" t="s">
        <v>1177</v>
      </c>
      <c r="G475" s="28" t="s">
        <v>1177</v>
      </c>
      <c r="H475" s="26"/>
    </row>
    <row r="476">
      <c r="A476" s="20" t="s">
        <v>1188</v>
      </c>
      <c r="B476" s="21" t="s">
        <v>1737</v>
      </c>
      <c r="C476" s="21" t="s">
        <v>1607</v>
      </c>
      <c r="D476" s="21" t="s">
        <v>1731</v>
      </c>
      <c r="E476" s="21" t="s">
        <v>1432</v>
      </c>
      <c r="F476" s="21" t="s">
        <v>1177</v>
      </c>
      <c r="G476" s="21" t="s">
        <v>1177</v>
      </c>
      <c r="H476" s="26"/>
    </row>
    <row r="477">
      <c r="A477" s="29"/>
      <c r="B477" s="21" t="s">
        <v>1878</v>
      </c>
      <c r="C477" s="21" t="s">
        <v>1586</v>
      </c>
      <c r="D477" s="21" t="s">
        <v>1617</v>
      </c>
      <c r="E477" s="21" t="s">
        <v>1874</v>
      </c>
      <c r="F477" s="21" t="s">
        <v>1177</v>
      </c>
      <c r="G477" s="21" t="s">
        <v>1177</v>
      </c>
      <c r="H477" s="26"/>
    </row>
    <row r="478">
      <c r="A478" s="29"/>
      <c r="B478" s="21" t="s">
        <v>1425</v>
      </c>
      <c r="C478" s="21" t="s">
        <v>1438</v>
      </c>
      <c r="D478" s="21" t="s">
        <v>1806</v>
      </c>
      <c r="E478" s="21" t="s">
        <v>1577</v>
      </c>
      <c r="F478" s="21" t="s">
        <v>1177</v>
      </c>
      <c r="G478" s="21" t="s">
        <v>1177</v>
      </c>
      <c r="H478" s="26"/>
    </row>
    <row r="479">
      <c r="A479" s="24"/>
      <c r="B479" s="21" t="s">
        <v>1652</v>
      </c>
      <c r="C479" s="21" t="s">
        <v>1664</v>
      </c>
      <c r="D479" s="21" t="s">
        <v>1362</v>
      </c>
      <c r="E479" s="21" t="s">
        <v>1243</v>
      </c>
      <c r="F479" s="21" t="s">
        <v>1177</v>
      </c>
      <c r="G479" s="21" t="s">
        <v>1177</v>
      </c>
      <c r="H479" s="30"/>
      <c r="I479" s="14"/>
    </row>
    <row r="480">
      <c r="A480" s="37"/>
      <c r="B480" s="38" t="s">
        <v>2133</v>
      </c>
      <c r="C480" s="14"/>
      <c r="D480" s="14"/>
      <c r="E480" s="14"/>
      <c r="F480" s="14"/>
      <c r="G480" s="14"/>
      <c r="H480" s="24"/>
      <c r="I480" s="33"/>
    </row>
    <row r="481">
      <c r="A481" s="16" t="s">
        <v>1174</v>
      </c>
      <c r="B481" s="17" t="s">
        <v>2134</v>
      </c>
      <c r="C481" s="18"/>
      <c r="D481" s="18"/>
      <c r="E481" s="18"/>
      <c r="F481" s="18"/>
      <c r="G481" s="18"/>
      <c r="H481" s="18"/>
      <c r="I481" s="16"/>
    </row>
    <row r="482" ht="60.0" customHeight="1">
      <c r="A482" s="20" t="s">
        <v>1176</v>
      </c>
      <c r="B482" s="21" t="str">
        <f t="array" ref="B482">iferror(VLOOKUP(INDIRECT(ADDRESS(ROW()+1,COLUMN(), 4)),Dex!$A$2:$C725,3,false),"")</f>
        <v/>
      </c>
      <c r="C482" s="21" t="str">
        <f t="array" ref="C482">iferror(VLOOKUP(INDIRECT(ADDRESS(ROW()+1,COLUMN(), 4)),Dex!$A$2:$C725,3,false),"")</f>
        <v/>
      </c>
      <c r="D482" s="21" t="s">
        <v>1177</v>
      </c>
      <c r="E482" s="21" t="str">
        <f t="array" ref="E482">iferror(VLOOKUP(INDIRECT(ADDRESS(ROW()+1,COLUMN(), 4)),Dex!$A$2:$C725,3,false),"")</f>
        <v/>
      </c>
      <c r="F482" s="21" t="str">
        <f t="array" ref="F482">iferror(VLOOKUP(INDIRECT(ADDRESS(ROW()+1,COLUMN(), 4)),Dex!$A$2:$C725,3,false),"")</f>
        <v/>
      </c>
      <c r="G482" s="21" t="s">
        <v>1177</v>
      </c>
      <c r="H482" s="22" t="str">
        <f t="array" ref="H482">iferror(VLOOKUP("TRAINER_PIC_AROMA_LADY",Sprites!$A$1:$B725,2,false),"")</f>
        <v/>
      </c>
      <c r="I482" s="23"/>
    </row>
    <row r="483">
      <c r="A483" s="24"/>
      <c r="B483" s="25" t="s">
        <v>425</v>
      </c>
      <c r="C483" s="25" t="s">
        <v>10</v>
      </c>
      <c r="D483" s="25" t="s">
        <v>1177</v>
      </c>
      <c r="E483" s="25" t="s">
        <v>592</v>
      </c>
      <c r="F483" s="25" t="s">
        <v>5</v>
      </c>
      <c r="G483" s="25" t="s">
        <v>1177</v>
      </c>
      <c r="H483" s="26"/>
    </row>
    <row r="484">
      <c r="A484" s="16" t="s">
        <v>1178</v>
      </c>
      <c r="B484" s="27" t="s">
        <v>2107</v>
      </c>
      <c r="C484" s="27" t="s">
        <v>2107</v>
      </c>
      <c r="D484" s="21" t="s">
        <v>1177</v>
      </c>
      <c r="E484" s="27" t="s">
        <v>2120</v>
      </c>
      <c r="F484" s="27" t="s">
        <v>2120</v>
      </c>
      <c r="G484" s="21" t="s">
        <v>1177</v>
      </c>
      <c r="H484" s="26"/>
    </row>
    <row r="485">
      <c r="A485" s="16" t="s">
        <v>1181</v>
      </c>
      <c r="B485" s="28" t="s">
        <v>1209</v>
      </c>
      <c r="C485" s="28" t="s">
        <v>1457</v>
      </c>
      <c r="D485" s="28" t="s">
        <v>1177</v>
      </c>
      <c r="E485" s="28" t="s">
        <v>2135</v>
      </c>
      <c r="F485" s="28" t="s">
        <v>1882</v>
      </c>
      <c r="G485" s="28" t="s">
        <v>1177</v>
      </c>
      <c r="H485" s="26"/>
    </row>
    <row r="486">
      <c r="A486" s="16" t="s">
        <v>1182</v>
      </c>
      <c r="B486" s="21" t="s">
        <v>2065</v>
      </c>
      <c r="C486" s="21" t="s">
        <v>2136</v>
      </c>
      <c r="D486" s="21" t="s">
        <v>1177</v>
      </c>
      <c r="E486" s="21" t="s">
        <v>1369</v>
      </c>
      <c r="F486" s="21" t="s">
        <v>1369</v>
      </c>
      <c r="G486" s="21" t="s">
        <v>1177</v>
      </c>
      <c r="H486" s="26"/>
    </row>
    <row r="487">
      <c r="A487" s="16" t="s">
        <v>1186</v>
      </c>
      <c r="B487" s="28" t="s">
        <v>1256</v>
      </c>
      <c r="C487" s="28" t="s">
        <v>1284</v>
      </c>
      <c r="D487" s="28" t="s">
        <v>1177</v>
      </c>
      <c r="E487" s="28" t="s">
        <v>1248</v>
      </c>
      <c r="F487" s="28" t="s">
        <v>1464</v>
      </c>
      <c r="G487" s="28" t="s">
        <v>1177</v>
      </c>
      <c r="H487" s="26"/>
    </row>
    <row r="488">
      <c r="A488" s="20" t="s">
        <v>1188</v>
      </c>
      <c r="B488" s="21" t="s">
        <v>1629</v>
      </c>
      <c r="C488" s="21" t="s">
        <v>1629</v>
      </c>
      <c r="D488" s="21" t="s">
        <v>1177</v>
      </c>
      <c r="E488" s="21" t="s">
        <v>2067</v>
      </c>
      <c r="F488" s="21" t="s">
        <v>2137</v>
      </c>
      <c r="G488" s="21" t="s">
        <v>1177</v>
      </c>
      <c r="H488" s="26"/>
    </row>
    <row r="489">
      <c r="A489" s="29"/>
      <c r="B489" s="21" t="s">
        <v>1804</v>
      </c>
      <c r="C489" s="21" t="s">
        <v>1740</v>
      </c>
      <c r="D489" s="21" t="s">
        <v>1177</v>
      </c>
      <c r="E489" s="21" t="s">
        <v>1307</v>
      </c>
      <c r="F489" s="21" t="s">
        <v>1373</v>
      </c>
      <c r="G489" s="21" t="s">
        <v>1177</v>
      </c>
      <c r="H489" s="26"/>
    </row>
    <row r="490">
      <c r="A490" s="29"/>
      <c r="B490" s="21" t="s">
        <v>1697</v>
      </c>
      <c r="C490" s="21" t="s">
        <v>1619</v>
      </c>
      <c r="D490" s="21" t="s">
        <v>1177</v>
      </c>
      <c r="E490" s="21" t="s">
        <v>1591</v>
      </c>
      <c r="F490" s="21" t="s">
        <v>1677</v>
      </c>
      <c r="G490" s="21" t="s">
        <v>1177</v>
      </c>
      <c r="H490" s="26"/>
    </row>
    <row r="491">
      <c r="A491" s="24"/>
      <c r="B491" s="21" t="s">
        <v>1705</v>
      </c>
      <c r="C491" s="21" t="s">
        <v>1914</v>
      </c>
      <c r="D491" s="21" t="s">
        <v>1177</v>
      </c>
      <c r="E491" s="21" t="s">
        <v>1378</v>
      </c>
      <c r="F491" s="21" t="s">
        <v>2022</v>
      </c>
      <c r="G491" s="21" t="s">
        <v>1177</v>
      </c>
      <c r="H491" s="30"/>
      <c r="I491" s="14"/>
    </row>
    <row r="492">
      <c r="A492" s="16" t="s">
        <v>1174</v>
      </c>
      <c r="B492" s="17" t="s">
        <v>2138</v>
      </c>
      <c r="C492" s="18"/>
      <c r="D492" s="18"/>
      <c r="E492" s="18"/>
      <c r="F492" s="18"/>
      <c r="G492" s="18"/>
      <c r="H492" s="18"/>
      <c r="I492" s="16"/>
    </row>
    <row r="493" ht="60.0" customHeight="1">
      <c r="A493" s="20" t="s">
        <v>1176</v>
      </c>
      <c r="B493" s="21" t="str">
        <f t="array" ref="B493">iferror(VLOOKUP(INDIRECT(ADDRESS(ROW()+1,COLUMN(), 4)),Dex!$A$2:$C725,3,false),"")</f>
        <v/>
      </c>
      <c r="C493" s="21" t="str">
        <f t="array" ref="C493">iferror(VLOOKUP(INDIRECT(ADDRESS(ROW()+1,COLUMN(), 4)),Dex!$A$2:$C725,3,false),"")</f>
        <v/>
      </c>
      <c r="D493" s="21" t="str">
        <f t="array" ref="D493">iferror(VLOOKUP(INDIRECT(ADDRESS(ROW()+1,COLUMN(), 4)),Dex!$A$2:$C725,3,false),"")</f>
        <v/>
      </c>
      <c r="E493" s="21" t="str">
        <f t="array" ref="E493">iferror(VLOOKUP(INDIRECT(ADDRESS(ROW()+1,COLUMN(), 4)),Dex!$A$2:$C725,3,false),"")</f>
        <v/>
      </c>
      <c r="F493" s="21" t="s">
        <v>1177</v>
      </c>
      <c r="G493" s="21" t="s">
        <v>1177</v>
      </c>
      <c r="H493" s="22" t="str">
        <f t="array" ref="H493">iferror(VLOOKUP("TRAINER_PIC_CAMPER",Sprites!$A$1:$B725,2,false),"")</f>
        <v/>
      </c>
      <c r="I493" s="23"/>
    </row>
    <row r="494">
      <c r="A494" s="24"/>
      <c r="B494" s="25" t="s">
        <v>87</v>
      </c>
      <c r="C494" s="25" t="s">
        <v>573</v>
      </c>
      <c r="D494" s="25" t="s">
        <v>885</v>
      </c>
      <c r="E494" s="25" t="s">
        <v>182</v>
      </c>
      <c r="F494" s="25" t="s">
        <v>1177</v>
      </c>
      <c r="G494" s="25" t="s">
        <v>1177</v>
      </c>
      <c r="H494" s="26"/>
    </row>
    <row r="495">
      <c r="A495" s="16" t="s">
        <v>1178</v>
      </c>
      <c r="B495" s="27" t="s">
        <v>2120</v>
      </c>
      <c r="C495" s="27" t="s">
        <v>2124</v>
      </c>
      <c r="D495" s="27" t="s">
        <v>2124</v>
      </c>
      <c r="E495" s="27" t="s">
        <v>2124</v>
      </c>
      <c r="F495" s="21" t="s">
        <v>1177</v>
      </c>
      <c r="G495" s="21" t="s">
        <v>1177</v>
      </c>
      <c r="H495" s="26"/>
    </row>
    <row r="496">
      <c r="A496" s="16" t="s">
        <v>1181</v>
      </c>
      <c r="B496" s="28" t="s">
        <v>1460</v>
      </c>
      <c r="C496" s="28" t="s">
        <v>2139</v>
      </c>
      <c r="D496" s="28" t="s">
        <v>1366</v>
      </c>
      <c r="E496" s="28" t="s">
        <v>1403</v>
      </c>
      <c r="F496" s="28" t="s">
        <v>1177</v>
      </c>
      <c r="G496" s="28" t="s">
        <v>1177</v>
      </c>
      <c r="H496" s="26"/>
    </row>
    <row r="497">
      <c r="A497" s="16" t="s">
        <v>1182</v>
      </c>
      <c r="B497" s="21" t="s">
        <v>1405</v>
      </c>
      <c r="C497" s="21" t="s">
        <v>1573</v>
      </c>
      <c r="D497" s="21" t="s">
        <v>1268</v>
      </c>
      <c r="E497" s="21" t="s">
        <v>1461</v>
      </c>
      <c r="F497" s="21" t="s">
        <v>1177</v>
      </c>
      <c r="G497" s="21" t="s">
        <v>1177</v>
      </c>
      <c r="H497" s="26"/>
    </row>
    <row r="498">
      <c r="A498" s="16" t="s">
        <v>1186</v>
      </c>
      <c r="B498" s="28" t="s">
        <v>1235</v>
      </c>
      <c r="C498" s="28" t="s">
        <v>1235</v>
      </c>
      <c r="D498" s="28" t="s">
        <v>1248</v>
      </c>
      <c r="E498" s="28" t="s">
        <v>1235</v>
      </c>
      <c r="F498" s="28" t="s">
        <v>1177</v>
      </c>
      <c r="G498" s="28" t="s">
        <v>1177</v>
      </c>
      <c r="H498" s="26"/>
    </row>
    <row r="499">
      <c r="A499" s="20" t="s">
        <v>1188</v>
      </c>
      <c r="B499" s="21" t="s">
        <v>1874</v>
      </c>
      <c r="C499" s="21" t="s">
        <v>1574</v>
      </c>
      <c r="D499" s="21" t="s">
        <v>2043</v>
      </c>
      <c r="E499" s="21" t="s">
        <v>1415</v>
      </c>
      <c r="F499" s="21" t="s">
        <v>1177</v>
      </c>
      <c r="G499" s="21" t="s">
        <v>1177</v>
      </c>
      <c r="H499" s="26"/>
    </row>
    <row r="500">
      <c r="A500" s="29"/>
      <c r="B500" s="21" t="s">
        <v>1678</v>
      </c>
      <c r="C500" s="21" t="s">
        <v>1336</v>
      </c>
      <c r="D500" s="21" t="s">
        <v>1952</v>
      </c>
      <c r="E500" s="21" t="s">
        <v>1201</v>
      </c>
      <c r="F500" s="21" t="s">
        <v>1177</v>
      </c>
      <c r="G500" s="21" t="s">
        <v>1177</v>
      </c>
      <c r="H500" s="26"/>
    </row>
    <row r="501">
      <c r="A501" s="29"/>
      <c r="B501" s="21" t="s">
        <v>1677</v>
      </c>
      <c r="C501" s="21" t="s">
        <v>1677</v>
      </c>
      <c r="D501" s="21" t="s">
        <v>1959</v>
      </c>
      <c r="E501" s="21" t="s">
        <v>1321</v>
      </c>
      <c r="F501" s="21" t="s">
        <v>1177</v>
      </c>
      <c r="G501" s="21" t="s">
        <v>1177</v>
      </c>
      <c r="H501" s="26"/>
    </row>
    <row r="502">
      <c r="A502" s="24"/>
      <c r="B502" s="21" t="s">
        <v>1749</v>
      </c>
      <c r="C502" s="21" t="s">
        <v>1438</v>
      </c>
      <c r="D502" s="21" t="s">
        <v>1590</v>
      </c>
      <c r="E502" s="21" t="s">
        <v>1641</v>
      </c>
      <c r="F502" s="21" t="s">
        <v>1177</v>
      </c>
      <c r="G502" s="21" t="s">
        <v>1177</v>
      </c>
      <c r="H502" s="30"/>
      <c r="I502" s="14"/>
    </row>
    <row r="503">
      <c r="A503" s="16" t="s">
        <v>1174</v>
      </c>
      <c r="B503" s="17" t="s">
        <v>2140</v>
      </c>
      <c r="C503" s="18"/>
      <c r="D503" s="18"/>
      <c r="E503" s="18"/>
      <c r="F503" s="18"/>
      <c r="G503" s="18"/>
      <c r="H503" s="18"/>
      <c r="I503" s="16"/>
    </row>
    <row r="504" ht="60.0" customHeight="1">
      <c r="A504" s="20" t="s">
        <v>1176</v>
      </c>
      <c r="B504" s="21" t="str">
        <f t="array" ref="B504">iferror(VLOOKUP(INDIRECT(ADDRESS(ROW()+1,COLUMN(), 4)),Dex!$A$2:$C725,3,false),"")</f>
        <v/>
      </c>
      <c r="C504" s="21" t="str">
        <f t="array" ref="C504">iferror(VLOOKUP(INDIRECT(ADDRESS(ROW()+1,COLUMN(), 4)),Dex!$A$2:$C725,3,false),"")</f>
        <v/>
      </c>
      <c r="D504" s="21" t="str">
        <f t="array" ref="D504">iferror(VLOOKUP(INDIRECT(ADDRESS(ROW()+1,COLUMN(), 4)),Dex!$A$2:$C725,3,false),"")</f>
        <v/>
      </c>
      <c r="E504" s="21" t="s">
        <v>1177</v>
      </c>
      <c r="F504" s="21" t="s">
        <v>1177</v>
      </c>
      <c r="G504" s="21" t="s">
        <v>1177</v>
      </c>
      <c r="H504" s="22" t="str">
        <f t="array" ref="H504">iferror(VLOOKUP("TRAINER_PIC_HIKER",Sprites!$A$1:$B725,2,false),"")</f>
        <v/>
      </c>
      <c r="I504" s="23"/>
    </row>
    <row r="505">
      <c r="A505" s="24"/>
      <c r="B505" s="25" t="s">
        <v>526</v>
      </c>
      <c r="C505" s="25" t="s">
        <v>831</v>
      </c>
      <c r="D505" s="25" t="s">
        <v>303</v>
      </c>
      <c r="E505" s="25" t="s">
        <v>1177</v>
      </c>
      <c r="F505" s="25" t="s">
        <v>1177</v>
      </c>
      <c r="G505" s="25" t="s">
        <v>1177</v>
      </c>
      <c r="H505" s="26"/>
    </row>
    <row r="506">
      <c r="A506" s="16" t="s">
        <v>1178</v>
      </c>
      <c r="B506" s="27" t="s">
        <v>2086</v>
      </c>
      <c r="C506" s="27" t="s">
        <v>2124</v>
      </c>
      <c r="D506" s="27" t="s">
        <v>2124</v>
      </c>
      <c r="E506" s="21" t="s">
        <v>1177</v>
      </c>
      <c r="F506" s="21" t="s">
        <v>1177</v>
      </c>
      <c r="G506" s="21" t="s">
        <v>1177</v>
      </c>
      <c r="H506" s="26"/>
    </row>
    <row r="507">
      <c r="A507" s="16" t="s">
        <v>1181</v>
      </c>
      <c r="B507" s="28" t="s">
        <v>2025</v>
      </c>
      <c r="C507" s="28" t="s">
        <v>1643</v>
      </c>
      <c r="D507" s="28" t="s">
        <v>2025</v>
      </c>
      <c r="E507" s="28" t="s">
        <v>1177</v>
      </c>
      <c r="F507" s="28" t="s">
        <v>1177</v>
      </c>
      <c r="G507" s="28" t="s">
        <v>1177</v>
      </c>
      <c r="H507" s="26"/>
    </row>
    <row r="508">
      <c r="A508" s="16" t="s">
        <v>1182</v>
      </c>
      <c r="B508" s="21" t="s">
        <v>1199</v>
      </c>
      <c r="C508" s="21" t="s">
        <v>2004</v>
      </c>
      <c r="D508" s="21" t="s">
        <v>1296</v>
      </c>
      <c r="E508" s="21" t="s">
        <v>1177</v>
      </c>
      <c r="F508" s="21" t="s">
        <v>1177</v>
      </c>
      <c r="G508" s="21" t="s">
        <v>1177</v>
      </c>
      <c r="H508" s="26"/>
    </row>
    <row r="509">
      <c r="A509" s="16" t="s">
        <v>1186</v>
      </c>
      <c r="B509" s="28" t="s">
        <v>1754</v>
      </c>
      <c r="C509" s="28" t="s">
        <v>1235</v>
      </c>
      <c r="D509" s="28" t="s">
        <v>1284</v>
      </c>
      <c r="E509" s="28" t="s">
        <v>1177</v>
      </c>
      <c r="F509" s="28" t="s">
        <v>1177</v>
      </c>
      <c r="G509" s="28" t="s">
        <v>1177</v>
      </c>
      <c r="H509" s="26"/>
    </row>
    <row r="510">
      <c r="A510" s="20" t="s">
        <v>1188</v>
      </c>
      <c r="B510" s="21" t="s">
        <v>1758</v>
      </c>
      <c r="C510" s="21" t="s">
        <v>1779</v>
      </c>
      <c r="D510" s="21" t="s">
        <v>1740</v>
      </c>
      <c r="E510" s="21" t="s">
        <v>1177</v>
      </c>
      <c r="F510" s="21" t="s">
        <v>1177</v>
      </c>
      <c r="G510" s="21" t="s">
        <v>1177</v>
      </c>
      <c r="H510" s="26"/>
    </row>
    <row r="511">
      <c r="A511" s="29"/>
      <c r="B511" s="21" t="s">
        <v>2141</v>
      </c>
      <c r="C511" s="21" t="s">
        <v>1407</v>
      </c>
      <c r="D511" s="21" t="s">
        <v>1713</v>
      </c>
      <c r="E511" s="21" t="s">
        <v>1177</v>
      </c>
      <c r="F511" s="21" t="s">
        <v>1177</v>
      </c>
      <c r="G511" s="21" t="s">
        <v>1177</v>
      </c>
      <c r="H511" s="26"/>
    </row>
    <row r="512">
      <c r="A512" s="29"/>
      <c r="B512" s="21" t="s">
        <v>1705</v>
      </c>
      <c r="C512" s="21" t="s">
        <v>1192</v>
      </c>
      <c r="D512" s="21" t="s">
        <v>1618</v>
      </c>
      <c r="E512" s="21" t="s">
        <v>1177</v>
      </c>
      <c r="F512" s="21" t="s">
        <v>1177</v>
      </c>
      <c r="G512" s="21" t="s">
        <v>1177</v>
      </c>
      <c r="H512" s="26"/>
    </row>
    <row r="513">
      <c r="A513" s="24"/>
      <c r="B513" s="21" t="s">
        <v>2142</v>
      </c>
      <c r="C513" s="21" t="s">
        <v>1641</v>
      </c>
      <c r="D513" s="21" t="s">
        <v>2019</v>
      </c>
      <c r="E513" s="21" t="s">
        <v>1177</v>
      </c>
      <c r="F513" s="21" t="s">
        <v>1177</v>
      </c>
      <c r="G513" s="21" t="s">
        <v>1177</v>
      </c>
      <c r="H513" s="30"/>
      <c r="I513" s="14"/>
    </row>
    <row r="514">
      <c r="A514" s="16" t="s">
        <v>1174</v>
      </c>
      <c r="B514" s="17" t="s">
        <v>2143</v>
      </c>
      <c r="C514" s="18"/>
      <c r="D514" s="18"/>
      <c r="E514" s="18"/>
      <c r="F514" s="18"/>
      <c r="G514" s="18"/>
      <c r="H514" s="18"/>
      <c r="I514" s="16"/>
    </row>
    <row r="515" ht="60.0" customHeight="1">
      <c r="A515" s="20" t="s">
        <v>1176</v>
      </c>
      <c r="B515" s="21" t="str">
        <f t="array" ref="B515">iferror(VLOOKUP(INDIRECT(ADDRESS(ROW()+1,COLUMN(), 4)),Dex!$A$2:$C725,3,false),"")</f>
        <v/>
      </c>
      <c r="C515" s="21" t="str">
        <f t="array" ref="C515">iferror(VLOOKUP(INDIRECT(ADDRESS(ROW()+1,COLUMN(), 4)),Dex!$A$2:$C725,3,false),"")</f>
        <v/>
      </c>
      <c r="D515" s="21" t="str">
        <f t="array" ref="D515">iferror(VLOOKUP(INDIRECT(ADDRESS(ROW()+1,COLUMN(), 4)),Dex!$A$2:$C725,3,false),"")</f>
        <v/>
      </c>
      <c r="E515" s="21" t="str">
        <f t="array" ref="E515">iferror(VLOOKUP(INDIRECT(ADDRESS(ROW()+1,COLUMN(), 4)),Dex!$A$2:$C725,3,false),"")</f>
        <v/>
      </c>
      <c r="F515" s="21" t="s">
        <v>1177</v>
      </c>
      <c r="G515" s="21" t="s">
        <v>1177</v>
      </c>
      <c r="H515" s="22" t="str">
        <f t="array" ref="H515">iferror(VLOOKUP("TRAINER_PIC_HIKER",Sprites!$A$1:$B725,2,false),"")</f>
        <v/>
      </c>
      <c r="I515" s="23"/>
    </row>
    <row r="516">
      <c r="A516" s="24"/>
      <c r="B516" s="25" t="s">
        <v>555</v>
      </c>
      <c r="C516" s="25" t="s">
        <v>440</v>
      </c>
      <c r="D516" s="25" t="s">
        <v>439</v>
      </c>
      <c r="E516" s="25" t="s">
        <v>423</v>
      </c>
      <c r="F516" s="25" t="s">
        <v>1177</v>
      </c>
      <c r="G516" s="25" t="s">
        <v>1177</v>
      </c>
      <c r="H516" s="26"/>
    </row>
    <row r="517">
      <c r="A517" s="16" t="s">
        <v>1178</v>
      </c>
      <c r="B517" s="27" t="s">
        <v>2144</v>
      </c>
      <c r="C517" s="27" t="s">
        <v>2124</v>
      </c>
      <c r="D517" s="27" t="s">
        <v>2124</v>
      </c>
      <c r="E517" s="27" t="s">
        <v>2124</v>
      </c>
      <c r="F517" s="21" t="s">
        <v>1177</v>
      </c>
      <c r="G517" s="21" t="s">
        <v>1177</v>
      </c>
      <c r="H517" s="26"/>
    </row>
    <row r="518">
      <c r="A518" s="16" t="s">
        <v>1181</v>
      </c>
      <c r="B518" s="28" t="s">
        <v>2145</v>
      </c>
      <c r="C518" s="28" t="s">
        <v>2146</v>
      </c>
      <c r="D518" s="28" t="s">
        <v>2146</v>
      </c>
      <c r="E518" s="28" t="s">
        <v>2102</v>
      </c>
      <c r="F518" s="28" t="s">
        <v>1177</v>
      </c>
      <c r="G518" s="28" t="s">
        <v>1177</v>
      </c>
      <c r="H518" s="26"/>
    </row>
    <row r="519">
      <c r="A519" s="16" t="s">
        <v>1182</v>
      </c>
      <c r="B519" s="21" t="s">
        <v>1368</v>
      </c>
      <c r="C519" s="21" t="s">
        <v>1368</v>
      </c>
      <c r="D519" s="21" t="s">
        <v>1368</v>
      </c>
      <c r="E519" s="21" t="s">
        <v>1382</v>
      </c>
      <c r="F519" s="21" t="s">
        <v>1177</v>
      </c>
      <c r="G519" s="21" t="s">
        <v>1177</v>
      </c>
      <c r="H519" s="26"/>
    </row>
    <row r="520">
      <c r="A520" s="16" t="s">
        <v>1186</v>
      </c>
      <c r="B520" s="28" t="s">
        <v>1754</v>
      </c>
      <c r="C520" s="28" t="s">
        <v>1754</v>
      </c>
      <c r="D520" s="28" t="s">
        <v>1447</v>
      </c>
      <c r="E520" s="28" t="s">
        <v>1447</v>
      </c>
      <c r="F520" s="28" t="s">
        <v>1177</v>
      </c>
      <c r="G520" s="28" t="s">
        <v>1177</v>
      </c>
      <c r="H520" s="26"/>
    </row>
    <row r="521">
      <c r="A521" s="20" t="s">
        <v>1188</v>
      </c>
      <c r="B521" s="21" t="s">
        <v>2147</v>
      </c>
      <c r="C521" s="21" t="s">
        <v>1678</v>
      </c>
      <c r="D521" s="21" t="s">
        <v>1731</v>
      </c>
      <c r="E521" s="21" t="s">
        <v>1939</v>
      </c>
      <c r="F521" s="21" t="s">
        <v>1177</v>
      </c>
      <c r="G521" s="21" t="s">
        <v>1177</v>
      </c>
      <c r="H521" s="26"/>
    </row>
    <row r="522">
      <c r="A522" s="29"/>
      <c r="B522" s="21" t="s">
        <v>2110</v>
      </c>
      <c r="C522" s="21" t="s">
        <v>1677</v>
      </c>
      <c r="D522" s="21" t="s">
        <v>1713</v>
      </c>
      <c r="E522" s="21" t="s">
        <v>1618</v>
      </c>
      <c r="F522" s="21" t="s">
        <v>1177</v>
      </c>
      <c r="G522" s="21" t="s">
        <v>1177</v>
      </c>
      <c r="H522" s="26"/>
    </row>
    <row r="523">
      <c r="A523" s="29"/>
      <c r="B523" s="21" t="s">
        <v>1830</v>
      </c>
      <c r="C523" s="21" t="s">
        <v>1238</v>
      </c>
      <c r="D523" s="21" t="s">
        <v>1830</v>
      </c>
      <c r="E523" s="21" t="s">
        <v>1740</v>
      </c>
      <c r="F523" s="21" t="s">
        <v>1177</v>
      </c>
      <c r="G523" s="21" t="s">
        <v>1177</v>
      </c>
      <c r="H523" s="26"/>
    </row>
    <row r="524">
      <c r="A524" s="24"/>
      <c r="B524" s="21" t="s">
        <v>1954</v>
      </c>
      <c r="C524" s="21" t="s">
        <v>1954</v>
      </c>
      <c r="D524" s="21" t="s">
        <v>1954</v>
      </c>
      <c r="E524" s="21" t="s">
        <v>1438</v>
      </c>
      <c r="F524" s="21" t="s">
        <v>1177</v>
      </c>
      <c r="G524" s="21" t="s">
        <v>1177</v>
      </c>
      <c r="H524" s="30"/>
      <c r="I524" s="14"/>
    </row>
    <row r="525">
      <c r="A525" s="16" t="s">
        <v>1174</v>
      </c>
      <c r="B525" s="17" t="s">
        <v>2148</v>
      </c>
      <c r="C525" s="18"/>
      <c r="D525" s="18"/>
      <c r="E525" s="18"/>
      <c r="F525" s="18"/>
      <c r="G525" s="18"/>
      <c r="H525" s="18"/>
      <c r="I525" s="16"/>
    </row>
    <row r="526" ht="60.0" customHeight="1">
      <c r="A526" s="20" t="s">
        <v>1176</v>
      </c>
      <c r="B526" s="21" t="str">
        <f t="array" ref="B526">iferror(VLOOKUP(INDIRECT(ADDRESS(ROW()+1,COLUMN(), 4)),Dex!$A$2:$C725,3,false),"")</f>
        <v/>
      </c>
      <c r="C526" s="21" t="str">
        <f t="array" ref="C526">iferror(VLOOKUP(INDIRECT(ADDRESS(ROW()+1,COLUMN(), 4)),Dex!$A$2:$C725,3,false),"")</f>
        <v/>
      </c>
      <c r="D526" s="21" t="str">
        <f t="array" ref="D526">iferror(VLOOKUP(INDIRECT(ADDRESS(ROW()+1,COLUMN(), 4)),Dex!$A$2:$C725,3,false),"")</f>
        <v/>
      </c>
      <c r="E526" s="21" t="s">
        <v>1177</v>
      </c>
      <c r="F526" s="21" t="s">
        <v>1177</v>
      </c>
      <c r="G526" s="21" t="s">
        <v>1177</v>
      </c>
      <c r="H526" s="22" t="str">
        <f t="array" ref="H526">iferror(VLOOKUP("TRAINER_PIC_PICNICKER",Sprites!$A$1:$B725,2,false),"")</f>
        <v/>
      </c>
      <c r="I526" s="23"/>
    </row>
    <row r="527">
      <c r="A527" s="24"/>
      <c r="B527" s="25" t="s">
        <v>1065</v>
      </c>
      <c r="C527" s="25" t="s">
        <v>257</v>
      </c>
      <c r="D527" s="25" t="s">
        <v>428</v>
      </c>
      <c r="E527" s="25" t="s">
        <v>1177</v>
      </c>
      <c r="F527" s="25" t="s">
        <v>1177</v>
      </c>
      <c r="G527" s="25" t="s">
        <v>1177</v>
      </c>
      <c r="H527" s="26"/>
    </row>
    <row r="528">
      <c r="A528" s="16" t="s">
        <v>1178</v>
      </c>
      <c r="B528" s="27" t="s">
        <v>2144</v>
      </c>
      <c r="C528" s="27" t="s">
        <v>2124</v>
      </c>
      <c r="D528" s="27" t="s">
        <v>2144</v>
      </c>
      <c r="E528" s="21" t="s">
        <v>1177</v>
      </c>
      <c r="F528" s="21" t="s">
        <v>1177</v>
      </c>
      <c r="G528" s="21" t="s">
        <v>1177</v>
      </c>
      <c r="H528" s="26"/>
    </row>
    <row r="529">
      <c r="A529" s="16" t="s">
        <v>1181</v>
      </c>
      <c r="B529" s="28" t="s">
        <v>1838</v>
      </c>
      <c r="C529" s="28" t="s">
        <v>1702</v>
      </c>
      <c r="D529" s="28" t="s">
        <v>1643</v>
      </c>
      <c r="E529" s="28" t="s">
        <v>1177</v>
      </c>
      <c r="F529" s="28" t="s">
        <v>1177</v>
      </c>
      <c r="G529" s="28" t="s">
        <v>1177</v>
      </c>
      <c r="H529" s="26"/>
    </row>
    <row r="530">
      <c r="A530" s="16" t="s">
        <v>1182</v>
      </c>
      <c r="B530" s="21" t="s">
        <v>1404</v>
      </c>
      <c r="C530" s="21" t="s">
        <v>1357</v>
      </c>
      <c r="D530" s="21" t="s">
        <v>1950</v>
      </c>
      <c r="E530" s="21" t="s">
        <v>1177</v>
      </c>
      <c r="F530" s="21" t="s">
        <v>1177</v>
      </c>
      <c r="G530" s="21" t="s">
        <v>1177</v>
      </c>
      <c r="H530" s="26"/>
    </row>
    <row r="531">
      <c r="A531" s="16" t="s">
        <v>1186</v>
      </c>
      <c r="B531" s="28" t="s">
        <v>1446</v>
      </c>
      <c r="C531" s="28" t="s">
        <v>1284</v>
      </c>
      <c r="D531" s="28" t="s">
        <v>1446</v>
      </c>
      <c r="E531" s="28" t="s">
        <v>1177</v>
      </c>
      <c r="F531" s="28" t="s">
        <v>1177</v>
      </c>
      <c r="G531" s="28" t="s">
        <v>1177</v>
      </c>
      <c r="H531" s="26"/>
    </row>
    <row r="532">
      <c r="A532" s="20" t="s">
        <v>1188</v>
      </c>
      <c r="B532" s="21" t="s">
        <v>1973</v>
      </c>
      <c r="C532" s="21" t="s">
        <v>1724</v>
      </c>
      <c r="D532" s="21" t="s">
        <v>1450</v>
      </c>
      <c r="E532" s="21" t="s">
        <v>1177</v>
      </c>
      <c r="F532" s="21" t="s">
        <v>1177</v>
      </c>
      <c r="G532" s="21" t="s">
        <v>1177</v>
      </c>
      <c r="H532" s="26"/>
    </row>
    <row r="533">
      <c r="A533" s="29"/>
      <c r="B533" s="21" t="s">
        <v>1469</v>
      </c>
      <c r="C533" s="21" t="s">
        <v>1878</v>
      </c>
      <c r="D533" s="21" t="s">
        <v>1472</v>
      </c>
      <c r="E533" s="21" t="s">
        <v>1177</v>
      </c>
      <c r="F533" s="21" t="s">
        <v>1177</v>
      </c>
      <c r="G533" s="21" t="s">
        <v>1177</v>
      </c>
      <c r="H533" s="26"/>
    </row>
    <row r="534">
      <c r="A534" s="29"/>
      <c r="B534" s="21" t="s">
        <v>1385</v>
      </c>
      <c r="C534" s="21" t="s">
        <v>1788</v>
      </c>
      <c r="D534" s="21" t="s">
        <v>1714</v>
      </c>
      <c r="E534" s="21" t="s">
        <v>1177</v>
      </c>
      <c r="F534" s="21" t="s">
        <v>1177</v>
      </c>
      <c r="G534" s="21" t="s">
        <v>1177</v>
      </c>
      <c r="H534" s="26"/>
    </row>
    <row r="535">
      <c r="A535" s="24"/>
      <c r="B535" s="21" t="s">
        <v>1896</v>
      </c>
      <c r="C535" s="21" t="s">
        <v>1891</v>
      </c>
      <c r="D535" s="21" t="s">
        <v>1311</v>
      </c>
      <c r="E535" s="21" t="s">
        <v>1177</v>
      </c>
      <c r="F535" s="21" t="s">
        <v>1177</v>
      </c>
      <c r="G535" s="21" t="s">
        <v>1177</v>
      </c>
      <c r="H535" s="30"/>
      <c r="I535" s="14"/>
    </row>
    <row r="536">
      <c r="A536" s="37"/>
      <c r="B536" s="38" t="s">
        <v>2149</v>
      </c>
      <c r="C536" s="14"/>
      <c r="D536" s="14"/>
      <c r="E536" s="14"/>
      <c r="F536" s="14"/>
      <c r="G536" s="14"/>
      <c r="H536" s="24"/>
      <c r="I536" s="33"/>
    </row>
    <row r="537">
      <c r="A537" s="16" t="s">
        <v>1174</v>
      </c>
      <c r="B537" s="17" t="s">
        <v>2150</v>
      </c>
      <c r="C537" s="18"/>
      <c r="D537" s="18"/>
      <c r="E537" s="18"/>
      <c r="F537" s="18"/>
      <c r="G537" s="18"/>
      <c r="H537" s="18"/>
      <c r="I537" s="16"/>
    </row>
    <row r="538" ht="60.0" customHeight="1">
      <c r="A538" s="20" t="s">
        <v>1176</v>
      </c>
      <c r="B538" s="21" t="str">
        <f t="array" ref="B538">iferror(VLOOKUP(INDIRECT(ADDRESS(ROW()+1,COLUMN(), 4)),Dex!$A$2:$C725,3,false),"")</f>
        <v/>
      </c>
      <c r="C538" s="21" t="str">
        <f t="array" ref="C538">iferror(VLOOKUP(INDIRECT(ADDRESS(ROW()+1,COLUMN(), 4)),Dex!$A$2:$C725,3,false),"")</f>
        <v/>
      </c>
      <c r="D538" s="21" t="s">
        <v>1177</v>
      </c>
      <c r="E538" s="21" t="str">
        <f t="array" ref="E538">iferror(VLOOKUP(INDIRECT(ADDRESS(ROW()+1,COLUMN(), 4)),Dex!$A$2:$C725,3,false),"")</f>
        <v/>
      </c>
      <c r="F538" s="21" t="str">
        <f t="array" ref="F538">iferror(VLOOKUP(INDIRECT(ADDRESS(ROW()+1,COLUMN(), 4)),Dex!$A$2:$C725,3,false),"")</f>
        <v/>
      </c>
      <c r="G538" s="21" t="s">
        <v>1177</v>
      </c>
      <c r="H538" s="22" t="str">
        <f t="array" ref="H538">iferror(VLOOKUP("TRAINER_PIC_MAGMA_GRUNT_F",Sprites!$A$1:$B725,2,false),"")</f>
        <v/>
      </c>
      <c r="I538" s="23"/>
    </row>
    <row r="539">
      <c r="A539" s="24"/>
      <c r="B539" s="25" t="s">
        <v>776</v>
      </c>
      <c r="C539" s="25" t="s">
        <v>691</v>
      </c>
      <c r="D539" s="25" t="s">
        <v>1177</v>
      </c>
      <c r="E539" s="25" t="s">
        <v>1123</v>
      </c>
      <c r="F539" s="25" t="s">
        <v>851</v>
      </c>
      <c r="G539" s="25" t="s">
        <v>1177</v>
      </c>
      <c r="H539" s="26"/>
    </row>
    <row r="540">
      <c r="A540" s="16" t="s">
        <v>1178</v>
      </c>
      <c r="B540" s="27" t="s">
        <v>2144</v>
      </c>
      <c r="C540" s="27" t="s">
        <v>2124</v>
      </c>
      <c r="D540" s="21" t="s">
        <v>1177</v>
      </c>
      <c r="E540" s="27" t="s">
        <v>2124</v>
      </c>
      <c r="F540" s="27" t="s">
        <v>2144</v>
      </c>
      <c r="G540" s="21" t="s">
        <v>1177</v>
      </c>
      <c r="H540" s="26"/>
    </row>
    <row r="541">
      <c r="A541" s="16" t="s">
        <v>1181</v>
      </c>
      <c r="B541" s="28" t="s">
        <v>1247</v>
      </c>
      <c r="C541" s="28" t="s">
        <v>1701</v>
      </c>
      <c r="D541" s="28" t="s">
        <v>1177</v>
      </c>
      <c r="E541" s="28" t="s">
        <v>1583</v>
      </c>
      <c r="F541" s="28" t="s">
        <v>2151</v>
      </c>
      <c r="G541" s="28" t="s">
        <v>1177</v>
      </c>
      <c r="H541" s="26"/>
    </row>
    <row r="542">
      <c r="A542" s="16" t="s">
        <v>1182</v>
      </c>
      <c r="B542" s="21" t="s">
        <v>1222</v>
      </c>
      <c r="C542" s="21" t="s">
        <v>1199</v>
      </c>
      <c r="D542" s="21" t="s">
        <v>1177</v>
      </c>
      <c r="E542" s="21" t="s">
        <v>1912</v>
      </c>
      <c r="F542" s="21" t="s">
        <v>1895</v>
      </c>
      <c r="G542" s="21" t="s">
        <v>1177</v>
      </c>
      <c r="H542" s="26"/>
    </row>
    <row r="543">
      <c r="A543" s="16" t="s">
        <v>1186</v>
      </c>
      <c r="B543" s="28" t="s">
        <v>1284</v>
      </c>
      <c r="C543" s="28" t="s">
        <v>1235</v>
      </c>
      <c r="D543" s="28" t="s">
        <v>1177</v>
      </c>
      <c r="E543" s="28" t="s">
        <v>1284</v>
      </c>
      <c r="F543" s="28" t="s">
        <v>1284</v>
      </c>
      <c r="G543" s="28" t="s">
        <v>1177</v>
      </c>
      <c r="H543" s="26"/>
    </row>
    <row r="544">
      <c r="A544" s="20" t="s">
        <v>1188</v>
      </c>
      <c r="B544" s="21" t="s">
        <v>1650</v>
      </c>
      <c r="C544" s="21" t="s">
        <v>1874</v>
      </c>
      <c r="D544" s="21" t="s">
        <v>1177</v>
      </c>
      <c r="E544" s="21" t="s">
        <v>1778</v>
      </c>
      <c r="F544" s="21" t="s">
        <v>1913</v>
      </c>
      <c r="G544" s="21" t="s">
        <v>1177</v>
      </c>
      <c r="H544" s="26"/>
    </row>
    <row r="545">
      <c r="A545" s="29"/>
      <c r="B545" s="21" t="s">
        <v>1343</v>
      </c>
      <c r="C545" s="21" t="s">
        <v>1359</v>
      </c>
      <c r="D545" s="21" t="s">
        <v>1177</v>
      </c>
      <c r="E545" s="21" t="s">
        <v>1913</v>
      </c>
      <c r="F545" s="21" t="s">
        <v>1724</v>
      </c>
      <c r="G545" s="21" t="s">
        <v>1177</v>
      </c>
      <c r="H545" s="26"/>
    </row>
    <row r="546">
      <c r="A546" s="29"/>
      <c r="B546" s="21" t="s">
        <v>2152</v>
      </c>
      <c r="C546" s="21" t="s">
        <v>1469</v>
      </c>
      <c r="D546" s="21" t="s">
        <v>1177</v>
      </c>
      <c r="E546" s="21" t="s">
        <v>1177</v>
      </c>
      <c r="F546" s="21" t="s">
        <v>1605</v>
      </c>
      <c r="G546" s="21" t="s">
        <v>1177</v>
      </c>
      <c r="H546" s="26"/>
    </row>
    <row r="547">
      <c r="A547" s="24"/>
      <c r="B547" s="21" t="s">
        <v>2153</v>
      </c>
      <c r="C547" s="21" t="s">
        <v>1967</v>
      </c>
      <c r="D547" s="21" t="s">
        <v>1177</v>
      </c>
      <c r="E547" s="21" t="s">
        <v>1177</v>
      </c>
      <c r="F547" s="21" t="s">
        <v>1742</v>
      </c>
      <c r="G547" s="21" t="s">
        <v>1177</v>
      </c>
      <c r="H547" s="30"/>
      <c r="I547" s="14"/>
    </row>
    <row r="548">
      <c r="A548" s="16" t="s">
        <v>1174</v>
      </c>
      <c r="B548" s="17" t="s">
        <v>2154</v>
      </c>
      <c r="C548" s="18"/>
      <c r="D548" s="18"/>
      <c r="E548" s="18"/>
      <c r="F548" s="18"/>
      <c r="G548" s="18"/>
      <c r="H548" s="18"/>
      <c r="I548" s="16"/>
    </row>
    <row r="549" ht="60.0" customHeight="1">
      <c r="A549" s="20" t="s">
        <v>1176</v>
      </c>
      <c r="B549" s="21" t="str">
        <f t="array" ref="B549">iferror(VLOOKUP(INDIRECT(ADDRESS(ROW()+1,COLUMN(), 4)),Dex!$A$2:$C725,3,false),"")</f>
        <v/>
      </c>
      <c r="C549" s="21" t="str">
        <f t="array" ref="C549">iferror(VLOOKUP(INDIRECT(ADDRESS(ROW()+1,COLUMN(), 4)),Dex!$A$2:$C725,3,false),"")</f>
        <v/>
      </c>
      <c r="D549" s="21" t="str">
        <f t="array" ref="D549">iferror(VLOOKUP(INDIRECT(ADDRESS(ROW()+1,COLUMN(), 4)),Dex!$A$2:$C725,3,false),"")</f>
        <v/>
      </c>
      <c r="E549" s="21" t="str">
        <f t="array" ref="E549">iferror(VLOOKUP(INDIRECT(ADDRESS(ROW()+1,COLUMN(), 4)),Dex!$A$2:$C725,3,false),"")</f>
        <v/>
      </c>
      <c r="F549" s="21" t="str">
        <f t="array" ref="F549">iferror(VLOOKUP(INDIRECT(ADDRESS(ROW()+1,COLUMN(), 4)),Dex!$A$2:$C725,3,false),"")</f>
        <v/>
      </c>
      <c r="G549" s="21" t="s">
        <v>1177</v>
      </c>
      <c r="H549" s="22" t="str">
        <f t="array" ref="H549">iferror(VLOOKUP("TRAINER_PIC_MAGMA_ADMIN",Sprites!$A$1:$B725,2,false),"")</f>
        <v/>
      </c>
      <c r="I549" s="23"/>
    </row>
    <row r="550">
      <c r="A550" s="24"/>
      <c r="B550" s="25" t="s">
        <v>425</v>
      </c>
      <c r="C550" s="25" t="s">
        <v>450</v>
      </c>
      <c r="D550" s="25" t="s">
        <v>274</v>
      </c>
      <c r="E550" s="25" t="s">
        <v>105</v>
      </c>
      <c r="F550" s="25" t="s">
        <v>463</v>
      </c>
      <c r="G550" s="25" t="s">
        <v>1177</v>
      </c>
      <c r="H550" s="26"/>
    </row>
    <row r="551">
      <c r="A551" s="16" t="s">
        <v>1178</v>
      </c>
      <c r="B551" s="27" t="s">
        <v>2086</v>
      </c>
      <c r="C551" s="27" t="s">
        <v>2144</v>
      </c>
      <c r="D551" s="27" t="s">
        <v>2144</v>
      </c>
      <c r="E551" s="27" t="s">
        <v>2144</v>
      </c>
      <c r="F551" s="27" t="s">
        <v>2086</v>
      </c>
      <c r="G551" s="21" t="s">
        <v>1177</v>
      </c>
      <c r="H551" s="26"/>
    </row>
    <row r="552">
      <c r="A552" s="16" t="s">
        <v>1181</v>
      </c>
      <c r="B552" s="28" t="s">
        <v>1796</v>
      </c>
      <c r="C552" s="28" t="s">
        <v>1295</v>
      </c>
      <c r="D552" s="28" t="s">
        <v>1882</v>
      </c>
      <c r="E552" s="28" t="s">
        <v>1209</v>
      </c>
      <c r="F552" s="28" t="s">
        <v>2155</v>
      </c>
      <c r="G552" s="28" t="s">
        <v>1177</v>
      </c>
      <c r="H552" s="26"/>
    </row>
    <row r="553">
      <c r="A553" s="16" t="s">
        <v>1182</v>
      </c>
      <c r="B553" s="21" t="s">
        <v>2065</v>
      </c>
      <c r="C553" s="21" t="s">
        <v>2156</v>
      </c>
      <c r="D553" s="21" t="s">
        <v>1844</v>
      </c>
      <c r="E553" s="21" t="s">
        <v>1369</v>
      </c>
      <c r="F553" s="21" t="s">
        <v>1877</v>
      </c>
      <c r="G553" s="21" t="s">
        <v>1177</v>
      </c>
      <c r="H553" s="26"/>
    </row>
    <row r="554">
      <c r="A554" s="16" t="s">
        <v>1186</v>
      </c>
      <c r="B554" s="28" t="s">
        <v>1447</v>
      </c>
      <c r="C554" s="28" t="s">
        <v>1406</v>
      </c>
      <c r="D554" s="28" t="s">
        <v>1284</v>
      </c>
      <c r="E554" s="28" t="s">
        <v>1300</v>
      </c>
      <c r="F554" s="28" t="s">
        <v>1269</v>
      </c>
      <c r="G554" s="28" t="s">
        <v>1177</v>
      </c>
      <c r="H554" s="26"/>
    </row>
    <row r="555">
      <c r="A555" s="20" t="s">
        <v>1188</v>
      </c>
      <c r="B555" s="21" t="s">
        <v>1740</v>
      </c>
      <c r="C555" s="21" t="s">
        <v>1678</v>
      </c>
      <c r="D555" s="21" t="s">
        <v>1731</v>
      </c>
      <c r="E555" s="21" t="s">
        <v>2067</v>
      </c>
      <c r="F555" s="21" t="s">
        <v>1307</v>
      </c>
      <c r="G555" s="21" t="s">
        <v>1177</v>
      </c>
      <c r="H555" s="26"/>
    </row>
    <row r="556">
      <c r="A556" s="29"/>
      <c r="B556" s="21" t="s">
        <v>1830</v>
      </c>
      <c r="C556" s="21" t="s">
        <v>1575</v>
      </c>
      <c r="D556" s="21" t="s">
        <v>1605</v>
      </c>
      <c r="E556" s="21" t="s">
        <v>1814</v>
      </c>
      <c r="F556" s="21" t="s">
        <v>1714</v>
      </c>
      <c r="G556" s="21" t="s">
        <v>1177</v>
      </c>
      <c r="H556" s="26"/>
    </row>
    <row r="557">
      <c r="A557" s="29"/>
      <c r="B557" s="21" t="s">
        <v>1914</v>
      </c>
      <c r="C557" s="21" t="s">
        <v>1677</v>
      </c>
      <c r="D557" s="21" t="s">
        <v>2022</v>
      </c>
      <c r="E557" s="21" t="s">
        <v>2022</v>
      </c>
      <c r="F557" s="21" t="s">
        <v>2104</v>
      </c>
      <c r="G557" s="21" t="s">
        <v>1177</v>
      </c>
      <c r="H557" s="26"/>
    </row>
    <row r="558">
      <c r="A558" s="24"/>
      <c r="B558" s="21" t="s">
        <v>1618</v>
      </c>
      <c r="C558" s="21" t="s">
        <v>1705</v>
      </c>
      <c r="D558" s="21" t="s">
        <v>1715</v>
      </c>
      <c r="E558" s="21" t="s">
        <v>1622</v>
      </c>
      <c r="F558" s="21" t="s">
        <v>1468</v>
      </c>
      <c r="G558" s="21" t="s">
        <v>1177</v>
      </c>
      <c r="H558" s="30"/>
      <c r="I558" s="14"/>
    </row>
    <row r="559">
      <c r="A559" s="16" t="s">
        <v>1174</v>
      </c>
      <c r="B559" s="17" t="s">
        <v>2157</v>
      </c>
      <c r="C559" s="18"/>
      <c r="D559" s="18"/>
      <c r="E559" s="18"/>
      <c r="F559" s="18"/>
      <c r="G559" s="18"/>
      <c r="H559" s="18"/>
      <c r="I559" s="16"/>
    </row>
    <row r="560" ht="60.0" customHeight="1">
      <c r="A560" s="20" t="s">
        <v>1176</v>
      </c>
      <c r="B560" s="21" t="str">
        <f t="array" ref="B560">iferror(VLOOKUP(INDIRECT(ADDRESS(ROW()+1,COLUMN(), 4)),Dex!$A$2:$C725,3,false),"")</f>
        <v/>
      </c>
      <c r="C560" s="21" t="str">
        <f t="array" ref="C560">iferror(VLOOKUP(INDIRECT(ADDRESS(ROW()+1,COLUMN(), 4)),Dex!$A$2:$C725,3,false),"")</f>
        <v/>
      </c>
      <c r="D560" s="21" t="str">
        <f t="array" ref="D560">iferror(VLOOKUP(INDIRECT(ADDRESS(ROW()+1,COLUMN(), 4)),Dex!$A$2:$C725,3,false),"")</f>
        <v/>
      </c>
      <c r="E560" s="21" t="str">
        <f t="array" ref="E560">iferror(VLOOKUP(INDIRECT(ADDRESS(ROW()+1,COLUMN(), 4)),Dex!$A$2:$C725,3,false),"")</f>
        <v/>
      </c>
      <c r="F560" s="21" t="str">
        <f t="array" ref="F560">iferror(VLOOKUP(INDIRECT(ADDRESS(ROW()+1,COLUMN(), 4)),Dex!$A$2:$C725,3,false),"")</f>
        <v/>
      </c>
      <c r="G560" s="21" t="str">
        <f t="array" ref="G560">iferror(VLOOKUP(INDIRECT(ADDRESS(ROW()+1,COLUMN(), 4)),Dex!$A$2:$C725,3,false),"")</f>
        <v/>
      </c>
      <c r="H560" s="22" t="str">
        <f t="array" ref="H560">iferror(VLOOKUP("TRAINER_PIC_MAGMA_LEADER_MAXIE",Sprites!$A$1:$B725,2,false),"")</f>
        <v/>
      </c>
      <c r="I560" s="23"/>
    </row>
    <row r="561">
      <c r="A561" s="24"/>
      <c r="B561" s="25" t="s">
        <v>713</v>
      </c>
      <c r="C561" s="25" t="s">
        <v>281</v>
      </c>
      <c r="D561" s="25" t="s">
        <v>208</v>
      </c>
      <c r="E561" s="25" t="s">
        <v>1001</v>
      </c>
      <c r="F561" s="25" t="s">
        <v>1155</v>
      </c>
      <c r="G561" s="25" t="s">
        <v>424</v>
      </c>
      <c r="H561" s="26"/>
    </row>
    <row r="562">
      <c r="A562" s="16" t="s">
        <v>1178</v>
      </c>
      <c r="B562" s="27" t="s">
        <v>2144</v>
      </c>
      <c r="C562" s="27" t="s">
        <v>2144</v>
      </c>
      <c r="D562" s="27" t="s">
        <v>2144</v>
      </c>
      <c r="E562" s="27" t="s">
        <v>2086</v>
      </c>
      <c r="F562" s="27" t="s">
        <v>2086</v>
      </c>
      <c r="G562" s="27" t="s">
        <v>2086</v>
      </c>
      <c r="H562" s="26"/>
    </row>
    <row r="563">
      <c r="A563" s="16" t="s">
        <v>1181</v>
      </c>
      <c r="B563" s="28" t="s">
        <v>2025</v>
      </c>
      <c r="C563" s="28" t="s">
        <v>1457</v>
      </c>
      <c r="D563" s="28" t="s">
        <v>2139</v>
      </c>
      <c r="E563" s="28" t="s">
        <v>1295</v>
      </c>
      <c r="F563" s="28" t="s">
        <v>1838</v>
      </c>
      <c r="G563" s="28" t="s">
        <v>2158</v>
      </c>
      <c r="H563" s="26"/>
    </row>
    <row r="564">
      <c r="A564" s="16" t="s">
        <v>1182</v>
      </c>
      <c r="B564" s="21" t="s">
        <v>1199</v>
      </c>
      <c r="C564" s="21" t="s">
        <v>1730</v>
      </c>
      <c r="D564" s="21" t="s">
        <v>1211</v>
      </c>
      <c r="E564" s="21" t="s">
        <v>1445</v>
      </c>
      <c r="F564" s="21" t="s">
        <v>2089</v>
      </c>
      <c r="G564" s="21" t="s">
        <v>1938</v>
      </c>
      <c r="H564" s="26"/>
    </row>
    <row r="565">
      <c r="A565" s="16" t="s">
        <v>1186</v>
      </c>
      <c r="B565" s="28" t="s">
        <v>1235</v>
      </c>
      <c r="C565" s="28" t="s">
        <v>1284</v>
      </c>
      <c r="D565" s="28" t="s">
        <v>1235</v>
      </c>
      <c r="E565" s="28" t="s">
        <v>1235</v>
      </c>
      <c r="F565" s="28" t="s">
        <v>1235</v>
      </c>
      <c r="G565" s="28" t="s">
        <v>1447</v>
      </c>
      <c r="H565" s="26"/>
    </row>
    <row r="566">
      <c r="A566" s="20" t="s">
        <v>1188</v>
      </c>
      <c r="B566" s="21" t="s">
        <v>1678</v>
      </c>
      <c r="C566" s="21" t="s">
        <v>1896</v>
      </c>
      <c r="D566" s="21" t="s">
        <v>1678</v>
      </c>
      <c r="E566" s="21" t="s">
        <v>1804</v>
      </c>
      <c r="F566" s="21" t="s">
        <v>1983</v>
      </c>
      <c r="G566" s="21" t="s">
        <v>1618</v>
      </c>
      <c r="H566" s="26"/>
    </row>
    <row r="567">
      <c r="A567" s="29"/>
      <c r="B567" s="21" t="s">
        <v>1677</v>
      </c>
      <c r="C567" s="21" t="s">
        <v>2095</v>
      </c>
      <c r="D567" s="21" t="s">
        <v>1415</v>
      </c>
      <c r="E567" s="21" t="s">
        <v>1452</v>
      </c>
      <c r="F567" s="21" t="s">
        <v>2159</v>
      </c>
      <c r="G567" s="21" t="s">
        <v>1740</v>
      </c>
      <c r="H567" s="26"/>
    </row>
    <row r="568">
      <c r="A568" s="29"/>
      <c r="B568" s="21" t="s">
        <v>2026</v>
      </c>
      <c r="C568" s="21" t="s">
        <v>1924</v>
      </c>
      <c r="D568" s="21" t="s">
        <v>1817</v>
      </c>
      <c r="E568" s="21" t="s">
        <v>1749</v>
      </c>
      <c r="F568" s="21" t="s">
        <v>1886</v>
      </c>
      <c r="G568" s="21" t="s">
        <v>1438</v>
      </c>
      <c r="H568" s="26"/>
    </row>
    <row r="569">
      <c r="A569" s="24"/>
      <c r="B569" s="21" t="s">
        <v>1705</v>
      </c>
      <c r="C569" s="21" t="s">
        <v>2153</v>
      </c>
      <c r="D569" s="21" t="s">
        <v>1336</v>
      </c>
      <c r="E569" s="21" t="s">
        <v>1204</v>
      </c>
      <c r="F569" s="21" t="s">
        <v>1759</v>
      </c>
      <c r="G569" s="21" t="s">
        <v>1959</v>
      </c>
      <c r="H569" s="30"/>
      <c r="I569" s="14"/>
    </row>
    <row r="570">
      <c r="A570" s="37"/>
      <c r="B570" s="38" t="s">
        <v>2160</v>
      </c>
      <c r="C570" s="14"/>
      <c r="D570" s="14"/>
      <c r="E570" s="14"/>
      <c r="F570" s="14"/>
      <c r="G570" s="14"/>
      <c r="H570" s="24"/>
      <c r="I570" s="33"/>
    </row>
    <row r="571">
      <c r="A571" s="16" t="s">
        <v>1174</v>
      </c>
      <c r="B571" s="17" t="s">
        <v>2161</v>
      </c>
      <c r="C571" s="18"/>
      <c r="D571" s="18"/>
      <c r="E571" s="18"/>
      <c r="F571" s="18"/>
      <c r="G571" s="18"/>
      <c r="H571" s="18"/>
      <c r="I571" s="16"/>
    </row>
    <row r="572" ht="60.0" customHeight="1">
      <c r="A572" s="20" t="s">
        <v>1176</v>
      </c>
      <c r="B572" s="21" t="str">
        <f t="array" ref="B572">iferror(VLOOKUP(INDIRECT(ADDRESS(ROW()+1,COLUMN(), 4)),Dex!$A$2:$C725,3,false),"")</f>
        <v/>
      </c>
      <c r="C572" s="21" t="str">
        <f t="array" ref="C572">iferror(VLOOKUP(INDIRECT(ADDRESS(ROW()+1,COLUMN(), 4)),Dex!$A$2:$C725,3,false),"")</f>
        <v/>
      </c>
      <c r="D572" s="21" t="s">
        <v>1177</v>
      </c>
      <c r="E572" s="39" t="str">
        <f t="array" ref="E572">iferror(VLOOKUP(INDIRECT(ADDRESS(ROW()+1,COLUMN(), 4)),Dex!$A$2:$C725,3,false),"")</f>
        <v/>
      </c>
      <c r="F572" s="21" t="str">
        <f t="array" ref="F572">iferror(VLOOKUP(INDIRECT(ADDRESS(ROW()+1,COLUMN(), 4)),Dex!$A$2:$C725,3,false),"")</f>
        <v/>
      </c>
      <c r="G572" s="21" t="str">
        <f t="array" ref="G572">iferror(VLOOKUP(INDIRECT(ADDRESS(ROW()+1,COLUMN(), 4)),Dex!$A$2:$C725,3,false),"")</f>
        <v/>
      </c>
      <c r="H572" s="22" t="str">
        <f t="array" ref="H572">iferror(VLOOKUP("TRAINER_PIC_PICNICKER",Sprites!$A$1:$B725,2,false),"")</f>
        <v/>
      </c>
      <c r="I572" s="23"/>
    </row>
    <row r="573">
      <c r="A573" s="24"/>
      <c r="B573" s="25" t="s">
        <v>594</v>
      </c>
      <c r="C573" s="25" t="s">
        <v>1119</v>
      </c>
      <c r="D573" s="25" t="s">
        <v>1177</v>
      </c>
      <c r="E573" s="25" t="s">
        <v>757</v>
      </c>
      <c r="F573" s="25" t="s">
        <v>647</v>
      </c>
      <c r="G573" s="25" t="s">
        <v>1070</v>
      </c>
      <c r="H573" s="26"/>
    </row>
    <row r="574">
      <c r="A574" s="16" t="s">
        <v>1178</v>
      </c>
      <c r="B574" s="27" t="s">
        <v>2124</v>
      </c>
      <c r="C574" s="27" t="s">
        <v>2144</v>
      </c>
      <c r="D574" s="21" t="s">
        <v>1177</v>
      </c>
      <c r="E574" s="27" t="s">
        <v>2144</v>
      </c>
      <c r="F574" s="27" t="s">
        <v>2124</v>
      </c>
      <c r="G574" s="27" t="s">
        <v>2144</v>
      </c>
      <c r="H574" s="26"/>
    </row>
    <row r="575">
      <c r="A575" s="16" t="s">
        <v>1181</v>
      </c>
      <c r="B575" s="28" t="s">
        <v>1282</v>
      </c>
      <c r="C575" s="28" t="s">
        <v>1247</v>
      </c>
      <c r="D575" s="28" t="s">
        <v>1177</v>
      </c>
      <c r="E575" s="28" t="s">
        <v>1391</v>
      </c>
      <c r="F575" s="28" t="s">
        <v>1688</v>
      </c>
      <c r="G575" s="28" t="s">
        <v>1882</v>
      </c>
      <c r="H575" s="26"/>
    </row>
    <row r="576">
      <c r="A576" s="16" t="s">
        <v>1182</v>
      </c>
      <c r="B576" s="21" t="s">
        <v>1654</v>
      </c>
      <c r="C576" s="21" t="s">
        <v>2162</v>
      </c>
      <c r="D576" s="21" t="s">
        <v>1177</v>
      </c>
      <c r="E576" s="21" t="s">
        <v>1946</v>
      </c>
      <c r="F576" s="21" t="s">
        <v>1950</v>
      </c>
      <c r="G576" s="21" t="s">
        <v>1681</v>
      </c>
      <c r="H576" s="26"/>
    </row>
    <row r="577">
      <c r="A577" s="16" t="s">
        <v>1186</v>
      </c>
      <c r="B577" s="28" t="s">
        <v>1235</v>
      </c>
      <c r="C577" s="28" t="s">
        <v>1235</v>
      </c>
      <c r="D577" s="28" t="s">
        <v>1177</v>
      </c>
      <c r="E577" s="28" t="s">
        <v>1754</v>
      </c>
      <c r="F577" s="28" t="s">
        <v>1256</v>
      </c>
      <c r="G577" s="28" t="s">
        <v>1235</v>
      </c>
      <c r="H577" s="26"/>
    </row>
    <row r="578">
      <c r="A578" s="20" t="s">
        <v>1188</v>
      </c>
      <c r="B578" s="21" t="s">
        <v>1779</v>
      </c>
      <c r="C578" s="21" t="s">
        <v>1678</v>
      </c>
      <c r="D578" s="21" t="s">
        <v>1177</v>
      </c>
      <c r="E578" s="21" t="s">
        <v>1983</v>
      </c>
      <c r="F578" s="21" t="s">
        <v>1823</v>
      </c>
      <c r="G578" s="21" t="s">
        <v>1658</v>
      </c>
      <c r="H578" s="26"/>
    </row>
    <row r="579">
      <c r="A579" s="29"/>
      <c r="B579" s="21" t="s">
        <v>1238</v>
      </c>
      <c r="C579" s="21" t="s">
        <v>1438</v>
      </c>
      <c r="D579" s="21" t="s">
        <v>1177</v>
      </c>
      <c r="E579" s="21" t="s">
        <v>2110</v>
      </c>
      <c r="F579" s="21" t="s">
        <v>1177</v>
      </c>
      <c r="G579" s="21" t="s">
        <v>1741</v>
      </c>
      <c r="H579" s="26"/>
    </row>
    <row r="580">
      <c r="A580" s="29"/>
      <c r="B580" s="21" t="s">
        <v>1307</v>
      </c>
      <c r="C580" s="21" t="s">
        <v>1411</v>
      </c>
      <c r="D580" s="21" t="s">
        <v>1177</v>
      </c>
      <c r="E580" s="21" t="s">
        <v>1262</v>
      </c>
      <c r="F580" s="21" t="s">
        <v>1177</v>
      </c>
      <c r="G580" s="21" t="s">
        <v>1594</v>
      </c>
      <c r="H580" s="26"/>
    </row>
    <row r="581">
      <c r="A581" s="24"/>
      <c r="B581" s="21" t="s">
        <v>1377</v>
      </c>
      <c r="C581" s="21" t="s">
        <v>1389</v>
      </c>
      <c r="D581" s="21" t="s">
        <v>1177</v>
      </c>
      <c r="E581" s="21" t="s">
        <v>1705</v>
      </c>
      <c r="F581" s="21" t="s">
        <v>1177</v>
      </c>
      <c r="G581" s="21" t="s">
        <v>1769</v>
      </c>
      <c r="H581" s="30"/>
      <c r="I581" s="14"/>
    </row>
    <row r="582">
      <c r="A582" s="16" t="s">
        <v>1174</v>
      </c>
      <c r="B582" s="17" t="s">
        <v>2163</v>
      </c>
      <c r="C582" s="18"/>
      <c r="D582" s="18"/>
      <c r="E582" s="18"/>
      <c r="F582" s="18"/>
      <c r="G582" s="18"/>
      <c r="H582" s="18"/>
      <c r="I582" s="19"/>
    </row>
    <row r="583" ht="60.0" customHeight="1">
      <c r="A583" s="20" t="s">
        <v>1176</v>
      </c>
      <c r="B583" s="21" t="str">
        <f t="array" ref="B583">iferror(VLOOKUP(INDIRECT(ADDRESS(ROW()+1,COLUMN(), 4)),Dex!$A$2:$C725,3,false),"")</f>
        <v/>
      </c>
      <c r="C583" s="21" t="str">
        <f t="array" ref="C583">iferror(VLOOKUP(INDIRECT(ADDRESS(ROW()+1,COLUMN(), 4)),Dex!$A$2:$C725,3,false),"")</f>
        <v/>
      </c>
      <c r="D583" s="21" t="str">
        <f t="array" ref="D583">iferror(VLOOKUP(INDIRECT(ADDRESS(ROW()+1,COLUMN(), 4)),Dex!$A$2:$C725,3,false),"")</f>
        <v/>
      </c>
      <c r="E583" s="21" t="s">
        <v>1177</v>
      </c>
      <c r="F583" s="21" t="s">
        <v>1177</v>
      </c>
      <c r="G583" s="21" t="s">
        <v>1177</v>
      </c>
      <c r="H583" s="22" t="str">
        <f t="array" ref="H583">iferror(VLOOKUP("TRAINER_PIC_CYCLING_TRIATHLETE_M",Sprites!$A$1:$B725,2,false),"")</f>
        <v/>
      </c>
      <c r="I583" s="23"/>
    </row>
    <row r="584">
      <c r="A584" s="24"/>
      <c r="B584" s="25" t="s">
        <v>674</v>
      </c>
      <c r="C584" s="25" t="s">
        <v>515</v>
      </c>
      <c r="D584" s="25" t="s">
        <v>760</v>
      </c>
      <c r="E584" s="25" t="s">
        <v>1177</v>
      </c>
      <c r="F584" s="25" t="s">
        <v>1177</v>
      </c>
      <c r="G584" s="25" t="s">
        <v>1177</v>
      </c>
      <c r="H584" s="26"/>
    </row>
    <row r="585">
      <c r="A585" s="16" t="s">
        <v>1178</v>
      </c>
      <c r="B585" s="27" t="s">
        <v>2144</v>
      </c>
      <c r="C585" s="27" t="s">
        <v>2107</v>
      </c>
      <c r="D585" s="27" t="s">
        <v>2120</v>
      </c>
      <c r="E585" s="21" t="s">
        <v>1177</v>
      </c>
      <c r="F585" s="21" t="s">
        <v>1177</v>
      </c>
      <c r="G585" s="21" t="s">
        <v>1177</v>
      </c>
      <c r="H585" s="26"/>
    </row>
    <row r="586">
      <c r="A586" s="16" t="s">
        <v>1181</v>
      </c>
      <c r="B586" s="28" t="s">
        <v>1702</v>
      </c>
      <c r="C586" s="28" t="s">
        <v>1796</v>
      </c>
      <c r="D586" s="28" t="s">
        <v>1209</v>
      </c>
      <c r="E586" s="28" t="s">
        <v>1177</v>
      </c>
      <c r="F586" s="28" t="s">
        <v>1177</v>
      </c>
      <c r="G586" s="28" t="s">
        <v>1177</v>
      </c>
      <c r="H586" s="26"/>
    </row>
    <row r="587">
      <c r="A587" s="16" t="s">
        <v>1182</v>
      </c>
      <c r="B587" s="21" t="s">
        <v>1210</v>
      </c>
      <c r="C587" s="21" t="s">
        <v>1616</v>
      </c>
      <c r="D587" s="21" t="s">
        <v>1783</v>
      </c>
      <c r="E587" s="21" t="s">
        <v>1177</v>
      </c>
      <c r="F587" s="21" t="s">
        <v>1177</v>
      </c>
      <c r="G587" s="21" t="s">
        <v>1177</v>
      </c>
      <c r="H587" s="26"/>
    </row>
    <row r="588">
      <c r="A588" s="16" t="s">
        <v>1186</v>
      </c>
      <c r="B588" s="28" t="s">
        <v>1249</v>
      </c>
      <c r="C588" s="28" t="s">
        <v>1406</v>
      </c>
      <c r="D588" s="28" t="s">
        <v>1248</v>
      </c>
      <c r="E588" s="28" t="s">
        <v>1177</v>
      </c>
      <c r="F588" s="28" t="s">
        <v>1177</v>
      </c>
      <c r="G588" s="28" t="s">
        <v>1177</v>
      </c>
      <c r="H588" s="26"/>
    </row>
    <row r="589">
      <c r="A589" s="20" t="s">
        <v>1188</v>
      </c>
      <c r="B589" s="21" t="s">
        <v>1609</v>
      </c>
      <c r="C589" s="21" t="s">
        <v>1407</v>
      </c>
      <c r="D589" s="21" t="s">
        <v>1784</v>
      </c>
      <c r="E589" s="21" t="s">
        <v>1177</v>
      </c>
      <c r="F589" s="21" t="s">
        <v>1177</v>
      </c>
      <c r="G589" s="21" t="s">
        <v>1177</v>
      </c>
      <c r="H589" s="26"/>
    </row>
    <row r="590">
      <c r="A590" s="29"/>
      <c r="B590" s="21" t="s">
        <v>1918</v>
      </c>
      <c r="C590" s="21" t="s">
        <v>1834</v>
      </c>
      <c r="D590" s="21" t="s">
        <v>1738</v>
      </c>
      <c r="E590" s="21" t="s">
        <v>1177</v>
      </c>
      <c r="F590" s="21" t="s">
        <v>1177</v>
      </c>
      <c r="G590" s="21" t="s">
        <v>1177</v>
      </c>
      <c r="H590" s="26"/>
    </row>
    <row r="591">
      <c r="A591" s="29"/>
      <c r="B591" s="21" t="s">
        <v>1759</v>
      </c>
      <c r="C591" s="21" t="s">
        <v>1411</v>
      </c>
      <c r="D591" s="21" t="s">
        <v>1704</v>
      </c>
      <c r="E591" s="21" t="s">
        <v>1177</v>
      </c>
      <c r="F591" s="21" t="s">
        <v>1177</v>
      </c>
      <c r="G591" s="21" t="s">
        <v>1177</v>
      </c>
      <c r="H591" s="26"/>
    </row>
    <row r="592">
      <c r="A592" s="24"/>
      <c r="B592" s="21" t="s">
        <v>1879</v>
      </c>
      <c r="C592" s="21" t="s">
        <v>1761</v>
      </c>
      <c r="D592" s="21" t="s">
        <v>1733</v>
      </c>
      <c r="E592" s="21" t="s">
        <v>1177</v>
      </c>
      <c r="F592" s="21" t="s">
        <v>1177</v>
      </c>
      <c r="G592" s="21" t="s">
        <v>1177</v>
      </c>
      <c r="H592" s="30"/>
      <c r="I592" s="14"/>
    </row>
    <row r="593">
      <c r="A593" s="16" t="s">
        <v>1174</v>
      </c>
      <c r="B593" s="17" t="s">
        <v>2164</v>
      </c>
      <c r="C593" s="18"/>
      <c r="D593" s="18"/>
      <c r="E593" s="18"/>
      <c r="F593" s="18"/>
      <c r="G593" s="18"/>
      <c r="H593" s="18"/>
      <c r="I593" s="16"/>
    </row>
    <row r="594" ht="60.0" customHeight="1">
      <c r="A594" s="20" t="s">
        <v>1176</v>
      </c>
      <c r="B594" s="21" t="str">
        <f t="array" ref="B594">iferror(VLOOKUP(INDIRECT(ADDRESS(ROW()+1,COLUMN(), 4)),Dex!$A$2:$C725,3,false),"")</f>
        <v/>
      </c>
      <c r="C594" s="21" t="str">
        <f t="array" ref="C594">iferror(VLOOKUP(INDIRECT(ADDRESS(ROW()+1,COLUMN(), 4)),Dex!$A$2:$C725,3,false),"")</f>
        <v/>
      </c>
      <c r="D594" s="21" t="s">
        <v>1177</v>
      </c>
      <c r="E594" s="21" t="s">
        <v>1177</v>
      </c>
      <c r="F594" s="21" t="s">
        <v>1177</v>
      </c>
      <c r="G594" s="21" t="s">
        <v>1177</v>
      </c>
      <c r="H594" s="22" t="str">
        <f t="array" ref="H594">iferror(VLOOKUP("TRAINER_PIC_CAMPER",Sprites!$A$1:$B725,2,false),"")</f>
        <v/>
      </c>
      <c r="I594" s="23"/>
    </row>
    <row r="595">
      <c r="A595" s="24"/>
      <c r="B595" s="25" t="s">
        <v>786</v>
      </c>
      <c r="C595" s="25" t="s">
        <v>590</v>
      </c>
      <c r="D595" s="25" t="s">
        <v>1177</v>
      </c>
      <c r="E595" s="25" t="s">
        <v>1177</v>
      </c>
      <c r="F595" s="25" t="s">
        <v>1177</v>
      </c>
      <c r="G595" s="25" t="s">
        <v>1177</v>
      </c>
      <c r="H595" s="26"/>
    </row>
    <row r="596">
      <c r="A596" s="16" t="s">
        <v>1178</v>
      </c>
      <c r="B596" s="27" t="s">
        <v>2124</v>
      </c>
      <c r="C596" s="27" t="s">
        <v>2120</v>
      </c>
      <c r="D596" s="21" t="s">
        <v>1177</v>
      </c>
      <c r="E596" s="21" t="s">
        <v>1177</v>
      </c>
      <c r="F596" s="21" t="s">
        <v>1177</v>
      </c>
      <c r="G596" s="21" t="s">
        <v>1177</v>
      </c>
      <c r="H596" s="26"/>
    </row>
    <row r="597">
      <c r="A597" s="16" t="s">
        <v>1181</v>
      </c>
      <c r="B597" s="28" t="s">
        <v>1643</v>
      </c>
      <c r="C597" s="28" t="s">
        <v>1571</v>
      </c>
      <c r="D597" s="28" t="s">
        <v>1177</v>
      </c>
      <c r="E597" s="28" t="s">
        <v>1177</v>
      </c>
      <c r="F597" s="28" t="s">
        <v>1177</v>
      </c>
      <c r="G597" s="28" t="s">
        <v>1177</v>
      </c>
      <c r="H597" s="26"/>
    </row>
    <row r="598">
      <c r="A598" s="16" t="s">
        <v>1182</v>
      </c>
      <c r="B598" s="21" t="s">
        <v>1883</v>
      </c>
      <c r="C598" s="21" t="s">
        <v>1797</v>
      </c>
      <c r="D598" s="21" t="s">
        <v>1177</v>
      </c>
      <c r="E598" s="21" t="s">
        <v>1177</v>
      </c>
      <c r="F598" s="21" t="s">
        <v>1177</v>
      </c>
      <c r="G598" s="21" t="s">
        <v>1177</v>
      </c>
      <c r="H598" s="26"/>
    </row>
    <row r="599">
      <c r="A599" s="16" t="s">
        <v>1186</v>
      </c>
      <c r="B599" s="28" t="s">
        <v>1248</v>
      </c>
      <c r="C599" s="28" t="s">
        <v>1284</v>
      </c>
      <c r="D599" s="28" t="s">
        <v>1177</v>
      </c>
      <c r="E599" s="28" t="s">
        <v>1177</v>
      </c>
      <c r="F599" s="28" t="s">
        <v>1177</v>
      </c>
      <c r="G599" s="28" t="s">
        <v>1177</v>
      </c>
      <c r="H599" s="26"/>
    </row>
    <row r="600">
      <c r="A600" s="20" t="s">
        <v>1188</v>
      </c>
      <c r="B600" s="21" t="s">
        <v>1991</v>
      </c>
      <c r="C600" s="21" t="s">
        <v>1335</v>
      </c>
      <c r="D600" s="21" t="s">
        <v>1177</v>
      </c>
      <c r="E600" s="21" t="s">
        <v>1177</v>
      </c>
      <c r="F600" s="21" t="s">
        <v>1177</v>
      </c>
      <c r="G600" s="21" t="s">
        <v>1177</v>
      </c>
      <c r="H600" s="26"/>
    </row>
    <row r="601">
      <c r="A601" s="29"/>
      <c r="B601" s="21" t="s">
        <v>1777</v>
      </c>
      <c r="C601" s="21" t="s">
        <v>1605</v>
      </c>
      <c r="D601" s="21" t="s">
        <v>1177</v>
      </c>
      <c r="E601" s="21" t="s">
        <v>1177</v>
      </c>
      <c r="F601" s="21" t="s">
        <v>1177</v>
      </c>
      <c r="G601" s="21" t="s">
        <v>1177</v>
      </c>
      <c r="H601" s="26"/>
    </row>
    <row r="602">
      <c r="A602" s="29"/>
      <c r="B602" s="21" t="s">
        <v>1469</v>
      </c>
      <c r="C602" s="21" t="s">
        <v>1739</v>
      </c>
      <c r="D602" s="21" t="s">
        <v>1177</v>
      </c>
      <c r="E602" s="21" t="s">
        <v>1177</v>
      </c>
      <c r="F602" s="21" t="s">
        <v>1177</v>
      </c>
      <c r="G602" s="21" t="s">
        <v>1177</v>
      </c>
      <c r="H602" s="26"/>
    </row>
    <row r="603">
      <c r="A603" s="24"/>
      <c r="B603" s="21" t="s">
        <v>1757</v>
      </c>
      <c r="C603" s="21" t="s">
        <v>1959</v>
      </c>
      <c r="D603" s="21" t="s">
        <v>1177</v>
      </c>
      <c r="E603" s="21" t="s">
        <v>1177</v>
      </c>
      <c r="F603" s="21" t="s">
        <v>1177</v>
      </c>
      <c r="G603" s="21" t="s">
        <v>1177</v>
      </c>
      <c r="H603" s="30"/>
      <c r="I603" s="14"/>
    </row>
    <row r="604">
      <c r="A604" s="16" t="s">
        <v>1174</v>
      </c>
      <c r="B604" s="17" t="s">
        <v>2165</v>
      </c>
      <c r="C604" s="18"/>
      <c r="D604" s="18"/>
      <c r="E604" s="18"/>
      <c r="F604" s="18"/>
      <c r="G604" s="18"/>
      <c r="H604" s="18"/>
      <c r="I604" s="16"/>
    </row>
    <row r="605" ht="60.0" customHeight="1">
      <c r="A605" s="20" t="s">
        <v>1176</v>
      </c>
      <c r="B605" s="21" t="str">
        <f t="array" ref="B605">iferror(VLOOKUP(INDIRECT(ADDRESS(ROW()+1,COLUMN(), 4)),Dex!$A$2:$C725,3,false),"")</f>
        <v/>
      </c>
      <c r="C605" s="21" t="str">
        <f t="array" ref="C605">iferror(VLOOKUP(INDIRECT(ADDRESS(ROW()+1,COLUMN(), 4)),Dex!$A$2:$C725,3,false),"")</f>
        <v/>
      </c>
      <c r="D605" s="21" t="str">
        <f t="array" ref="D605">iferror(VLOOKUP(INDIRECT(ADDRESS(ROW()+1,COLUMN(), 4)),Dex!$A$2:$C725,3,false),"")</f>
        <v/>
      </c>
      <c r="E605" s="21" t="str">
        <f t="array" ref="E605">iferror(VLOOKUP(INDIRECT(ADDRESS(ROW()+1,COLUMN(), 4)),Dex!$A$2:$C725,3,false),"")</f>
        <v/>
      </c>
      <c r="F605" s="21" t="s">
        <v>1177</v>
      </c>
      <c r="G605" s="21" t="s">
        <v>1177</v>
      </c>
      <c r="H605" s="22" t="str">
        <f t="array" ref="H605">iferror(VLOOKUP("TRAINER_PIC_PICNICKER",Sprites!$A$1:$B725,2,false),"")</f>
        <v/>
      </c>
      <c r="I605" s="23"/>
    </row>
    <row r="606">
      <c r="A606" s="24"/>
      <c r="B606" s="25" t="s">
        <v>1040</v>
      </c>
      <c r="C606" s="25" t="s">
        <v>64</v>
      </c>
      <c r="D606" s="25" t="s">
        <v>90</v>
      </c>
      <c r="E606" s="25" t="s">
        <v>1061</v>
      </c>
      <c r="F606" s="25" t="s">
        <v>1177</v>
      </c>
      <c r="G606" s="25" t="s">
        <v>1177</v>
      </c>
      <c r="H606" s="26"/>
    </row>
    <row r="607">
      <c r="A607" s="16" t="s">
        <v>1178</v>
      </c>
      <c r="B607" s="27" t="s">
        <v>2144</v>
      </c>
      <c r="C607" s="27" t="s">
        <v>2124</v>
      </c>
      <c r="D607" s="27" t="s">
        <v>2144</v>
      </c>
      <c r="E607" s="27" t="s">
        <v>2144</v>
      </c>
      <c r="F607" s="21" t="s">
        <v>1177</v>
      </c>
      <c r="G607" s="21" t="s">
        <v>1177</v>
      </c>
      <c r="H607" s="26"/>
    </row>
    <row r="608">
      <c r="A608" s="16" t="s">
        <v>1181</v>
      </c>
      <c r="B608" s="28" t="s">
        <v>1838</v>
      </c>
      <c r="C608" s="28" t="s">
        <v>1882</v>
      </c>
      <c r="D608" s="28" t="s">
        <v>1295</v>
      </c>
      <c r="E608" s="28" t="s">
        <v>2166</v>
      </c>
      <c r="F608" s="28" t="s">
        <v>1177</v>
      </c>
      <c r="G608" s="28" t="s">
        <v>1177</v>
      </c>
      <c r="H608" s="26"/>
    </row>
    <row r="609">
      <c r="A609" s="16" t="s">
        <v>1182</v>
      </c>
      <c r="B609" s="21" t="s">
        <v>1979</v>
      </c>
      <c r="C609" s="21" t="s">
        <v>1895</v>
      </c>
      <c r="D609" s="21" t="s">
        <v>1298</v>
      </c>
      <c r="E609" s="21" t="s">
        <v>1222</v>
      </c>
      <c r="F609" s="21" t="s">
        <v>1177</v>
      </c>
      <c r="G609" s="21" t="s">
        <v>1177</v>
      </c>
      <c r="H609" s="26"/>
    </row>
    <row r="610">
      <c r="A610" s="16" t="s">
        <v>1186</v>
      </c>
      <c r="B610" s="28" t="s">
        <v>1235</v>
      </c>
      <c r="C610" s="28" t="s">
        <v>1334</v>
      </c>
      <c r="D610" s="28" t="s">
        <v>1235</v>
      </c>
      <c r="E610" s="28" t="s">
        <v>1256</v>
      </c>
      <c r="F610" s="28" t="s">
        <v>1177</v>
      </c>
      <c r="G610" s="28" t="s">
        <v>1177</v>
      </c>
      <c r="H610" s="26"/>
    </row>
    <row r="611">
      <c r="A611" s="20" t="s">
        <v>1188</v>
      </c>
      <c r="B611" s="21" t="s">
        <v>1646</v>
      </c>
      <c r="C611" s="21" t="s">
        <v>2167</v>
      </c>
      <c r="D611" s="21" t="s">
        <v>1737</v>
      </c>
      <c r="E611" s="21" t="s">
        <v>1890</v>
      </c>
      <c r="F611" s="21" t="s">
        <v>1177</v>
      </c>
      <c r="G611" s="21" t="s">
        <v>1177</v>
      </c>
      <c r="H611" s="26"/>
    </row>
    <row r="612">
      <c r="A612" s="29"/>
      <c r="B612" s="21" t="s">
        <v>1965</v>
      </c>
      <c r="C612" s="21" t="s">
        <v>1815</v>
      </c>
      <c r="D612" s="21" t="s">
        <v>1704</v>
      </c>
      <c r="E612" s="21" t="s">
        <v>2115</v>
      </c>
      <c r="F612" s="21" t="s">
        <v>1177</v>
      </c>
      <c r="G612" s="21" t="s">
        <v>1177</v>
      </c>
      <c r="H612" s="26"/>
    </row>
    <row r="613">
      <c r="A613" s="29"/>
      <c r="B613" s="21" t="s">
        <v>1779</v>
      </c>
      <c r="C613" s="21" t="s">
        <v>1652</v>
      </c>
      <c r="D613" s="21" t="s">
        <v>1874</v>
      </c>
      <c r="E613" s="21" t="s">
        <v>1652</v>
      </c>
      <c r="F613" s="21" t="s">
        <v>1177</v>
      </c>
      <c r="G613" s="21" t="s">
        <v>1177</v>
      </c>
      <c r="H613" s="26"/>
    </row>
    <row r="614">
      <c r="A614" s="24"/>
      <c r="B614" s="21" t="s">
        <v>1307</v>
      </c>
      <c r="C614" s="21" t="s">
        <v>1780</v>
      </c>
      <c r="D614" s="21" t="s">
        <v>1353</v>
      </c>
      <c r="E614" s="21" t="s">
        <v>1771</v>
      </c>
      <c r="F614" s="21" t="s">
        <v>1177</v>
      </c>
      <c r="G614" s="21" t="s">
        <v>1177</v>
      </c>
      <c r="H614" s="30"/>
      <c r="I614" s="14"/>
    </row>
    <row r="615">
      <c r="A615" s="16" t="s">
        <v>1174</v>
      </c>
      <c r="B615" s="17" t="s">
        <v>2168</v>
      </c>
      <c r="C615" s="18"/>
      <c r="D615" s="18"/>
      <c r="E615" s="18"/>
      <c r="F615" s="18"/>
      <c r="G615" s="18"/>
      <c r="H615" s="18"/>
      <c r="I615" s="16"/>
    </row>
    <row r="616" ht="60.0" customHeight="1">
      <c r="A616" s="20" t="s">
        <v>1176</v>
      </c>
      <c r="B616" s="21" t="str">
        <f t="array" ref="B616">iferror(VLOOKUP(INDIRECT(ADDRESS(ROW()+1,COLUMN(), 4)),Dex!$A$2:$C725,3,false),"")</f>
        <v/>
      </c>
      <c r="C616" s="21" t="str">
        <f t="array" ref="C616">iferror(VLOOKUP(INDIRECT(ADDRESS(ROW()+1,COLUMN(), 4)),Dex!$A$2:$C725,3,false),"")</f>
        <v/>
      </c>
      <c r="D616" s="21" t="str">
        <f t="array" ref="D616">iferror(VLOOKUP(INDIRECT(ADDRESS(ROW()+1,COLUMN(), 4)),Dex!$A$2:$C725,3,false),"")</f>
        <v/>
      </c>
      <c r="E616" s="21" t="str">
        <f t="array" ref="E616">iferror(VLOOKUP(INDIRECT(ADDRESS(ROW()+1,COLUMN(), 4)),Dex!$A$2:$C725,3,false),"")</f>
        <v/>
      </c>
      <c r="F616" s="21" t="str">
        <f t="array" ref="F616">iferror(VLOOKUP(INDIRECT(ADDRESS(ROW()+1,COLUMN(), 4)),Dex!$A$2:$C725,3,false),"")</f>
        <v/>
      </c>
      <c r="G616" s="21" t="s">
        <v>1177</v>
      </c>
      <c r="H616" s="22" t="str">
        <f t="array" ref="H616">iferror(VLOOKUP("TRAINER_PIC_MAGMA_GRUNT_M",Sprites!$A$1:$B725,2,false),"")</f>
        <v/>
      </c>
      <c r="I616" s="23"/>
    </row>
    <row r="617">
      <c r="A617" s="24"/>
      <c r="B617" s="25" t="s">
        <v>353</v>
      </c>
      <c r="C617" s="25" t="s">
        <v>245</v>
      </c>
      <c r="D617" s="25" t="s">
        <v>423</v>
      </c>
      <c r="E617" s="25" t="s">
        <v>446</v>
      </c>
      <c r="F617" s="25" t="s">
        <v>368</v>
      </c>
      <c r="G617" s="25" t="s">
        <v>1177</v>
      </c>
      <c r="H617" s="26"/>
    </row>
    <row r="618">
      <c r="A618" s="16" t="s">
        <v>1178</v>
      </c>
      <c r="B618" s="27" t="s">
        <v>2107</v>
      </c>
      <c r="C618" s="27" t="s">
        <v>2107</v>
      </c>
      <c r="D618" s="27" t="s">
        <v>2107</v>
      </c>
      <c r="E618" s="27" t="s">
        <v>2107</v>
      </c>
      <c r="F618" s="27" t="s">
        <v>2107</v>
      </c>
      <c r="G618" s="21" t="s">
        <v>1177</v>
      </c>
      <c r="H618" s="26"/>
    </row>
    <row r="619">
      <c r="A619" s="16" t="s">
        <v>1181</v>
      </c>
      <c r="B619" s="28" t="s">
        <v>1177</v>
      </c>
      <c r="C619" s="28" t="s">
        <v>1177</v>
      </c>
      <c r="D619" s="28" t="s">
        <v>1177</v>
      </c>
      <c r="E619" s="28" t="s">
        <v>1177</v>
      </c>
      <c r="F619" s="28" t="s">
        <v>1177</v>
      </c>
      <c r="G619" s="28" t="s">
        <v>1177</v>
      </c>
      <c r="H619" s="26"/>
    </row>
    <row r="620">
      <c r="A620" s="16" t="s">
        <v>1182</v>
      </c>
      <c r="B620" s="21" t="s">
        <v>1298</v>
      </c>
      <c r="C620" s="21" t="s">
        <v>1356</v>
      </c>
      <c r="D620" s="21" t="s">
        <v>2169</v>
      </c>
      <c r="E620" s="21" t="s">
        <v>1368</v>
      </c>
      <c r="F620" s="21" t="s">
        <v>1369</v>
      </c>
      <c r="G620" s="21" t="s">
        <v>1177</v>
      </c>
      <c r="H620" s="26"/>
    </row>
    <row r="621">
      <c r="A621" s="16" t="s">
        <v>1186</v>
      </c>
      <c r="B621" s="28" t="s">
        <v>1187</v>
      </c>
      <c r="C621" s="28" t="s">
        <v>1187</v>
      </c>
      <c r="D621" s="28" t="s">
        <v>1187</v>
      </c>
      <c r="E621" s="28" t="s">
        <v>1187</v>
      </c>
      <c r="F621" s="28" t="s">
        <v>1187</v>
      </c>
      <c r="G621" s="28" t="s">
        <v>1177</v>
      </c>
      <c r="H621" s="26"/>
    </row>
    <row r="622">
      <c r="A622" s="20" t="s">
        <v>1188</v>
      </c>
      <c r="B622" s="21" t="s">
        <v>1177</v>
      </c>
      <c r="C622" s="21" t="s">
        <v>1177</v>
      </c>
      <c r="D622" s="21" t="s">
        <v>1177</v>
      </c>
      <c r="E622" s="21" t="s">
        <v>1177</v>
      </c>
      <c r="F622" s="21" t="s">
        <v>1177</v>
      </c>
      <c r="G622" s="21" t="s">
        <v>1177</v>
      </c>
      <c r="H622" s="26"/>
    </row>
    <row r="623">
      <c r="A623" s="29"/>
      <c r="B623" s="21" t="s">
        <v>1177</v>
      </c>
      <c r="C623" s="21" t="s">
        <v>1177</v>
      </c>
      <c r="D623" s="21" t="s">
        <v>1177</v>
      </c>
      <c r="E623" s="21" t="s">
        <v>1177</v>
      </c>
      <c r="F623" s="21" t="s">
        <v>1177</v>
      </c>
      <c r="G623" s="21" t="s">
        <v>1177</v>
      </c>
      <c r="H623" s="26"/>
    </row>
    <row r="624">
      <c r="A624" s="29"/>
      <c r="B624" s="21" t="s">
        <v>1177</v>
      </c>
      <c r="C624" s="21" t="s">
        <v>1177</v>
      </c>
      <c r="D624" s="21" t="s">
        <v>1177</v>
      </c>
      <c r="E624" s="21" t="s">
        <v>1177</v>
      </c>
      <c r="F624" s="21" t="s">
        <v>1177</v>
      </c>
      <c r="G624" s="21" t="s">
        <v>1177</v>
      </c>
      <c r="H624" s="26"/>
    </row>
    <row r="625">
      <c r="A625" s="24"/>
      <c r="B625" s="21" t="s">
        <v>1177</v>
      </c>
      <c r="C625" s="21" t="s">
        <v>1177</v>
      </c>
      <c r="D625" s="21" t="s">
        <v>1177</v>
      </c>
      <c r="E625" s="21" t="s">
        <v>1177</v>
      </c>
      <c r="F625" s="21" t="s">
        <v>1177</v>
      </c>
      <c r="G625" s="21" t="s">
        <v>1177</v>
      </c>
      <c r="H625" s="30"/>
      <c r="I625" s="14"/>
    </row>
    <row r="626">
      <c r="A626" s="37"/>
      <c r="B626" s="38" t="s">
        <v>2170</v>
      </c>
      <c r="C626" s="14"/>
      <c r="D626" s="14"/>
      <c r="E626" s="14"/>
      <c r="F626" s="14"/>
      <c r="G626" s="14"/>
      <c r="H626" s="24"/>
      <c r="I626" s="33"/>
    </row>
    <row r="627">
      <c r="A627" s="16" t="s">
        <v>1174</v>
      </c>
      <c r="B627" s="17" t="s">
        <v>2171</v>
      </c>
      <c r="C627" s="18"/>
      <c r="D627" s="18"/>
      <c r="E627" s="18"/>
      <c r="F627" s="18"/>
      <c r="G627" s="18"/>
      <c r="H627" s="18"/>
      <c r="I627" s="16"/>
    </row>
    <row r="628" ht="60.0" customHeight="1">
      <c r="A628" s="20" t="s">
        <v>1176</v>
      </c>
      <c r="B628" s="21" t="str">
        <f t="array" ref="B628">iferror(VLOOKUP(INDIRECT(ADDRESS(ROW()+1,COLUMN(), 4)),Dex!$A$2:$C725,3,false),"")</f>
        <v/>
      </c>
      <c r="C628" s="21" t="str">
        <f t="array" ref="C628">iferror(VLOOKUP(INDIRECT(ADDRESS(ROW()+1,COLUMN(), 4)),Dex!$A$2:$C725,3,false),"")</f>
        <v/>
      </c>
      <c r="D628" s="21" t="str">
        <f t="array" ref="D628">iferror(VLOOKUP(INDIRECT(ADDRESS(ROW()+1,COLUMN(), 4)),Dex!$A$2:$C725,3,false),"")</f>
        <v/>
      </c>
      <c r="E628" s="21" t="str">
        <f t="array" ref="E628">iferror(VLOOKUP(INDIRECT(ADDRESS(ROW()+1,COLUMN(), 4)),Dex!$A$2:$C725,3,false),"")</f>
        <v/>
      </c>
      <c r="F628" s="21" t="s">
        <v>1177</v>
      </c>
      <c r="G628" s="21" t="s">
        <v>1177</v>
      </c>
      <c r="H628" s="22" t="str">
        <f t="array" ref="H628">iferror(VLOOKUP("TRAINER_PIC_KINDLER",Sprites!$A$1:$B725,2,false),"")</f>
        <v/>
      </c>
      <c r="I628" s="23"/>
    </row>
    <row r="629">
      <c r="A629" s="24"/>
      <c r="B629" s="25" t="s">
        <v>1044</v>
      </c>
      <c r="C629" s="25" t="s">
        <v>834</v>
      </c>
      <c r="D629" s="25" t="s">
        <v>605</v>
      </c>
      <c r="E629" s="25" t="s">
        <v>768</v>
      </c>
      <c r="F629" s="25" t="s">
        <v>1177</v>
      </c>
      <c r="G629" s="25" t="s">
        <v>1177</v>
      </c>
      <c r="H629" s="26"/>
    </row>
    <row r="630">
      <c r="A630" s="16" t="s">
        <v>1178</v>
      </c>
      <c r="B630" s="27" t="s">
        <v>2086</v>
      </c>
      <c r="C630" s="27" t="s">
        <v>2086</v>
      </c>
      <c r="D630" s="27" t="s">
        <v>2086</v>
      </c>
      <c r="E630" s="27" t="s">
        <v>2144</v>
      </c>
      <c r="F630" s="21" t="s">
        <v>1177</v>
      </c>
      <c r="G630" s="21" t="s">
        <v>1177</v>
      </c>
      <c r="H630" s="26"/>
    </row>
    <row r="631">
      <c r="A631" s="16" t="s">
        <v>1181</v>
      </c>
      <c r="B631" s="28" t="s">
        <v>1435</v>
      </c>
      <c r="C631" s="28" t="s">
        <v>1282</v>
      </c>
      <c r="D631" s="28" t="s">
        <v>1295</v>
      </c>
      <c r="E631" s="28" t="s">
        <v>1688</v>
      </c>
      <c r="F631" s="28" t="s">
        <v>1177</v>
      </c>
      <c r="G631" s="28" t="s">
        <v>1177</v>
      </c>
      <c r="H631" s="26"/>
    </row>
    <row r="632">
      <c r="A632" s="16" t="s">
        <v>1182</v>
      </c>
      <c r="B632" s="21" t="s">
        <v>2172</v>
      </c>
      <c r="C632" s="21" t="s">
        <v>1318</v>
      </c>
      <c r="D632" s="21" t="s">
        <v>1368</v>
      </c>
      <c r="E632" s="21" t="s">
        <v>1730</v>
      </c>
      <c r="F632" s="21" t="s">
        <v>1177</v>
      </c>
      <c r="G632" s="21" t="s">
        <v>1177</v>
      </c>
      <c r="H632" s="26"/>
    </row>
    <row r="633">
      <c r="A633" s="16" t="s">
        <v>1186</v>
      </c>
      <c r="B633" s="28" t="s">
        <v>1235</v>
      </c>
      <c r="C633" s="28" t="s">
        <v>1235</v>
      </c>
      <c r="D633" s="28" t="s">
        <v>1257</v>
      </c>
      <c r="E633" s="28" t="s">
        <v>1284</v>
      </c>
      <c r="F633" s="28" t="s">
        <v>1177</v>
      </c>
      <c r="G633" s="28" t="s">
        <v>1177</v>
      </c>
      <c r="H633" s="26"/>
    </row>
    <row r="634">
      <c r="A634" s="20" t="s">
        <v>1188</v>
      </c>
      <c r="B634" s="21" t="s">
        <v>2173</v>
      </c>
      <c r="C634" s="21" t="s">
        <v>1737</v>
      </c>
      <c r="D634" s="21" t="s">
        <v>1918</v>
      </c>
      <c r="E634" s="21" t="s">
        <v>2104</v>
      </c>
      <c r="F634" s="21" t="s">
        <v>1177</v>
      </c>
      <c r="G634" s="21" t="s">
        <v>1177</v>
      </c>
      <c r="H634" s="26"/>
    </row>
    <row r="635">
      <c r="A635" s="29"/>
      <c r="B635" s="21" t="s">
        <v>1998</v>
      </c>
      <c r="C635" s="21" t="s">
        <v>1238</v>
      </c>
      <c r="D635" s="21" t="s">
        <v>1724</v>
      </c>
      <c r="E635" s="21" t="s">
        <v>1742</v>
      </c>
      <c r="F635" s="21" t="s">
        <v>1177</v>
      </c>
      <c r="G635" s="21" t="s">
        <v>1177</v>
      </c>
      <c r="H635" s="26"/>
    </row>
    <row r="636">
      <c r="A636" s="29"/>
      <c r="B636" s="21" t="s">
        <v>1814</v>
      </c>
      <c r="C636" s="21" t="s">
        <v>1590</v>
      </c>
      <c r="D636" s="21" t="s">
        <v>1590</v>
      </c>
      <c r="E636" s="21" t="s">
        <v>1395</v>
      </c>
      <c r="F636" s="21" t="s">
        <v>1177</v>
      </c>
      <c r="G636" s="21" t="s">
        <v>1177</v>
      </c>
      <c r="H636" s="26"/>
    </row>
    <row r="637">
      <c r="A637" s="24"/>
      <c r="B637" s="21" t="s">
        <v>1469</v>
      </c>
      <c r="C637" s="21" t="s">
        <v>1377</v>
      </c>
      <c r="D637" s="21" t="s">
        <v>1771</v>
      </c>
      <c r="E637" s="21" t="s">
        <v>1731</v>
      </c>
      <c r="F637" s="21" t="s">
        <v>1177</v>
      </c>
      <c r="G637" s="21" t="s">
        <v>1177</v>
      </c>
      <c r="H637" s="30"/>
      <c r="I637" s="14"/>
    </row>
    <row r="638">
      <c r="A638" s="16" t="s">
        <v>1174</v>
      </c>
      <c r="B638" s="17" t="s">
        <v>2174</v>
      </c>
      <c r="C638" s="18"/>
      <c r="D638" s="18"/>
      <c r="E638" s="18"/>
      <c r="F638" s="18"/>
      <c r="G638" s="18"/>
      <c r="H638" s="18"/>
      <c r="I638" s="16"/>
    </row>
    <row r="639" ht="60.0" customHeight="1">
      <c r="A639" s="20" t="s">
        <v>1176</v>
      </c>
      <c r="B639" s="21" t="str">
        <f t="array" ref="B639">iferror(VLOOKUP(INDIRECT(ADDRESS(ROW()+1,COLUMN(), 4)),Dex!$A$2:$C725,3,false),"")</f>
        <v/>
      </c>
      <c r="C639" s="21" t="str">
        <f t="array" ref="C639">iferror(VLOOKUP(INDIRECT(ADDRESS(ROW()+1,COLUMN(), 4)),Dex!$A$2:$C725,3,false),"")</f>
        <v/>
      </c>
      <c r="D639" s="21" t="str">
        <f t="array" ref="D639">iferror(VLOOKUP(INDIRECT(ADDRESS(ROW()+1,COLUMN(), 4)),Dex!$A$2:$C725,3,false),"")</f>
        <v/>
      </c>
      <c r="E639" s="21" t="str">
        <f t="array" ref="E639">iferror(VLOOKUP(INDIRECT(ADDRESS(ROW()+1,COLUMN(), 4)),Dex!$A$2:$C725,3,false),"")</f>
        <v/>
      </c>
      <c r="F639" s="21" t="str">
        <f t="array" ref="F639">iferror(VLOOKUP(INDIRECT(ADDRESS(ROW()+1,COLUMN(), 4)),Dex!$A$2:$C725,3,false),"")</f>
        <v/>
      </c>
      <c r="G639" s="21" t="s">
        <v>1177</v>
      </c>
      <c r="H639" s="22" t="str">
        <f t="array" ref="H639">iferror(VLOOKUP("TRAINER_PIC_KINDLER",Sprites!$A$1:$B725,2,false),"")</f>
        <v/>
      </c>
      <c r="I639" s="23"/>
    </row>
    <row r="640">
      <c r="A640" s="24"/>
      <c r="B640" s="25" t="s">
        <v>425</v>
      </c>
      <c r="C640" s="25" t="s">
        <v>309</v>
      </c>
      <c r="D640" s="25" t="s">
        <v>165</v>
      </c>
      <c r="E640" s="25" t="s">
        <v>589</v>
      </c>
      <c r="F640" s="25" t="s">
        <v>991</v>
      </c>
      <c r="G640" s="25" t="s">
        <v>1177</v>
      </c>
      <c r="H640" s="26"/>
    </row>
    <row r="641">
      <c r="A641" s="16" t="s">
        <v>1178</v>
      </c>
      <c r="B641" s="27" t="s">
        <v>2144</v>
      </c>
      <c r="C641" s="27" t="s">
        <v>2144</v>
      </c>
      <c r="D641" s="27" t="s">
        <v>2086</v>
      </c>
      <c r="E641" s="27" t="s">
        <v>2086</v>
      </c>
      <c r="F641" s="27" t="s">
        <v>2144</v>
      </c>
      <c r="G641" s="21" t="s">
        <v>1177</v>
      </c>
      <c r="H641" s="26"/>
    </row>
    <row r="642">
      <c r="A642" s="16" t="s">
        <v>1181</v>
      </c>
      <c r="B642" s="28" t="s">
        <v>1457</v>
      </c>
      <c r="C642" s="28" t="s">
        <v>1571</v>
      </c>
      <c r="D642" s="28" t="s">
        <v>1209</v>
      </c>
      <c r="E642" s="28" t="s">
        <v>1366</v>
      </c>
      <c r="F642" s="28" t="s">
        <v>1209</v>
      </c>
      <c r="G642" s="28" t="s">
        <v>1177</v>
      </c>
      <c r="H642" s="26"/>
    </row>
    <row r="643">
      <c r="A643" s="16" t="s">
        <v>1182</v>
      </c>
      <c r="B643" s="21" t="s">
        <v>2065</v>
      </c>
      <c r="C643" s="21" t="s">
        <v>1573</v>
      </c>
      <c r="D643" s="21" t="s">
        <v>1368</v>
      </c>
      <c r="E643" s="21" t="s">
        <v>1184</v>
      </c>
      <c r="F643" s="21" t="s">
        <v>1231</v>
      </c>
      <c r="G643" s="21" t="s">
        <v>1177</v>
      </c>
      <c r="H643" s="26"/>
    </row>
    <row r="644">
      <c r="A644" s="16" t="s">
        <v>1186</v>
      </c>
      <c r="B644" s="28" t="s">
        <v>1447</v>
      </c>
      <c r="C644" s="28" t="s">
        <v>1447</v>
      </c>
      <c r="D644" s="28" t="s">
        <v>1754</v>
      </c>
      <c r="E644" s="28" t="s">
        <v>1249</v>
      </c>
      <c r="F644" s="28" t="s">
        <v>1249</v>
      </c>
      <c r="G644" s="28" t="s">
        <v>1177</v>
      </c>
      <c r="H644" s="26"/>
    </row>
    <row r="645">
      <c r="A645" s="20" t="s">
        <v>1188</v>
      </c>
      <c r="B645" s="21" t="s">
        <v>1740</v>
      </c>
      <c r="C645" s="21" t="s">
        <v>2104</v>
      </c>
      <c r="D645" s="21" t="s">
        <v>1372</v>
      </c>
      <c r="E645" s="21" t="s">
        <v>1740</v>
      </c>
      <c r="F645" s="21" t="s">
        <v>1918</v>
      </c>
      <c r="G645" s="21" t="s">
        <v>1177</v>
      </c>
      <c r="H645" s="26"/>
    </row>
    <row r="646">
      <c r="A646" s="29"/>
      <c r="B646" s="21" t="s">
        <v>1914</v>
      </c>
      <c r="C646" s="21" t="s">
        <v>1814</v>
      </c>
      <c r="D646" s="21" t="s">
        <v>1830</v>
      </c>
      <c r="E646" s="21" t="s">
        <v>1914</v>
      </c>
      <c r="F646" s="21" t="s">
        <v>1712</v>
      </c>
      <c r="G646" s="21" t="s">
        <v>1177</v>
      </c>
      <c r="H646" s="26"/>
    </row>
    <row r="647">
      <c r="A647" s="29"/>
      <c r="B647" s="21" t="s">
        <v>1697</v>
      </c>
      <c r="C647" s="21" t="s">
        <v>1731</v>
      </c>
      <c r="D647" s="21" t="s">
        <v>1385</v>
      </c>
      <c r="E647" s="21" t="s">
        <v>1270</v>
      </c>
      <c r="F647" s="21" t="s">
        <v>1755</v>
      </c>
      <c r="G647" s="21" t="s">
        <v>1177</v>
      </c>
      <c r="H647" s="26"/>
    </row>
    <row r="648">
      <c r="A648" s="24"/>
      <c r="B648" s="21" t="s">
        <v>1705</v>
      </c>
      <c r="C648" s="21" t="s">
        <v>1262</v>
      </c>
      <c r="D648" s="21" t="s">
        <v>1918</v>
      </c>
      <c r="E648" s="21" t="s">
        <v>1677</v>
      </c>
      <c r="F648" s="21" t="s">
        <v>2019</v>
      </c>
      <c r="G648" s="21" t="s">
        <v>1177</v>
      </c>
      <c r="H648" s="30"/>
      <c r="I648" s="14"/>
    </row>
    <row r="649">
      <c r="A649" s="16" t="s">
        <v>1174</v>
      </c>
      <c r="B649" s="17" t="s">
        <v>2175</v>
      </c>
      <c r="C649" s="18"/>
      <c r="D649" s="18"/>
      <c r="E649" s="18"/>
      <c r="F649" s="18"/>
      <c r="G649" s="18"/>
      <c r="H649" s="18"/>
      <c r="I649" s="19"/>
    </row>
    <row r="650" ht="60.0" customHeight="1">
      <c r="A650" s="20" t="s">
        <v>1176</v>
      </c>
      <c r="B650" s="21" t="str">
        <f t="array" ref="B650">iferror(VLOOKUP(INDIRECT(ADDRESS(ROW()+1,COLUMN(), 4)),Dex!$A$2:$C725,3,false),"")</f>
        <v/>
      </c>
      <c r="C650" s="21" t="str">
        <f t="array" ref="C650">iferror(VLOOKUP(INDIRECT(ADDRESS(ROW()+1,COLUMN(), 4)),Dex!$A$2:$C725,3,false),"")</f>
        <v/>
      </c>
      <c r="D650" s="21" t="str">
        <f t="array" ref="D650">iferror(VLOOKUP(INDIRECT(ADDRESS(ROW()+1,COLUMN(), 4)),Dex!$A$2:$C725,3,false),"")</f>
        <v/>
      </c>
      <c r="E650" s="21" t="s">
        <v>1177</v>
      </c>
      <c r="F650" s="21" t="s">
        <v>1177</v>
      </c>
      <c r="G650" s="21" t="s">
        <v>1177</v>
      </c>
      <c r="H650" s="22" t="str">
        <f t="array" ref="H650">iferror(VLOOKUP("TRAINER_PIC_COOLTRAINER_M",Sprites!$A$1:$B725,2,false),"")</f>
        <v/>
      </c>
      <c r="I650" s="23"/>
    </row>
    <row r="651">
      <c r="A651" s="24"/>
      <c r="B651" s="25" t="s">
        <v>61</v>
      </c>
      <c r="C651" s="25" t="s">
        <v>440</v>
      </c>
      <c r="D651" s="25" t="s">
        <v>920</v>
      </c>
      <c r="E651" s="25" t="s">
        <v>1177</v>
      </c>
      <c r="F651" s="25" t="s">
        <v>1177</v>
      </c>
      <c r="G651" s="25" t="s">
        <v>1177</v>
      </c>
      <c r="H651" s="26"/>
    </row>
    <row r="652">
      <c r="A652" s="16" t="s">
        <v>1178</v>
      </c>
      <c r="B652" s="27" t="s">
        <v>2086</v>
      </c>
      <c r="C652" s="27" t="s">
        <v>2086</v>
      </c>
      <c r="D652" s="27" t="s">
        <v>2144</v>
      </c>
      <c r="E652" s="21" t="s">
        <v>1177</v>
      </c>
      <c r="F652" s="21" t="s">
        <v>1177</v>
      </c>
      <c r="G652" s="21" t="s">
        <v>1177</v>
      </c>
      <c r="H652" s="26"/>
    </row>
    <row r="653">
      <c r="A653" s="16" t="s">
        <v>1181</v>
      </c>
      <c r="B653" s="28" t="s">
        <v>1247</v>
      </c>
      <c r="C653" s="28" t="s">
        <v>2102</v>
      </c>
      <c r="D653" s="28" t="s">
        <v>2102</v>
      </c>
      <c r="E653" s="28" t="s">
        <v>1177</v>
      </c>
      <c r="F653" s="28" t="s">
        <v>1177</v>
      </c>
      <c r="G653" s="28" t="s">
        <v>1177</v>
      </c>
      <c r="H653" s="26"/>
    </row>
    <row r="654">
      <c r="A654" s="16" t="s">
        <v>1182</v>
      </c>
      <c r="B654" s="21" t="s">
        <v>2065</v>
      </c>
      <c r="C654" s="21" t="s">
        <v>1368</v>
      </c>
      <c r="D654" s="21" t="s">
        <v>1774</v>
      </c>
      <c r="E654" s="21" t="s">
        <v>1177</v>
      </c>
      <c r="F654" s="21" t="s">
        <v>1177</v>
      </c>
      <c r="G654" s="21" t="s">
        <v>1177</v>
      </c>
      <c r="H654" s="26"/>
    </row>
    <row r="655">
      <c r="A655" s="16" t="s">
        <v>1186</v>
      </c>
      <c r="B655" s="28" t="s">
        <v>1284</v>
      </c>
      <c r="C655" s="28" t="s">
        <v>1300</v>
      </c>
      <c r="D655" s="28" t="s">
        <v>1269</v>
      </c>
      <c r="E655" s="28" t="s">
        <v>1177</v>
      </c>
      <c r="F655" s="28" t="s">
        <v>1177</v>
      </c>
      <c r="G655" s="28" t="s">
        <v>1177</v>
      </c>
      <c r="H655" s="26"/>
    </row>
    <row r="656">
      <c r="A656" s="20" t="s">
        <v>1188</v>
      </c>
      <c r="B656" s="21" t="s">
        <v>1740</v>
      </c>
      <c r="C656" s="21" t="s">
        <v>1469</v>
      </c>
      <c r="D656" s="21" t="s">
        <v>1776</v>
      </c>
      <c r="E656" s="21" t="s">
        <v>1177</v>
      </c>
      <c r="F656" s="21" t="s">
        <v>1177</v>
      </c>
      <c r="G656" s="21" t="s">
        <v>1177</v>
      </c>
      <c r="H656" s="26"/>
    </row>
    <row r="657">
      <c r="A657" s="29"/>
      <c r="B657" s="21" t="s">
        <v>1731</v>
      </c>
      <c r="C657" s="21" t="s">
        <v>1438</v>
      </c>
      <c r="D657" s="21" t="s">
        <v>1918</v>
      </c>
      <c r="E657" s="21" t="s">
        <v>1177</v>
      </c>
      <c r="F657" s="21" t="s">
        <v>1177</v>
      </c>
      <c r="G657" s="21" t="s">
        <v>1177</v>
      </c>
      <c r="H657" s="26"/>
    </row>
    <row r="658">
      <c r="A658" s="29"/>
      <c r="B658" s="21" t="s">
        <v>1311</v>
      </c>
      <c r="C658" s="21" t="s">
        <v>1918</v>
      </c>
      <c r="D658" s="21" t="s">
        <v>1273</v>
      </c>
      <c r="E658" s="21" t="s">
        <v>1177</v>
      </c>
      <c r="F658" s="21" t="s">
        <v>1177</v>
      </c>
      <c r="G658" s="21" t="s">
        <v>1177</v>
      </c>
      <c r="H658" s="26"/>
    </row>
    <row r="659">
      <c r="A659" s="24"/>
      <c r="B659" s="21" t="s">
        <v>1771</v>
      </c>
      <c r="C659" s="21" t="s">
        <v>1685</v>
      </c>
      <c r="D659" s="21" t="s">
        <v>1303</v>
      </c>
      <c r="E659" s="21" t="s">
        <v>1177</v>
      </c>
      <c r="F659" s="21" t="s">
        <v>1177</v>
      </c>
      <c r="G659" s="21" t="s">
        <v>1177</v>
      </c>
      <c r="H659" s="30"/>
      <c r="I659" s="14"/>
    </row>
    <row r="660">
      <c r="A660" s="16" t="s">
        <v>1174</v>
      </c>
      <c r="B660" s="17" t="s">
        <v>2176</v>
      </c>
      <c r="C660" s="18"/>
      <c r="D660" s="18"/>
      <c r="E660" s="18"/>
      <c r="F660" s="18"/>
      <c r="G660" s="18"/>
      <c r="H660" s="18"/>
      <c r="I660" s="16"/>
    </row>
    <row r="661" ht="60.0" customHeight="1">
      <c r="A661" s="20" t="s">
        <v>1176</v>
      </c>
      <c r="B661" s="21" t="str">
        <f t="array" ref="B661">iferror(VLOOKUP(INDIRECT(ADDRESS(ROW()+1,COLUMN(), 4)),Dex!$A$2:$C725,3,false),"")</f>
        <v/>
      </c>
      <c r="C661" s="21" t="str">
        <f t="array" ref="C661">iferror(VLOOKUP(INDIRECT(ADDRESS(ROW()+1,COLUMN(), 4)),Dex!$A$2:$C725,3,false),"")</f>
        <v/>
      </c>
      <c r="D661" s="21" t="str">
        <f t="array" ref="D661">iferror(VLOOKUP(INDIRECT(ADDRESS(ROW()+1,COLUMN(), 4)),Dex!$A$2:$C725,3,false),"")</f>
        <v/>
      </c>
      <c r="E661" s="21" t="s">
        <v>1177</v>
      </c>
      <c r="F661" s="21" t="s">
        <v>1177</v>
      </c>
      <c r="G661" s="21" t="s">
        <v>1177</v>
      </c>
      <c r="H661" s="22" t="str">
        <f t="array" ref="H661">iferror(VLOOKUP("TRAINER_PIC_KINDLER",Sprites!$A$1:$B725,2,false),"")</f>
        <v/>
      </c>
      <c r="I661" s="23"/>
    </row>
    <row r="662">
      <c r="A662" s="24"/>
      <c r="B662" s="25" t="s">
        <v>117</v>
      </c>
      <c r="C662" s="25" t="s">
        <v>328</v>
      </c>
      <c r="D662" s="25" t="s">
        <v>709</v>
      </c>
      <c r="E662" s="25" t="s">
        <v>1177</v>
      </c>
      <c r="F662" s="25" t="s">
        <v>1177</v>
      </c>
      <c r="G662" s="25" t="s">
        <v>1177</v>
      </c>
      <c r="H662" s="26"/>
    </row>
    <row r="663">
      <c r="A663" s="16" t="s">
        <v>1178</v>
      </c>
      <c r="B663" s="27" t="s">
        <v>2086</v>
      </c>
      <c r="C663" s="27" t="s">
        <v>2177</v>
      </c>
      <c r="D663" s="27" t="s">
        <v>2124</v>
      </c>
      <c r="E663" s="21" t="s">
        <v>1177</v>
      </c>
      <c r="F663" s="21" t="s">
        <v>1177</v>
      </c>
      <c r="G663" s="21" t="s">
        <v>1177</v>
      </c>
      <c r="H663" s="26"/>
    </row>
    <row r="664">
      <c r="A664" s="16" t="s">
        <v>1181</v>
      </c>
      <c r="B664" s="28" t="s">
        <v>1882</v>
      </c>
      <c r="C664" s="28" t="s">
        <v>1643</v>
      </c>
      <c r="D664" s="28" t="s">
        <v>1882</v>
      </c>
      <c r="E664" s="28" t="s">
        <v>1177</v>
      </c>
      <c r="F664" s="28" t="s">
        <v>1177</v>
      </c>
      <c r="G664" s="28" t="s">
        <v>1177</v>
      </c>
      <c r="H664" s="26"/>
    </row>
    <row r="665">
      <c r="A665" s="16" t="s">
        <v>1182</v>
      </c>
      <c r="B665" s="21" t="s">
        <v>1905</v>
      </c>
      <c r="C665" s="21" t="s">
        <v>1902</v>
      </c>
      <c r="D665" s="21" t="s">
        <v>1938</v>
      </c>
      <c r="E665" s="21" t="s">
        <v>1177</v>
      </c>
      <c r="F665" s="21" t="s">
        <v>1177</v>
      </c>
      <c r="G665" s="21" t="s">
        <v>1177</v>
      </c>
      <c r="H665" s="26"/>
    </row>
    <row r="666">
      <c r="A666" s="16" t="s">
        <v>1186</v>
      </c>
      <c r="B666" s="28" t="s">
        <v>1249</v>
      </c>
      <c r="C666" s="28" t="s">
        <v>1256</v>
      </c>
      <c r="D666" s="28" t="s">
        <v>1235</v>
      </c>
      <c r="E666" s="28" t="s">
        <v>1177</v>
      </c>
      <c r="F666" s="28" t="s">
        <v>1177</v>
      </c>
      <c r="G666" s="28" t="s">
        <v>1177</v>
      </c>
      <c r="H666" s="26"/>
    </row>
    <row r="667">
      <c r="A667" s="20" t="s">
        <v>1188</v>
      </c>
      <c r="B667" s="21" t="s">
        <v>1372</v>
      </c>
      <c r="C667" s="21" t="s">
        <v>1778</v>
      </c>
      <c r="D667" s="21" t="s">
        <v>1737</v>
      </c>
      <c r="E667" s="21" t="s">
        <v>1177</v>
      </c>
      <c r="F667" s="21" t="s">
        <v>1177</v>
      </c>
      <c r="G667" s="21" t="s">
        <v>1177</v>
      </c>
      <c r="H667" s="26"/>
    </row>
    <row r="668">
      <c r="A668" s="29"/>
      <c r="B668" s="21" t="s">
        <v>1469</v>
      </c>
      <c r="C668" s="21" t="s">
        <v>2104</v>
      </c>
      <c r="D668" s="21" t="s">
        <v>1469</v>
      </c>
      <c r="E668" s="21" t="s">
        <v>1177</v>
      </c>
      <c r="F668" s="21" t="s">
        <v>1177</v>
      </c>
      <c r="G668" s="21" t="s">
        <v>1177</v>
      </c>
      <c r="H668" s="26"/>
    </row>
    <row r="669">
      <c r="A669" s="29"/>
      <c r="B669" s="21" t="s">
        <v>1726</v>
      </c>
      <c r="C669" s="21" t="s">
        <v>1731</v>
      </c>
      <c r="D669" s="21" t="s">
        <v>1438</v>
      </c>
      <c r="E669" s="21" t="s">
        <v>1177</v>
      </c>
      <c r="F669" s="21" t="s">
        <v>1177</v>
      </c>
      <c r="G669" s="21" t="s">
        <v>1177</v>
      </c>
      <c r="H669" s="26"/>
    </row>
    <row r="670">
      <c r="A670" s="24"/>
      <c r="B670" s="21" t="s">
        <v>1590</v>
      </c>
      <c r="C670" s="21" t="s">
        <v>1896</v>
      </c>
      <c r="D670" s="21" t="s">
        <v>1677</v>
      </c>
      <c r="E670" s="21" t="s">
        <v>1177</v>
      </c>
      <c r="F670" s="21" t="s">
        <v>1177</v>
      </c>
      <c r="G670" s="21" t="s">
        <v>1177</v>
      </c>
      <c r="H670" s="30"/>
      <c r="I670" s="14"/>
    </row>
    <row r="671">
      <c r="A671" s="16" t="s">
        <v>1174</v>
      </c>
      <c r="B671" s="17" t="s">
        <v>2178</v>
      </c>
      <c r="C671" s="18"/>
      <c r="D671" s="18"/>
      <c r="E671" s="18"/>
      <c r="F671" s="18"/>
      <c r="G671" s="18"/>
      <c r="H671" s="18"/>
      <c r="I671" s="16"/>
    </row>
    <row r="672" ht="60.0" customHeight="1">
      <c r="A672" s="20" t="s">
        <v>1176</v>
      </c>
      <c r="B672" s="21" t="str">
        <f t="array" ref="B672">iferror(VLOOKUP(INDIRECT(ADDRESS(ROW()+1,COLUMN(), 4)),Dex!$A$2:$C725,3,false),"")</f>
        <v/>
      </c>
      <c r="C672" s="21" t="str">
        <f t="array" ref="C672">iferror(VLOOKUP(INDIRECT(ADDRESS(ROW()+1,COLUMN(), 4)),Dex!$A$2:$C725,3,false),"")</f>
        <v/>
      </c>
      <c r="D672" s="21" t="str">
        <f t="array" ref="D672">iferror(VLOOKUP(INDIRECT(ADDRESS(ROW()+1,COLUMN(), 4)),Dex!$A$2:$C725,3,false),"")</f>
        <v/>
      </c>
      <c r="E672" s="21" t="s">
        <v>1177</v>
      </c>
      <c r="F672" s="21" t="s">
        <v>1177</v>
      </c>
      <c r="G672" s="21" t="s">
        <v>1177</v>
      </c>
      <c r="H672" s="22" t="str">
        <f t="array" ref="H672">iferror(VLOOKUP("TRAINER_PIC_KINDLER",Sprites!$A$1:$B725,2,false),"")</f>
        <v/>
      </c>
      <c r="I672" s="23"/>
    </row>
    <row r="673">
      <c r="A673" s="24"/>
      <c r="B673" s="25" t="s">
        <v>507</v>
      </c>
      <c r="C673" s="25" t="s">
        <v>314</v>
      </c>
      <c r="D673" s="25" t="s">
        <v>1090</v>
      </c>
      <c r="E673" s="25" t="s">
        <v>1177</v>
      </c>
      <c r="F673" s="25" t="s">
        <v>1177</v>
      </c>
      <c r="G673" s="25" t="s">
        <v>1177</v>
      </c>
      <c r="H673" s="26"/>
    </row>
    <row r="674">
      <c r="A674" s="16" t="s">
        <v>1178</v>
      </c>
      <c r="B674" s="27" t="s">
        <v>2086</v>
      </c>
      <c r="C674" s="27" t="s">
        <v>2177</v>
      </c>
      <c r="D674" s="27" t="s">
        <v>2177</v>
      </c>
      <c r="E674" s="21" t="s">
        <v>1177</v>
      </c>
      <c r="F674" s="21" t="s">
        <v>1177</v>
      </c>
      <c r="G674" s="21" t="s">
        <v>1177</v>
      </c>
      <c r="H674" s="26"/>
    </row>
    <row r="675">
      <c r="A675" s="16" t="s">
        <v>1181</v>
      </c>
      <c r="B675" s="28" t="s">
        <v>1247</v>
      </c>
      <c r="C675" s="28" t="s">
        <v>1209</v>
      </c>
      <c r="D675" s="28" t="s">
        <v>2179</v>
      </c>
      <c r="E675" s="28" t="s">
        <v>1177</v>
      </c>
      <c r="F675" s="28" t="s">
        <v>1177</v>
      </c>
      <c r="G675" s="28" t="s">
        <v>1177</v>
      </c>
      <c r="H675" s="26"/>
    </row>
    <row r="676">
      <c r="A676" s="16" t="s">
        <v>1182</v>
      </c>
      <c r="B676" s="21" t="s">
        <v>1444</v>
      </c>
      <c r="C676" s="21" t="s">
        <v>1211</v>
      </c>
      <c r="D676" s="21" t="s">
        <v>1826</v>
      </c>
      <c r="E676" s="21" t="s">
        <v>1177</v>
      </c>
      <c r="F676" s="21" t="s">
        <v>1177</v>
      </c>
      <c r="G676" s="21" t="s">
        <v>1177</v>
      </c>
      <c r="H676" s="26"/>
    </row>
    <row r="677">
      <c r="A677" s="16" t="s">
        <v>1186</v>
      </c>
      <c r="B677" s="28" t="s">
        <v>1284</v>
      </c>
      <c r="C677" s="28" t="s">
        <v>1249</v>
      </c>
      <c r="D677" s="28" t="s">
        <v>1235</v>
      </c>
      <c r="E677" s="28" t="s">
        <v>1177</v>
      </c>
      <c r="F677" s="28" t="s">
        <v>1177</v>
      </c>
      <c r="G677" s="28" t="s">
        <v>1177</v>
      </c>
      <c r="H677" s="26"/>
    </row>
    <row r="678">
      <c r="A678" s="20" t="s">
        <v>1188</v>
      </c>
      <c r="B678" s="21" t="s">
        <v>2104</v>
      </c>
      <c r="C678" s="21" t="s">
        <v>2104</v>
      </c>
      <c r="D678" s="21" t="s">
        <v>1827</v>
      </c>
      <c r="E678" s="21" t="s">
        <v>1177</v>
      </c>
      <c r="F678" s="21" t="s">
        <v>1177</v>
      </c>
      <c r="G678" s="21" t="s">
        <v>1177</v>
      </c>
      <c r="H678" s="26"/>
    </row>
    <row r="679">
      <c r="A679" s="29"/>
      <c r="B679" s="21" t="s">
        <v>1878</v>
      </c>
      <c r="C679" s="21" t="s">
        <v>1890</v>
      </c>
      <c r="D679" s="21" t="s">
        <v>1575</v>
      </c>
      <c r="E679" s="21" t="s">
        <v>1177</v>
      </c>
      <c r="F679" s="21" t="s">
        <v>1177</v>
      </c>
      <c r="G679" s="21" t="s">
        <v>1177</v>
      </c>
      <c r="H679" s="26"/>
    </row>
    <row r="680">
      <c r="A680" s="29"/>
      <c r="B680" s="21" t="s">
        <v>1652</v>
      </c>
      <c r="C680" s="21" t="s">
        <v>1336</v>
      </c>
      <c r="D680" s="21" t="s">
        <v>1658</v>
      </c>
      <c r="E680" s="21" t="s">
        <v>1177</v>
      </c>
      <c r="F680" s="21" t="s">
        <v>1177</v>
      </c>
      <c r="G680" s="21" t="s">
        <v>1177</v>
      </c>
      <c r="H680" s="26"/>
    </row>
    <row r="681">
      <c r="A681" s="24"/>
      <c r="B681" s="21" t="s">
        <v>1225</v>
      </c>
      <c r="C681" s="21" t="s">
        <v>1924</v>
      </c>
      <c r="D681" s="21" t="s">
        <v>1818</v>
      </c>
      <c r="E681" s="21" t="s">
        <v>1177</v>
      </c>
      <c r="F681" s="21" t="s">
        <v>1177</v>
      </c>
      <c r="G681" s="21" t="s">
        <v>1177</v>
      </c>
      <c r="H681" s="30"/>
      <c r="I681" s="14"/>
    </row>
    <row r="682">
      <c r="A682" s="16" t="s">
        <v>1174</v>
      </c>
      <c r="B682" s="17" t="s">
        <v>2180</v>
      </c>
      <c r="C682" s="18"/>
      <c r="D682" s="18"/>
      <c r="E682" s="18"/>
      <c r="F682" s="18"/>
      <c r="G682" s="18"/>
      <c r="H682" s="18"/>
      <c r="I682" s="16"/>
    </row>
    <row r="683" ht="60.0" customHeight="1">
      <c r="A683" s="20" t="s">
        <v>1176</v>
      </c>
      <c r="B683" s="21" t="str">
        <f t="array" ref="B683">iferror(VLOOKUP(INDIRECT(ADDRESS(ROW()+1,COLUMN(), 4)),Dex!$A$2:$C725,3,false),"")</f>
        <v/>
      </c>
      <c r="C683" s="21" t="str">
        <f t="array" ref="C683">iferror(VLOOKUP(INDIRECT(ADDRESS(ROW()+1,COLUMN(), 4)),Dex!$A$2:$C725,3,false),"")</f>
        <v/>
      </c>
      <c r="D683" s="21" t="str">
        <f t="array" ref="D683">iferror(VLOOKUP(INDIRECT(ADDRESS(ROW()+1,COLUMN(), 4)),Dex!$A$2:$C725,3,false),"")</f>
        <v/>
      </c>
      <c r="E683" s="21" t="str">
        <f t="array" ref="E683">iferror(VLOOKUP(INDIRECT(ADDRESS(ROW()+1,COLUMN(), 4)),Dex!$A$2:$C725,3,false),"")</f>
        <v/>
      </c>
      <c r="F683" s="21" t="s">
        <v>1177</v>
      </c>
      <c r="G683" s="21" t="s">
        <v>1177</v>
      </c>
      <c r="H683" s="22" t="str">
        <f t="array" ref="H683">iferror(VLOOKUP("TRAINER_PIC_KINDLER",Sprites!$A$1:$B725,2,false),"")</f>
        <v/>
      </c>
      <c r="I683" s="23"/>
    </row>
    <row r="684">
      <c r="A684" s="24"/>
      <c r="B684" s="25" t="s">
        <v>425</v>
      </c>
      <c r="C684" s="25" t="s">
        <v>585</v>
      </c>
      <c r="D684" s="25" t="s">
        <v>553</v>
      </c>
      <c r="E684" s="25" t="s">
        <v>202</v>
      </c>
      <c r="F684" s="25" t="s">
        <v>1177</v>
      </c>
      <c r="G684" s="25" t="s">
        <v>1177</v>
      </c>
      <c r="H684" s="26"/>
    </row>
    <row r="685">
      <c r="A685" s="16" t="s">
        <v>1178</v>
      </c>
      <c r="B685" s="27" t="s">
        <v>2181</v>
      </c>
      <c r="C685" s="27" t="s">
        <v>2144</v>
      </c>
      <c r="D685" s="27" t="s">
        <v>2086</v>
      </c>
      <c r="E685" s="27" t="s">
        <v>2181</v>
      </c>
      <c r="F685" s="21" t="s">
        <v>1177</v>
      </c>
      <c r="G685" s="21" t="s">
        <v>1177</v>
      </c>
      <c r="H685" s="26"/>
    </row>
    <row r="686">
      <c r="A686" s="16" t="s">
        <v>1181</v>
      </c>
      <c r="B686" s="28" t="s">
        <v>1703</v>
      </c>
      <c r="C686" s="28" t="s">
        <v>1838</v>
      </c>
      <c r="D686" s="28" t="s">
        <v>1209</v>
      </c>
      <c r="E686" s="28" t="s">
        <v>1434</v>
      </c>
      <c r="F686" s="28" t="s">
        <v>1177</v>
      </c>
      <c r="G686" s="28" t="s">
        <v>1177</v>
      </c>
      <c r="H686" s="26"/>
    </row>
    <row r="687">
      <c r="A687" s="16" t="s">
        <v>1182</v>
      </c>
      <c r="B687" s="21" t="s">
        <v>2065</v>
      </c>
      <c r="C687" s="21" t="s">
        <v>2066</v>
      </c>
      <c r="D687" s="21" t="s">
        <v>2103</v>
      </c>
      <c r="E687" s="21" t="s">
        <v>1419</v>
      </c>
      <c r="F687" s="21" t="s">
        <v>1177</v>
      </c>
      <c r="G687" s="21" t="s">
        <v>1177</v>
      </c>
      <c r="H687" s="26"/>
    </row>
    <row r="688">
      <c r="A688" s="16" t="s">
        <v>1186</v>
      </c>
      <c r="B688" s="28" t="s">
        <v>1234</v>
      </c>
      <c r="C688" s="28" t="s">
        <v>1754</v>
      </c>
      <c r="D688" s="28" t="s">
        <v>1249</v>
      </c>
      <c r="E688" s="28" t="s">
        <v>1249</v>
      </c>
      <c r="F688" s="28" t="s">
        <v>1177</v>
      </c>
      <c r="G688" s="28" t="s">
        <v>1177</v>
      </c>
      <c r="H688" s="26"/>
    </row>
    <row r="689">
      <c r="A689" s="20" t="s">
        <v>1188</v>
      </c>
      <c r="B689" s="21" t="s">
        <v>2104</v>
      </c>
      <c r="C689" s="21" t="s">
        <v>1830</v>
      </c>
      <c r="D689" s="21" t="s">
        <v>1749</v>
      </c>
      <c r="E689" s="21" t="s">
        <v>1737</v>
      </c>
      <c r="F689" s="21" t="s">
        <v>1177</v>
      </c>
      <c r="G689" s="21" t="s">
        <v>1177</v>
      </c>
      <c r="H689" s="26"/>
    </row>
    <row r="690">
      <c r="A690" s="29"/>
      <c r="B690" s="21" t="s">
        <v>1830</v>
      </c>
      <c r="C690" s="21" t="s">
        <v>1407</v>
      </c>
      <c r="D690" s="21" t="s">
        <v>1307</v>
      </c>
      <c r="E690" s="21" t="s">
        <v>1914</v>
      </c>
      <c r="F690" s="21" t="s">
        <v>1177</v>
      </c>
      <c r="G690" s="21" t="s">
        <v>1177</v>
      </c>
      <c r="H690" s="26"/>
    </row>
    <row r="691">
      <c r="A691" s="29"/>
      <c r="B691" s="21" t="s">
        <v>1618</v>
      </c>
      <c r="C691" s="21" t="s">
        <v>2104</v>
      </c>
      <c r="D691" s="21" t="s">
        <v>1830</v>
      </c>
      <c r="E691" s="21" t="s">
        <v>1432</v>
      </c>
      <c r="F691" s="21" t="s">
        <v>1177</v>
      </c>
      <c r="G691" s="21" t="s">
        <v>1177</v>
      </c>
      <c r="H691" s="26"/>
    </row>
    <row r="692">
      <c r="A692" s="24"/>
      <c r="B692" s="21" t="s">
        <v>1804</v>
      </c>
      <c r="C692" s="21" t="s">
        <v>1983</v>
      </c>
      <c r="D692" s="21" t="s">
        <v>2104</v>
      </c>
      <c r="E692" s="21" t="s">
        <v>1411</v>
      </c>
      <c r="F692" s="21" t="s">
        <v>1177</v>
      </c>
      <c r="G692" s="21" t="s">
        <v>1177</v>
      </c>
      <c r="H692" s="30"/>
      <c r="I692" s="14"/>
    </row>
    <row r="693">
      <c r="A693" s="16" t="s">
        <v>1174</v>
      </c>
      <c r="B693" s="17" t="s">
        <v>2182</v>
      </c>
      <c r="C693" s="18"/>
      <c r="D693" s="18"/>
      <c r="E693" s="18"/>
      <c r="F693" s="18"/>
      <c r="G693" s="18"/>
      <c r="H693" s="18"/>
      <c r="I693" s="16"/>
    </row>
    <row r="694" ht="60.0" customHeight="1">
      <c r="A694" s="20" t="s">
        <v>1176</v>
      </c>
      <c r="B694" s="21" t="str">
        <f t="array" ref="B694">iferror(VLOOKUP(INDIRECT(ADDRESS(ROW()+1,COLUMN(), 4)),Dex!$A$2:$C725,3,false),"")</f>
        <v/>
      </c>
      <c r="C694" s="21" t="str">
        <f t="array" ref="C694">iferror(VLOOKUP(INDIRECT(ADDRESS(ROW()+1,COLUMN(), 4)),Dex!$A$2:$C725,3,false),"")</f>
        <v/>
      </c>
      <c r="D694" s="21" t="str">
        <f t="array" ref="D694">iferror(VLOOKUP(INDIRECT(ADDRESS(ROW()+1,COLUMN(), 4)),Dex!$A$2:$C725,3,false),"")</f>
        <v/>
      </c>
      <c r="E694" s="21" t="str">
        <f t="array" ref="E694">iferror(VLOOKUP(INDIRECT(ADDRESS(ROW()+1,COLUMN(), 4)),Dex!$A$2:$C725,3,false),"")</f>
        <v/>
      </c>
      <c r="F694" s="21" t="str">
        <f t="array" ref="F694">iferror(VLOOKUP(INDIRECT(ADDRESS(ROW()+1,COLUMN(), 4)),Dex!$A$2:$C725,3,false),"")</f>
        <v/>
      </c>
      <c r="G694" s="21" t="s">
        <v>1177</v>
      </c>
      <c r="H694" s="22" t="str">
        <f t="array" ref="H694">iferror(VLOOKUP("TRAINER_PIC_BATTLE_GIRL",Sprites!$A$1:$B725,2,false),"")</f>
        <v/>
      </c>
      <c r="I694" s="23"/>
    </row>
    <row r="695">
      <c r="A695" s="24"/>
      <c r="B695" s="25" t="s">
        <v>278</v>
      </c>
      <c r="C695" s="25" t="s">
        <v>783</v>
      </c>
      <c r="D695" s="25" t="s">
        <v>650</v>
      </c>
      <c r="E695" s="25" t="s">
        <v>346</v>
      </c>
      <c r="F695" s="25" t="s">
        <v>431</v>
      </c>
      <c r="G695" s="25" t="s">
        <v>1177</v>
      </c>
      <c r="H695" s="26"/>
    </row>
    <row r="696">
      <c r="A696" s="16" t="s">
        <v>1178</v>
      </c>
      <c r="B696" s="27" t="s">
        <v>2177</v>
      </c>
      <c r="C696" s="27" t="s">
        <v>2181</v>
      </c>
      <c r="D696" s="27" t="s">
        <v>2177</v>
      </c>
      <c r="E696" s="27" t="s">
        <v>2177</v>
      </c>
      <c r="F696" s="27" t="s">
        <v>2181</v>
      </c>
      <c r="G696" s="21" t="s">
        <v>1177</v>
      </c>
      <c r="H696" s="26"/>
    </row>
    <row r="697">
      <c r="A697" s="16" t="s">
        <v>1181</v>
      </c>
      <c r="B697" s="28" t="s">
        <v>1838</v>
      </c>
      <c r="C697" s="28" t="s">
        <v>1295</v>
      </c>
      <c r="D697" s="28" t="s">
        <v>1688</v>
      </c>
      <c r="E697" s="28" t="s">
        <v>1572</v>
      </c>
      <c r="F697" s="28" t="s">
        <v>1882</v>
      </c>
      <c r="G697" s="28" t="s">
        <v>1177</v>
      </c>
      <c r="H697" s="26"/>
    </row>
    <row r="698">
      <c r="A698" s="16" t="s">
        <v>1182</v>
      </c>
      <c r="B698" s="21" t="s">
        <v>1667</v>
      </c>
      <c r="C698" s="21" t="s">
        <v>1420</v>
      </c>
      <c r="D698" s="21" t="s">
        <v>1883</v>
      </c>
      <c r="E698" s="21" t="s">
        <v>1233</v>
      </c>
      <c r="F698" s="21" t="s">
        <v>1368</v>
      </c>
      <c r="G698" s="21" t="s">
        <v>1177</v>
      </c>
      <c r="H698" s="26"/>
    </row>
    <row r="699">
      <c r="A699" s="16" t="s">
        <v>1186</v>
      </c>
      <c r="B699" s="28" t="s">
        <v>1257</v>
      </c>
      <c r="C699" s="28" t="s">
        <v>1248</v>
      </c>
      <c r="D699" s="28" t="s">
        <v>1235</v>
      </c>
      <c r="E699" s="28" t="s">
        <v>1300</v>
      </c>
      <c r="F699" s="28" t="s">
        <v>1300</v>
      </c>
      <c r="G699" s="28" t="s">
        <v>1177</v>
      </c>
      <c r="H699" s="26"/>
    </row>
    <row r="700">
      <c r="A700" s="20" t="s">
        <v>1188</v>
      </c>
      <c r="B700" s="21" t="s">
        <v>2147</v>
      </c>
      <c r="C700" s="21" t="s">
        <v>1677</v>
      </c>
      <c r="D700" s="21" t="s">
        <v>1737</v>
      </c>
      <c r="E700" s="21" t="s">
        <v>1918</v>
      </c>
      <c r="F700" s="21" t="s">
        <v>1677</v>
      </c>
      <c r="G700" s="21" t="s">
        <v>1177</v>
      </c>
      <c r="H700" s="26"/>
    </row>
    <row r="701">
      <c r="A701" s="29"/>
      <c r="B701" s="21" t="s">
        <v>1731</v>
      </c>
      <c r="C701" s="21" t="s">
        <v>1448</v>
      </c>
      <c r="D701" s="21" t="s">
        <v>1472</v>
      </c>
      <c r="E701" s="21" t="s">
        <v>1874</v>
      </c>
      <c r="F701" s="21" t="s">
        <v>1919</v>
      </c>
      <c r="G701" s="21" t="s">
        <v>1177</v>
      </c>
      <c r="H701" s="26"/>
    </row>
    <row r="702">
      <c r="A702" s="29"/>
      <c r="B702" s="21" t="s">
        <v>2104</v>
      </c>
      <c r="C702" s="21" t="s">
        <v>1755</v>
      </c>
      <c r="D702" s="21" t="s">
        <v>1974</v>
      </c>
      <c r="E702" s="21" t="s">
        <v>1776</v>
      </c>
      <c r="F702" s="21" t="s">
        <v>2104</v>
      </c>
      <c r="G702" s="21" t="s">
        <v>1177</v>
      </c>
      <c r="H702" s="26"/>
    </row>
    <row r="703">
      <c r="A703" s="24"/>
      <c r="B703" s="21" t="s">
        <v>1695</v>
      </c>
      <c r="C703" s="21" t="s">
        <v>2183</v>
      </c>
      <c r="D703" s="21" t="s">
        <v>1704</v>
      </c>
      <c r="E703" s="21" t="s">
        <v>1307</v>
      </c>
      <c r="F703" s="21" t="s">
        <v>1285</v>
      </c>
      <c r="G703" s="21" t="s">
        <v>1177</v>
      </c>
      <c r="H703" s="30"/>
      <c r="I703" s="14"/>
    </row>
    <row r="704">
      <c r="A704" s="16" t="s">
        <v>1174</v>
      </c>
      <c r="B704" s="17" t="s">
        <v>2184</v>
      </c>
      <c r="C704" s="18"/>
      <c r="D704" s="18"/>
      <c r="E704" s="18"/>
      <c r="F704" s="18"/>
      <c r="G704" s="18"/>
      <c r="H704" s="18"/>
      <c r="I704" s="16"/>
    </row>
    <row r="705" ht="60.0" customHeight="1">
      <c r="A705" s="20" t="s">
        <v>1176</v>
      </c>
      <c r="B705" s="21" t="str">
        <f t="array" ref="B705">iferror(VLOOKUP(INDIRECT(ADDRESS(ROW()+1,COLUMN(), 4)),Dex!$A$2:$C725,3,false),"")</f>
        <v/>
      </c>
      <c r="C705" s="21" t="str">
        <f t="array" ref="C705">iferror(VLOOKUP(INDIRECT(ADDRESS(ROW()+1,COLUMN(), 4)),Dex!$A$2:$C725,3,false),"")</f>
        <v/>
      </c>
      <c r="D705" s="21" t="str">
        <f t="array" ref="D705">iferror(VLOOKUP(INDIRECT(ADDRESS(ROW()+1,COLUMN(), 4)),Dex!$A$2:$C725,3,false),"")</f>
        <v/>
      </c>
      <c r="E705" s="21" t="str">
        <f t="array" ref="E705">iferror(VLOOKUP(INDIRECT(ADDRESS(ROW()+1,COLUMN(), 4)),Dex!$A$2:$C725,3,false),"")</f>
        <v/>
      </c>
      <c r="F705" s="21" t="str">
        <f t="array" ref="F705">iferror(VLOOKUP(INDIRECT(ADDRESS(ROW()+1,COLUMN(), 4)),Dex!$A$2:$C725,3,false),"")</f>
        <v/>
      </c>
      <c r="G705" s="21" t="s">
        <v>1177</v>
      </c>
      <c r="H705" s="22" t="str">
        <f t="array" ref="H705">iferror(VLOOKUP("TRAINER_PIC_HIKER",Sprites!$A$1:$B725,2,false),"")</f>
        <v/>
      </c>
      <c r="I705" s="23"/>
    </row>
    <row r="706">
      <c r="A706" s="24"/>
      <c r="B706" s="25" t="s">
        <v>995</v>
      </c>
      <c r="C706" s="25" t="s">
        <v>56</v>
      </c>
      <c r="D706" s="25" t="s">
        <v>586</v>
      </c>
      <c r="E706" s="25" t="s">
        <v>90</v>
      </c>
      <c r="F706" s="25" t="s">
        <v>825</v>
      </c>
      <c r="G706" s="25" t="s">
        <v>1177</v>
      </c>
      <c r="H706" s="26"/>
    </row>
    <row r="707">
      <c r="A707" s="16" t="s">
        <v>1178</v>
      </c>
      <c r="B707" s="27" t="s">
        <v>2177</v>
      </c>
      <c r="C707" s="27" t="s">
        <v>2086</v>
      </c>
      <c r="D707" s="27" t="s">
        <v>2177</v>
      </c>
      <c r="E707" s="27" t="s">
        <v>2181</v>
      </c>
      <c r="F707" s="27" t="s">
        <v>2177</v>
      </c>
      <c r="G707" s="21" t="s">
        <v>1177</v>
      </c>
      <c r="H707" s="26"/>
    </row>
    <row r="708">
      <c r="A708" s="16" t="s">
        <v>1181</v>
      </c>
      <c r="B708" s="28" t="s">
        <v>1457</v>
      </c>
      <c r="C708" s="28" t="s">
        <v>1346</v>
      </c>
      <c r="D708" s="28" t="s">
        <v>1613</v>
      </c>
      <c r="E708" s="28" t="s">
        <v>2102</v>
      </c>
      <c r="F708" s="28" t="s">
        <v>1882</v>
      </c>
      <c r="G708" s="28" t="s">
        <v>1177</v>
      </c>
      <c r="H708" s="26"/>
    </row>
    <row r="709">
      <c r="A709" s="16" t="s">
        <v>1182</v>
      </c>
      <c r="B709" s="21" t="s">
        <v>2109</v>
      </c>
      <c r="C709" s="21" t="s">
        <v>1938</v>
      </c>
      <c r="D709" s="21" t="s">
        <v>1382</v>
      </c>
      <c r="E709" s="21" t="s">
        <v>1298</v>
      </c>
      <c r="F709" s="21" t="s">
        <v>1604</v>
      </c>
      <c r="G709" s="21" t="s">
        <v>1177</v>
      </c>
      <c r="H709" s="26"/>
    </row>
    <row r="710">
      <c r="A710" s="16" t="s">
        <v>1186</v>
      </c>
      <c r="B710" s="28" t="s">
        <v>1256</v>
      </c>
      <c r="C710" s="28" t="s">
        <v>1284</v>
      </c>
      <c r="D710" s="28" t="s">
        <v>1406</v>
      </c>
      <c r="E710" s="28" t="s">
        <v>1269</v>
      </c>
      <c r="F710" s="28" t="s">
        <v>1284</v>
      </c>
      <c r="G710" s="28" t="s">
        <v>1177</v>
      </c>
      <c r="H710" s="26"/>
    </row>
    <row r="711">
      <c r="A711" s="20" t="s">
        <v>1188</v>
      </c>
      <c r="B711" s="21" t="s">
        <v>1778</v>
      </c>
      <c r="C711" s="21" t="s">
        <v>1373</v>
      </c>
      <c r="D711" s="21" t="s">
        <v>1677</v>
      </c>
      <c r="E711" s="21" t="s">
        <v>2185</v>
      </c>
      <c r="F711" s="21" t="s">
        <v>1740</v>
      </c>
      <c r="G711" s="21" t="s">
        <v>1177</v>
      </c>
      <c r="H711" s="26"/>
    </row>
    <row r="712">
      <c r="A712" s="29"/>
      <c r="B712" s="21" t="s">
        <v>1828</v>
      </c>
      <c r="C712" s="21" t="s">
        <v>1618</v>
      </c>
      <c r="D712" s="21" t="s">
        <v>1678</v>
      </c>
      <c r="E712" s="21" t="s">
        <v>1874</v>
      </c>
      <c r="F712" s="21" t="s">
        <v>1731</v>
      </c>
      <c r="G712" s="21" t="s">
        <v>1177</v>
      </c>
      <c r="H712" s="26"/>
    </row>
    <row r="713">
      <c r="A713" s="29"/>
      <c r="B713" s="21" t="s">
        <v>2104</v>
      </c>
      <c r="C713" s="21" t="s">
        <v>2104</v>
      </c>
      <c r="D713" s="21" t="s">
        <v>1755</v>
      </c>
      <c r="E713" s="21" t="s">
        <v>1741</v>
      </c>
      <c r="F713" s="21" t="s">
        <v>1652</v>
      </c>
      <c r="G713" s="21" t="s">
        <v>1177</v>
      </c>
      <c r="H713" s="26"/>
    </row>
    <row r="714">
      <c r="A714" s="24"/>
      <c r="B714" s="21" t="s">
        <v>1377</v>
      </c>
      <c r="C714" s="21" t="s">
        <v>1959</v>
      </c>
      <c r="D714" s="21" t="s">
        <v>1705</v>
      </c>
      <c r="E714" s="21" t="s">
        <v>1590</v>
      </c>
      <c r="F714" s="21" t="s">
        <v>1311</v>
      </c>
      <c r="G714" s="21" t="s">
        <v>1177</v>
      </c>
      <c r="H714" s="30"/>
      <c r="I714" s="14"/>
    </row>
    <row r="715">
      <c r="A715" s="16" t="s">
        <v>1174</v>
      </c>
      <c r="B715" s="17" t="s">
        <v>2186</v>
      </c>
      <c r="C715" s="18"/>
      <c r="D715" s="18"/>
      <c r="E715" s="18"/>
      <c r="F715" s="18"/>
      <c r="G715" s="18"/>
      <c r="H715" s="18"/>
      <c r="I715" s="16"/>
    </row>
    <row r="716" ht="60.0" customHeight="1">
      <c r="A716" s="20" t="s">
        <v>1176</v>
      </c>
      <c r="B716" s="21" t="str">
        <f t="array" ref="B716">iferror(VLOOKUP(INDIRECT(ADDRESS(ROW()+1,COLUMN(), 4)),Dex!$A$2:$C725,3,false),"")</f>
        <v/>
      </c>
      <c r="C716" s="21" t="str">
        <f t="array" ref="C716">iferror(VLOOKUP(INDIRECT(ADDRESS(ROW()+1,COLUMN(), 4)),Dex!$A$2:$C725,3,false),"")</f>
        <v/>
      </c>
      <c r="D716" s="21" t="str">
        <f t="array" ref="D716">iferror(VLOOKUP(INDIRECT(ADDRESS(ROW()+1,COLUMN(), 4)),Dex!$A$2:$C725,3,false),"")</f>
        <v/>
      </c>
      <c r="E716" s="21" t="str">
        <f t="array" ref="E716">iferror(VLOOKUP(INDIRECT(ADDRESS(ROW()+1,COLUMN(), 4)),Dex!$A$2:$C725,3,false),"")</f>
        <v/>
      </c>
      <c r="F716" s="21" t="str">
        <f t="array" ref="F716">iferror(VLOOKUP(INDIRECT(ADDRESS(ROW()+1,COLUMN(), 4)),Dex!$A$2:$C725,3,false),"")</f>
        <v/>
      </c>
      <c r="G716" s="21" t="str">
        <f t="array" ref="G716">iferror(VLOOKUP(INDIRECT(ADDRESS(ROW()+1,COLUMN(), 4)),Dex!$A$2:$C725,3,false),"")</f>
        <v/>
      </c>
      <c r="H716" s="22" t="str">
        <f t="array" ref="H716">iferror(VLOOKUP("TRAINER_PIC_LEADER_FLANNERY",Sprites!$A$1:$B725,2,false),"")</f>
        <v/>
      </c>
      <c r="I716" s="23"/>
    </row>
    <row r="717">
      <c r="A717" s="24"/>
      <c r="B717" s="25" t="s">
        <v>14</v>
      </c>
      <c r="C717" s="25" t="s">
        <v>953</v>
      </c>
      <c r="D717" s="25" t="s">
        <v>330</v>
      </c>
      <c r="E717" s="25" t="s">
        <v>914</v>
      </c>
      <c r="F717" s="25" t="s">
        <v>834</v>
      </c>
      <c r="G717" s="25" t="s">
        <v>159</v>
      </c>
      <c r="H717" s="26"/>
    </row>
    <row r="718">
      <c r="A718" s="16" t="s">
        <v>1178</v>
      </c>
      <c r="B718" s="27" t="s">
        <v>2187</v>
      </c>
      <c r="C718" s="27" t="s">
        <v>2188</v>
      </c>
      <c r="D718" s="27" t="s">
        <v>2187</v>
      </c>
      <c r="E718" s="27" t="s">
        <v>2188</v>
      </c>
      <c r="F718" s="27" t="s">
        <v>2188</v>
      </c>
      <c r="G718" s="27" t="s">
        <v>2187</v>
      </c>
      <c r="H718" s="26"/>
    </row>
    <row r="719">
      <c r="A719" s="16" t="s">
        <v>1181</v>
      </c>
      <c r="B719" s="28" t="s">
        <v>2189</v>
      </c>
      <c r="C719" s="28" t="s">
        <v>1247</v>
      </c>
      <c r="D719" s="28" t="s">
        <v>1209</v>
      </c>
      <c r="E719" s="28" t="s">
        <v>1838</v>
      </c>
      <c r="F719" s="28" t="s">
        <v>1882</v>
      </c>
      <c r="G719" s="28" t="s">
        <v>1995</v>
      </c>
      <c r="H719" s="26"/>
    </row>
    <row r="720">
      <c r="A720" s="16" t="s">
        <v>1182</v>
      </c>
      <c r="B720" s="21" t="s">
        <v>2065</v>
      </c>
      <c r="C720" s="21" t="s">
        <v>1903</v>
      </c>
      <c r="D720" s="21" t="s">
        <v>1356</v>
      </c>
      <c r="E720" s="21" t="s">
        <v>1298</v>
      </c>
      <c r="F720" s="21" t="s">
        <v>2190</v>
      </c>
      <c r="G720" s="21" t="s">
        <v>1692</v>
      </c>
      <c r="H720" s="26"/>
    </row>
    <row r="721">
      <c r="A721" s="16" t="s">
        <v>1186</v>
      </c>
      <c r="B721" s="28" t="s">
        <v>1284</v>
      </c>
      <c r="C721" s="28" t="s">
        <v>1284</v>
      </c>
      <c r="D721" s="28" t="s">
        <v>1269</v>
      </c>
      <c r="E721" s="28" t="s">
        <v>1383</v>
      </c>
      <c r="F721" s="28" t="s">
        <v>1269</v>
      </c>
      <c r="G721" s="28" t="s">
        <v>1235</v>
      </c>
      <c r="H721" s="26"/>
    </row>
    <row r="722">
      <c r="A722" s="20" t="s">
        <v>1188</v>
      </c>
      <c r="B722" s="21" t="s">
        <v>2104</v>
      </c>
      <c r="C722" s="21" t="s">
        <v>1629</v>
      </c>
      <c r="D722" s="21" t="s">
        <v>2191</v>
      </c>
      <c r="E722" s="21" t="s">
        <v>1918</v>
      </c>
      <c r="F722" s="21" t="s">
        <v>1776</v>
      </c>
      <c r="G722" s="21" t="s">
        <v>1737</v>
      </c>
      <c r="H722" s="26"/>
    </row>
    <row r="723">
      <c r="A723" s="29"/>
      <c r="B723" s="21" t="s">
        <v>1629</v>
      </c>
      <c r="C723" s="21" t="s">
        <v>1373</v>
      </c>
      <c r="D723" s="21" t="s">
        <v>1914</v>
      </c>
      <c r="E723" s="21" t="s">
        <v>1887</v>
      </c>
      <c r="F723" s="21" t="s">
        <v>1737</v>
      </c>
      <c r="G723" s="21" t="s">
        <v>2192</v>
      </c>
      <c r="H723" s="26"/>
    </row>
    <row r="724">
      <c r="A724" s="29"/>
      <c r="B724" s="21" t="s">
        <v>1619</v>
      </c>
      <c r="C724" s="21" t="s">
        <v>1225</v>
      </c>
      <c r="D724" s="21" t="s">
        <v>1678</v>
      </c>
      <c r="E724" s="21" t="s">
        <v>2159</v>
      </c>
      <c r="F724" s="21" t="s">
        <v>1914</v>
      </c>
      <c r="G724" s="21" t="s">
        <v>1999</v>
      </c>
      <c r="H724" s="26"/>
    </row>
    <row r="725">
      <c r="A725" s="24"/>
      <c r="B725" s="21" t="s">
        <v>1914</v>
      </c>
      <c r="C725" s="21" t="s">
        <v>1836</v>
      </c>
      <c r="D725" s="21" t="s">
        <v>1672</v>
      </c>
      <c r="E725" s="21" t="s">
        <v>1225</v>
      </c>
      <c r="F725" s="21" t="s">
        <v>1944</v>
      </c>
      <c r="G725" s="21" t="s">
        <v>1243</v>
      </c>
      <c r="H725" s="30"/>
      <c r="I725" s="14"/>
    </row>
  </sheetData>
  <mergeCells count="270">
    <mergeCell ref="A54:A57"/>
    <mergeCell ref="A59:A60"/>
    <mergeCell ref="A65:A68"/>
    <mergeCell ref="A70:A71"/>
    <mergeCell ref="A76:A79"/>
    <mergeCell ref="A81:A82"/>
    <mergeCell ref="A87:A90"/>
    <mergeCell ref="A92:A93"/>
    <mergeCell ref="A98:A101"/>
    <mergeCell ref="A103:A104"/>
    <mergeCell ref="A109:A112"/>
    <mergeCell ref="A114:A115"/>
    <mergeCell ref="A120:A123"/>
    <mergeCell ref="A125:A126"/>
    <mergeCell ref="A131:A134"/>
    <mergeCell ref="A136:A137"/>
    <mergeCell ref="A142:A145"/>
    <mergeCell ref="A147:A148"/>
    <mergeCell ref="A153:A156"/>
    <mergeCell ref="A158:A159"/>
    <mergeCell ref="A164:A167"/>
    <mergeCell ref="B102:H102"/>
    <mergeCell ref="B113:H113"/>
    <mergeCell ref="B124:H124"/>
    <mergeCell ref="B135:H135"/>
    <mergeCell ref="B146:H146"/>
    <mergeCell ref="B157:H157"/>
    <mergeCell ref="B168:H168"/>
    <mergeCell ref="H169:I178"/>
    <mergeCell ref="H181:I190"/>
    <mergeCell ref="H192:I201"/>
    <mergeCell ref="H203:I212"/>
    <mergeCell ref="H214:I223"/>
    <mergeCell ref="H225:I234"/>
    <mergeCell ref="H236:I245"/>
    <mergeCell ref="H247:I256"/>
    <mergeCell ref="H258:I267"/>
    <mergeCell ref="H269:I278"/>
    <mergeCell ref="H280:I289"/>
    <mergeCell ref="H292:I301"/>
    <mergeCell ref="H304:I313"/>
    <mergeCell ref="H315:I324"/>
    <mergeCell ref="H326:I335"/>
    <mergeCell ref="H337:I346"/>
    <mergeCell ref="H348:I357"/>
    <mergeCell ref="H359:I368"/>
    <mergeCell ref="H370:I379"/>
    <mergeCell ref="H381:I390"/>
    <mergeCell ref="H392:I401"/>
    <mergeCell ref="H403:I412"/>
    <mergeCell ref="H414:I423"/>
    <mergeCell ref="H425:I434"/>
    <mergeCell ref="H437:I446"/>
    <mergeCell ref="H448:I457"/>
    <mergeCell ref="H459:I468"/>
    <mergeCell ref="H470:I479"/>
    <mergeCell ref="H482:I491"/>
    <mergeCell ref="H493:I502"/>
    <mergeCell ref="H504:I513"/>
    <mergeCell ref="H515:I524"/>
    <mergeCell ref="H526:I535"/>
    <mergeCell ref="H538:I547"/>
    <mergeCell ref="H549:I558"/>
    <mergeCell ref="H639:I648"/>
    <mergeCell ref="H650:I659"/>
    <mergeCell ref="H661:I670"/>
    <mergeCell ref="H672:I681"/>
    <mergeCell ref="H683:I692"/>
    <mergeCell ref="H694:I703"/>
    <mergeCell ref="H705:I714"/>
    <mergeCell ref="H716:I725"/>
    <mergeCell ref="H560:I569"/>
    <mergeCell ref="H572:I581"/>
    <mergeCell ref="H583:I592"/>
    <mergeCell ref="H594:I603"/>
    <mergeCell ref="H605:I614"/>
    <mergeCell ref="H616:I625"/>
    <mergeCell ref="H628:I637"/>
    <mergeCell ref="B279:H279"/>
    <mergeCell ref="B290:H290"/>
    <mergeCell ref="B291:H291"/>
    <mergeCell ref="B302:H302"/>
    <mergeCell ref="B303:H303"/>
    <mergeCell ref="B314:H314"/>
    <mergeCell ref="B325:H325"/>
    <mergeCell ref="B336:H336"/>
    <mergeCell ref="B347:H347"/>
    <mergeCell ref="B358:H358"/>
    <mergeCell ref="B369:H369"/>
    <mergeCell ref="B380:H380"/>
    <mergeCell ref="B391:H391"/>
    <mergeCell ref="B402:H402"/>
    <mergeCell ref="B413:H413"/>
    <mergeCell ref="B424:H424"/>
    <mergeCell ref="B435:H435"/>
    <mergeCell ref="B436:H436"/>
    <mergeCell ref="B447:H447"/>
    <mergeCell ref="B458:H458"/>
    <mergeCell ref="B469:H469"/>
    <mergeCell ref="B480:H480"/>
    <mergeCell ref="B481:H481"/>
    <mergeCell ref="B492:H492"/>
    <mergeCell ref="B503:H503"/>
    <mergeCell ref="B514:H514"/>
    <mergeCell ref="B525:H525"/>
    <mergeCell ref="B536:H536"/>
    <mergeCell ref="B537:H537"/>
    <mergeCell ref="B548:H548"/>
    <mergeCell ref="B559:H559"/>
    <mergeCell ref="B570:H570"/>
    <mergeCell ref="B571:H571"/>
    <mergeCell ref="B582:H582"/>
    <mergeCell ref="B593:H593"/>
    <mergeCell ref="B671:H671"/>
    <mergeCell ref="B682:H682"/>
    <mergeCell ref="B693:H693"/>
    <mergeCell ref="B704:H704"/>
    <mergeCell ref="B715:H715"/>
    <mergeCell ref="B604:H604"/>
    <mergeCell ref="B615:H615"/>
    <mergeCell ref="B626:H626"/>
    <mergeCell ref="B627:H627"/>
    <mergeCell ref="B638:H638"/>
    <mergeCell ref="B649:H649"/>
    <mergeCell ref="B660:H660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8:A49"/>
    <mergeCell ref="H14:I23"/>
    <mergeCell ref="H25:I34"/>
    <mergeCell ref="H36:I45"/>
    <mergeCell ref="H48:I57"/>
    <mergeCell ref="H59:I68"/>
    <mergeCell ref="H70:I79"/>
    <mergeCell ref="H81:I90"/>
    <mergeCell ref="B35:H35"/>
    <mergeCell ref="B46:H46"/>
    <mergeCell ref="B47:H47"/>
    <mergeCell ref="B58:H58"/>
    <mergeCell ref="B69:H69"/>
    <mergeCell ref="B80:H80"/>
    <mergeCell ref="B91:H91"/>
    <mergeCell ref="H92:I101"/>
    <mergeCell ref="H103:I112"/>
    <mergeCell ref="H114:I123"/>
    <mergeCell ref="H125:I134"/>
    <mergeCell ref="H136:I145"/>
    <mergeCell ref="H147:I156"/>
    <mergeCell ref="H158:I167"/>
    <mergeCell ref="B179:H179"/>
    <mergeCell ref="B180:H180"/>
    <mergeCell ref="B191:H191"/>
    <mergeCell ref="B202:H202"/>
    <mergeCell ref="B213:H213"/>
    <mergeCell ref="A220:A223"/>
    <mergeCell ref="B224:H224"/>
    <mergeCell ref="A231:A234"/>
    <mergeCell ref="B235:H235"/>
    <mergeCell ref="A242:A245"/>
    <mergeCell ref="B246:H246"/>
    <mergeCell ref="A253:A256"/>
    <mergeCell ref="B257:H257"/>
    <mergeCell ref="B268:H268"/>
    <mergeCell ref="A465:A468"/>
    <mergeCell ref="A470:A471"/>
    <mergeCell ref="A476:A479"/>
    <mergeCell ref="A482:A483"/>
    <mergeCell ref="A488:A491"/>
    <mergeCell ref="A493:A494"/>
    <mergeCell ref="A499:A502"/>
    <mergeCell ref="A504:A505"/>
    <mergeCell ref="A510:A513"/>
    <mergeCell ref="A515:A516"/>
    <mergeCell ref="A521:A524"/>
    <mergeCell ref="A526:A527"/>
    <mergeCell ref="A532:A535"/>
    <mergeCell ref="A538:A539"/>
    <mergeCell ref="A544:A547"/>
    <mergeCell ref="A549:A550"/>
    <mergeCell ref="A555:A558"/>
    <mergeCell ref="A560:A561"/>
    <mergeCell ref="A566:A569"/>
    <mergeCell ref="A572:A573"/>
    <mergeCell ref="A578:A581"/>
    <mergeCell ref="A583:A584"/>
    <mergeCell ref="A589:A592"/>
    <mergeCell ref="A594:A595"/>
    <mergeCell ref="A600:A603"/>
    <mergeCell ref="A605:A606"/>
    <mergeCell ref="A611:A614"/>
    <mergeCell ref="A616:A617"/>
    <mergeCell ref="A622:A625"/>
    <mergeCell ref="A628:A629"/>
    <mergeCell ref="A634:A637"/>
    <mergeCell ref="A639:A640"/>
    <mergeCell ref="A645:A648"/>
    <mergeCell ref="A650:A651"/>
    <mergeCell ref="A656:A659"/>
    <mergeCell ref="A700:A703"/>
    <mergeCell ref="A705:A706"/>
    <mergeCell ref="A711:A714"/>
    <mergeCell ref="A716:A717"/>
    <mergeCell ref="A722:A725"/>
    <mergeCell ref="A661:A662"/>
    <mergeCell ref="A667:A670"/>
    <mergeCell ref="A672:A673"/>
    <mergeCell ref="A678:A681"/>
    <mergeCell ref="A683:A684"/>
    <mergeCell ref="A689:A692"/>
    <mergeCell ref="A694:A695"/>
    <mergeCell ref="A169:A170"/>
    <mergeCell ref="A175:A178"/>
    <mergeCell ref="A181:A182"/>
    <mergeCell ref="A187:A190"/>
    <mergeCell ref="A192:A193"/>
    <mergeCell ref="A198:A201"/>
    <mergeCell ref="A203:A204"/>
    <mergeCell ref="A209:A212"/>
    <mergeCell ref="A214:A215"/>
    <mergeCell ref="A225:A226"/>
    <mergeCell ref="A236:A237"/>
    <mergeCell ref="A247:A248"/>
    <mergeCell ref="A258:A259"/>
    <mergeCell ref="A264:A267"/>
    <mergeCell ref="A269:A270"/>
    <mergeCell ref="A275:A278"/>
    <mergeCell ref="A280:A281"/>
    <mergeCell ref="A286:A289"/>
    <mergeCell ref="A292:A293"/>
    <mergeCell ref="A298:A301"/>
    <mergeCell ref="A304:A305"/>
    <mergeCell ref="A310:A313"/>
    <mergeCell ref="A315:A316"/>
    <mergeCell ref="A321:A324"/>
    <mergeCell ref="A326:A327"/>
    <mergeCell ref="A332:A335"/>
    <mergeCell ref="A337:A338"/>
    <mergeCell ref="A343:A346"/>
    <mergeCell ref="A348:A349"/>
    <mergeCell ref="A354:A357"/>
    <mergeCell ref="A359:A360"/>
    <mergeCell ref="A365:A368"/>
    <mergeCell ref="A370:A371"/>
    <mergeCell ref="A376:A379"/>
    <mergeCell ref="A381:A382"/>
    <mergeCell ref="A387:A390"/>
    <mergeCell ref="A392:A393"/>
    <mergeCell ref="A398:A401"/>
    <mergeCell ref="A403:A404"/>
    <mergeCell ref="A409:A412"/>
    <mergeCell ref="A414:A415"/>
    <mergeCell ref="A420:A423"/>
    <mergeCell ref="A425:A426"/>
    <mergeCell ref="A431:A434"/>
    <mergeCell ref="A437:A438"/>
    <mergeCell ref="A443:A446"/>
    <mergeCell ref="A448:A449"/>
    <mergeCell ref="A454:A457"/>
    <mergeCell ref="A459:A460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2193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2194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4)),Dex!$A$2:$C794,3,false),"")</f>
        <v/>
      </c>
      <c r="C3" s="21" t="str">
        <f t="array" ref="C3">iferror(VLOOKUP(INDIRECT(ADDRESS(ROW()+1,COLUMN(), 4)),Dex!$A$2:$C794,3,false),"")</f>
        <v/>
      </c>
      <c r="D3" s="21" t="str">
        <f t="array" ref="D3">iferror(VLOOKUP(INDIRECT(ADDRESS(ROW()+1,COLUMN(), 4)),Dex!$A$2:$C794,3,false),"")</f>
        <v/>
      </c>
      <c r="E3" s="21" t="str">
        <f t="array" ref="E3">iferror(VLOOKUP(INDIRECT(ADDRESS(ROW()+1,COLUMN(), 4)),Dex!$A$2:$C794,3,false),"")</f>
        <v/>
      </c>
      <c r="F3" s="21" t="str">
        <f t="array" ref="F3">iferror(VLOOKUP(INDIRECT(ADDRESS(ROW()+1,COLUMN(), 4)),Dex!$A$2:$C794,3,false),"")</f>
        <v/>
      </c>
      <c r="G3" s="21" t="str">
        <f t="array" ref="G3">iferror(VLOOKUP(INDIRECT(ADDRESS(ROW()+1,COLUMN(), 4)),Dex!$A$2:$C794,3,false),"")</f>
        <v/>
      </c>
      <c r="H3" s="22" t="str">
        <f t="array" ref="H3">iferror(VLOOKUP("TRAINER_PIC_TUBER_M",Sprites!$A$1:$B794,2,false),"")</f>
        <v/>
      </c>
      <c r="I3" s="23"/>
    </row>
    <row r="4">
      <c r="A4" s="24"/>
      <c r="B4" s="25" t="s">
        <v>536</v>
      </c>
      <c r="C4" s="25" t="s">
        <v>261</v>
      </c>
      <c r="D4" s="25" t="s">
        <v>876</v>
      </c>
      <c r="E4" s="25" t="s">
        <v>437</v>
      </c>
      <c r="F4" s="25" t="s">
        <v>82</v>
      </c>
      <c r="G4" s="25" t="s">
        <v>365</v>
      </c>
      <c r="H4" s="26"/>
    </row>
    <row r="5">
      <c r="A5" s="16" t="s">
        <v>1178</v>
      </c>
      <c r="B5" s="27" t="s">
        <v>2187</v>
      </c>
      <c r="C5" s="27" t="s">
        <v>2188</v>
      </c>
      <c r="D5" s="27" t="s">
        <v>2187</v>
      </c>
      <c r="E5" s="27" t="s">
        <v>2188</v>
      </c>
      <c r="F5" s="27" t="s">
        <v>2187</v>
      </c>
      <c r="G5" s="27" t="s">
        <v>2187</v>
      </c>
      <c r="H5" s="26"/>
    </row>
    <row r="6">
      <c r="A6" s="16" t="s">
        <v>1181</v>
      </c>
      <c r="B6" s="28" t="s">
        <v>1417</v>
      </c>
      <c r="C6" s="28" t="s">
        <v>1838</v>
      </c>
      <c r="D6" s="28" t="s">
        <v>2195</v>
      </c>
      <c r="E6" s="28" t="s">
        <v>1434</v>
      </c>
      <c r="F6" s="28" t="s">
        <v>1295</v>
      </c>
      <c r="G6" s="28" t="s">
        <v>1209</v>
      </c>
      <c r="H6" s="26"/>
    </row>
    <row r="7">
      <c r="A7" s="16" t="s">
        <v>1182</v>
      </c>
      <c r="B7" s="21" t="s">
        <v>1614</v>
      </c>
      <c r="C7" s="21" t="s">
        <v>2004</v>
      </c>
      <c r="D7" s="21" t="s">
        <v>1602</v>
      </c>
      <c r="E7" s="21" t="s">
        <v>2132</v>
      </c>
      <c r="F7" s="21" t="s">
        <v>1211</v>
      </c>
      <c r="G7" s="21" t="s">
        <v>1223</v>
      </c>
      <c r="H7" s="26"/>
    </row>
    <row r="8">
      <c r="A8" s="16" t="s">
        <v>1186</v>
      </c>
      <c r="B8" s="28" t="s">
        <v>1249</v>
      </c>
      <c r="C8" s="28" t="s">
        <v>1235</v>
      </c>
      <c r="D8" s="28" t="s">
        <v>1284</v>
      </c>
      <c r="E8" s="28" t="s">
        <v>1235</v>
      </c>
      <c r="F8" s="28" t="s">
        <v>1284</v>
      </c>
      <c r="G8" s="28" t="s">
        <v>1235</v>
      </c>
      <c r="H8" s="26"/>
    </row>
    <row r="9">
      <c r="A9" s="20" t="s">
        <v>1188</v>
      </c>
      <c r="B9" s="21" t="s">
        <v>1817</v>
      </c>
      <c r="C9" s="21" t="s">
        <v>1372</v>
      </c>
      <c r="D9" s="21" t="s">
        <v>1724</v>
      </c>
      <c r="E9" s="21" t="s">
        <v>1803</v>
      </c>
      <c r="F9" s="21" t="s">
        <v>1778</v>
      </c>
      <c r="G9" s="21" t="s">
        <v>1834</v>
      </c>
      <c r="H9" s="26"/>
    </row>
    <row r="10">
      <c r="A10" s="29"/>
      <c r="B10" s="21" t="s">
        <v>1468</v>
      </c>
      <c r="C10" s="21" t="s">
        <v>1817</v>
      </c>
      <c r="D10" s="21" t="s">
        <v>1605</v>
      </c>
      <c r="E10" s="21" t="s">
        <v>1466</v>
      </c>
      <c r="F10" s="21" t="s">
        <v>1311</v>
      </c>
      <c r="G10" s="21" t="s">
        <v>1630</v>
      </c>
      <c r="H10" s="26"/>
    </row>
    <row r="11">
      <c r="A11" s="29"/>
      <c r="B11" s="21" t="s">
        <v>1307</v>
      </c>
      <c r="C11" s="21" t="s">
        <v>1236</v>
      </c>
      <c r="D11" s="21" t="s">
        <v>1652</v>
      </c>
      <c r="E11" s="21" t="s">
        <v>1177</v>
      </c>
      <c r="F11" s="21" t="s">
        <v>1771</v>
      </c>
      <c r="G11" s="21" t="s">
        <v>1677</v>
      </c>
      <c r="H11" s="26"/>
    </row>
    <row r="12">
      <c r="A12" s="24"/>
      <c r="B12" s="21" t="s">
        <v>1968</v>
      </c>
      <c r="C12" s="21" t="s">
        <v>1323</v>
      </c>
      <c r="D12" s="21" t="s">
        <v>2196</v>
      </c>
      <c r="E12" s="21" t="s">
        <v>1177</v>
      </c>
      <c r="F12" s="21" t="s">
        <v>1959</v>
      </c>
      <c r="G12" s="21" t="s">
        <v>1641</v>
      </c>
      <c r="H12" s="30"/>
      <c r="I12" s="14"/>
    </row>
    <row r="13">
      <c r="A13" s="16" t="s">
        <v>1174</v>
      </c>
      <c r="B13" s="17" t="s">
        <v>2197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4)),Dex!$A$2:$C794,3,false),"")</f>
        <v/>
      </c>
      <c r="C14" s="21" t="str">
        <f t="array" ref="C14">iferror(VLOOKUP(INDIRECT(ADDRESS(ROW()+1,COLUMN(), 4)),Dex!$A$2:$C794,3,false),"")</f>
        <v/>
      </c>
      <c r="D14" s="21" t="str">
        <f t="array" ref="D14">iferror(VLOOKUP(INDIRECT(ADDRESS(ROW()+1,COLUMN(), 4)),Dex!$A$2:$C794,3,false),"")</f>
        <v/>
      </c>
      <c r="E14" s="21" t="str">
        <f t="array" ref="E14">iferror(VLOOKUP(INDIRECT(ADDRESS(ROW()+1,COLUMN(), 4)),Dex!$A$2:$C794,3,false),"")</f>
        <v/>
      </c>
      <c r="F14" s="21" t="str">
        <f t="array" ref="F14">iferror(VLOOKUP(INDIRECT(ADDRESS(ROW()+1,COLUMN(), 4)),Dex!$A$2:$C794,3,false),"")</f>
        <v/>
      </c>
      <c r="G14" s="21" t="str">
        <f t="array" ref="G14">iferror(VLOOKUP(INDIRECT(ADDRESS(ROW()+1,COLUMN(), 4)),Dex!$A$2:$C794,3,false),"")</f>
        <v/>
      </c>
      <c r="H14" s="22" t="str">
        <f t="array" ref="H14">iferror(VLOOKUP("TRAINER_PIC_BEAUTY",Sprites!$A$1:$B794,2,false),"")</f>
        <v/>
      </c>
      <c r="I14" s="23"/>
    </row>
    <row r="15">
      <c r="A15" s="24"/>
      <c r="B15" s="25" t="s">
        <v>52</v>
      </c>
      <c r="C15" s="25" t="s">
        <v>195</v>
      </c>
      <c r="D15" s="25" t="s">
        <v>452</v>
      </c>
      <c r="E15" s="25" t="s">
        <v>917</v>
      </c>
      <c r="F15" s="25" t="s">
        <v>994</v>
      </c>
      <c r="G15" s="25" t="s">
        <v>958</v>
      </c>
      <c r="H15" s="26"/>
    </row>
    <row r="16">
      <c r="A16" s="16" t="s">
        <v>1178</v>
      </c>
      <c r="B16" s="27" t="s">
        <v>2187</v>
      </c>
      <c r="C16" s="27" t="s">
        <v>2187</v>
      </c>
      <c r="D16" s="27" t="s">
        <v>2187</v>
      </c>
      <c r="E16" s="27" t="s">
        <v>2187</v>
      </c>
      <c r="F16" s="27" t="s">
        <v>2187</v>
      </c>
      <c r="G16" s="27" t="s">
        <v>2187</v>
      </c>
      <c r="H16" s="26"/>
    </row>
    <row r="17">
      <c r="A17" s="16" t="s">
        <v>1181</v>
      </c>
      <c r="B17" s="28" t="s">
        <v>1346</v>
      </c>
      <c r="C17" s="28" t="s">
        <v>1295</v>
      </c>
      <c r="D17" s="28" t="s">
        <v>1295</v>
      </c>
      <c r="E17" s="28" t="s">
        <v>1295</v>
      </c>
      <c r="F17" s="28" t="s">
        <v>1962</v>
      </c>
      <c r="G17" s="28" t="s">
        <v>1435</v>
      </c>
      <c r="H17" s="26"/>
    </row>
    <row r="18">
      <c r="A18" s="16" t="s">
        <v>1182</v>
      </c>
      <c r="B18" s="21" t="s">
        <v>1938</v>
      </c>
      <c r="C18" s="21" t="s">
        <v>1231</v>
      </c>
      <c r="D18" s="21" t="s">
        <v>2094</v>
      </c>
      <c r="E18" s="21" t="s">
        <v>1648</v>
      </c>
      <c r="F18" s="21" t="s">
        <v>1681</v>
      </c>
      <c r="G18" s="21" t="s">
        <v>1753</v>
      </c>
      <c r="H18" s="26"/>
    </row>
    <row r="19">
      <c r="A19" s="16" t="s">
        <v>1186</v>
      </c>
      <c r="B19" s="28" t="s">
        <v>1257</v>
      </c>
      <c r="C19" s="28" t="s">
        <v>1257</v>
      </c>
      <c r="D19" s="28" t="s">
        <v>1383</v>
      </c>
      <c r="E19" s="28" t="s">
        <v>1257</v>
      </c>
      <c r="F19" s="28" t="s">
        <v>1235</v>
      </c>
      <c r="G19" s="28" t="s">
        <v>1235</v>
      </c>
      <c r="H19" s="26"/>
    </row>
    <row r="20">
      <c r="A20" s="20" t="s">
        <v>1188</v>
      </c>
      <c r="B20" s="21" t="s">
        <v>2198</v>
      </c>
      <c r="C20" s="21" t="s">
        <v>1835</v>
      </c>
      <c r="D20" s="21" t="s">
        <v>1817</v>
      </c>
      <c r="E20" s="21" t="s">
        <v>1695</v>
      </c>
      <c r="F20" s="21" t="s">
        <v>1817</v>
      </c>
      <c r="G20" s="21" t="s">
        <v>1983</v>
      </c>
      <c r="H20" s="26"/>
    </row>
    <row r="21">
      <c r="A21" s="29"/>
      <c r="B21" s="21" t="s">
        <v>1618</v>
      </c>
      <c r="C21" s="21" t="s">
        <v>1724</v>
      </c>
      <c r="D21" s="21" t="s">
        <v>1452</v>
      </c>
      <c r="E21" s="21" t="s">
        <v>1261</v>
      </c>
      <c r="F21" s="21" t="s">
        <v>1741</v>
      </c>
      <c r="G21" s="21" t="s">
        <v>1998</v>
      </c>
      <c r="H21" s="26"/>
    </row>
    <row r="22">
      <c r="A22" s="29"/>
      <c r="B22" s="21" t="s">
        <v>1322</v>
      </c>
      <c r="C22" s="21" t="s">
        <v>1389</v>
      </c>
      <c r="D22" s="21" t="s">
        <v>1818</v>
      </c>
      <c r="E22" s="21" t="s">
        <v>1698</v>
      </c>
      <c r="F22" s="21" t="s">
        <v>1594</v>
      </c>
      <c r="G22" s="21" t="s">
        <v>1307</v>
      </c>
      <c r="H22" s="26"/>
    </row>
    <row r="23">
      <c r="A23" s="24"/>
      <c r="B23" s="21" t="s">
        <v>1854</v>
      </c>
      <c r="C23" s="21" t="s">
        <v>2142</v>
      </c>
      <c r="D23" s="21" t="s">
        <v>1473</v>
      </c>
      <c r="E23" s="21" t="s">
        <v>1389</v>
      </c>
      <c r="F23" s="21" t="s">
        <v>1888</v>
      </c>
      <c r="G23" s="21" t="s">
        <v>1440</v>
      </c>
      <c r="H23" s="30"/>
      <c r="I23" s="14"/>
    </row>
    <row r="24">
      <c r="A24" s="16" t="s">
        <v>1174</v>
      </c>
      <c r="B24" s="17" t="s">
        <v>2199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4)),Dex!$A$2:$C794,3,false),"")</f>
        <v/>
      </c>
      <c r="C25" s="21" t="str">
        <f t="array" ref="C25">iferror(VLOOKUP(INDIRECT(ADDRESS(ROW()+1,COLUMN(), 4)),Dex!$A$2:$C794,3,false),"")</f>
        <v/>
      </c>
      <c r="D25" s="21" t="str">
        <f t="array" ref="D25">iferror(VLOOKUP(INDIRECT(ADDRESS(ROW()+1,COLUMN(), 4)),Dex!$A$2:$C794,3,false),"")</f>
        <v/>
      </c>
      <c r="E25" s="21" t="str">
        <f t="array" ref="E25">iferror(VLOOKUP(INDIRECT(ADDRESS(ROW()+1,COLUMN(), 4)),Dex!$A$2:$C794,3,false),"")</f>
        <v/>
      </c>
      <c r="F25" s="21" t="str">
        <f t="array" ref="F25">iferror(VLOOKUP(INDIRECT(ADDRESS(ROW()+1,COLUMN(), 4)),Dex!$A$2:$C794,3,false),"")</f>
        <v/>
      </c>
      <c r="G25" s="21" t="str">
        <f t="array" ref="G25">iferror(VLOOKUP(INDIRECT(ADDRESS(ROW()+1,COLUMN(), 4)),Dex!$A$2:$C794,3,false),"")</f>
        <v/>
      </c>
      <c r="H25" s="22" t="str">
        <f t="array" ref="H25">iferror(VLOOKUP("TRAINER_PIC_SAILOR",Sprites!$A$1:$B794,2,false),"")</f>
        <v/>
      </c>
      <c r="I25" s="23"/>
    </row>
    <row r="26">
      <c r="A26" s="24"/>
      <c r="B26" s="25" t="s">
        <v>867</v>
      </c>
      <c r="C26" s="25" t="s">
        <v>193</v>
      </c>
      <c r="D26" s="25" t="s">
        <v>863</v>
      </c>
      <c r="E26" s="25" t="s">
        <v>418</v>
      </c>
      <c r="F26" s="25" t="s">
        <v>416</v>
      </c>
      <c r="G26" s="25" t="s">
        <v>101</v>
      </c>
      <c r="H26" s="26"/>
    </row>
    <row r="27">
      <c r="A27" s="16" t="s">
        <v>1178</v>
      </c>
      <c r="B27" s="27" t="s">
        <v>2187</v>
      </c>
      <c r="C27" s="27" t="s">
        <v>2187</v>
      </c>
      <c r="D27" s="27" t="s">
        <v>2187</v>
      </c>
      <c r="E27" s="27" t="s">
        <v>2187</v>
      </c>
      <c r="F27" s="27" t="s">
        <v>2200</v>
      </c>
      <c r="G27" s="27" t="s">
        <v>2200</v>
      </c>
      <c r="H27" s="26"/>
    </row>
    <row r="28">
      <c r="A28" s="16" t="s">
        <v>1181</v>
      </c>
      <c r="B28" s="28" t="s">
        <v>1209</v>
      </c>
      <c r="C28" s="28" t="s">
        <v>2201</v>
      </c>
      <c r="D28" s="28" t="s">
        <v>1572</v>
      </c>
      <c r="E28" s="28" t="s">
        <v>2139</v>
      </c>
      <c r="F28" s="28" t="s">
        <v>1703</v>
      </c>
      <c r="G28" s="28" t="s">
        <v>2202</v>
      </c>
      <c r="H28" s="26"/>
    </row>
    <row r="29">
      <c r="A29" s="16" t="s">
        <v>1182</v>
      </c>
      <c r="B29" s="21" t="s">
        <v>2100</v>
      </c>
      <c r="C29" s="21" t="s">
        <v>1298</v>
      </c>
      <c r="D29" s="21" t="s">
        <v>1573</v>
      </c>
      <c r="E29" s="21" t="s">
        <v>1233</v>
      </c>
      <c r="F29" s="21" t="s">
        <v>1299</v>
      </c>
      <c r="G29" s="21" t="s">
        <v>1971</v>
      </c>
      <c r="H29" s="26"/>
    </row>
    <row r="30">
      <c r="A30" s="16" t="s">
        <v>1186</v>
      </c>
      <c r="B30" s="28" t="s">
        <v>1447</v>
      </c>
      <c r="C30" s="28" t="s">
        <v>1248</v>
      </c>
      <c r="D30" s="28" t="s">
        <v>1235</v>
      </c>
      <c r="E30" s="28" t="s">
        <v>1465</v>
      </c>
      <c r="F30" s="28" t="s">
        <v>1406</v>
      </c>
      <c r="G30" s="28" t="s">
        <v>1235</v>
      </c>
      <c r="H30" s="26"/>
    </row>
    <row r="31">
      <c r="A31" s="20" t="s">
        <v>1188</v>
      </c>
      <c r="B31" s="21" t="s">
        <v>1272</v>
      </c>
      <c r="C31" s="21" t="s">
        <v>1834</v>
      </c>
      <c r="D31" s="21" t="s">
        <v>1678</v>
      </c>
      <c r="E31" s="21" t="s">
        <v>1251</v>
      </c>
      <c r="F31" s="21" t="s">
        <v>1814</v>
      </c>
      <c r="G31" s="21" t="s">
        <v>1972</v>
      </c>
      <c r="H31" s="26"/>
    </row>
    <row r="32">
      <c r="A32" s="29"/>
      <c r="B32" s="21" t="s">
        <v>1828</v>
      </c>
      <c r="C32" s="21" t="s">
        <v>1677</v>
      </c>
      <c r="D32" s="21" t="s">
        <v>1683</v>
      </c>
      <c r="E32" s="21" t="s">
        <v>1890</v>
      </c>
      <c r="F32" s="21" t="s">
        <v>1830</v>
      </c>
      <c r="G32" s="21" t="s">
        <v>1678</v>
      </c>
      <c r="H32" s="26"/>
    </row>
    <row r="33">
      <c r="A33" s="29"/>
      <c r="B33" s="21" t="s">
        <v>1739</v>
      </c>
      <c r="C33" s="21" t="s">
        <v>1993</v>
      </c>
      <c r="D33" s="21" t="s">
        <v>1682</v>
      </c>
      <c r="E33" s="21" t="s">
        <v>1874</v>
      </c>
      <c r="F33" s="21" t="s">
        <v>1677</v>
      </c>
      <c r="G33" s="21" t="s">
        <v>1749</v>
      </c>
      <c r="H33" s="26"/>
    </row>
    <row r="34">
      <c r="A34" s="24"/>
      <c r="B34" s="21" t="s">
        <v>1236</v>
      </c>
      <c r="C34" s="21" t="s">
        <v>1262</v>
      </c>
      <c r="D34" s="21" t="s">
        <v>2019</v>
      </c>
      <c r="E34" s="21" t="s">
        <v>1924</v>
      </c>
      <c r="F34" s="21" t="s">
        <v>1761</v>
      </c>
      <c r="G34" s="21" t="s">
        <v>1307</v>
      </c>
      <c r="H34" s="30"/>
      <c r="I34" s="14"/>
    </row>
    <row r="35">
      <c r="A35" s="37"/>
      <c r="B35" s="38" t="s">
        <v>2203</v>
      </c>
      <c r="C35" s="14"/>
      <c r="D35" s="14"/>
      <c r="E35" s="14"/>
      <c r="F35" s="14"/>
      <c r="G35" s="14"/>
      <c r="H35" s="24"/>
      <c r="I35" s="33"/>
    </row>
    <row r="36">
      <c r="A36" s="16" t="s">
        <v>1174</v>
      </c>
      <c r="B36" s="17" t="s">
        <v>2204</v>
      </c>
      <c r="C36" s="18"/>
      <c r="D36" s="18"/>
      <c r="E36" s="18"/>
      <c r="F36" s="18"/>
      <c r="G36" s="18"/>
      <c r="H36" s="18"/>
      <c r="I36" s="16"/>
    </row>
    <row r="37" ht="60.0" customHeight="1">
      <c r="A37" s="20" t="s">
        <v>1176</v>
      </c>
      <c r="B37" s="21" t="str">
        <f t="array" ref="B37">iferror(VLOOKUP(INDIRECT(ADDRESS(ROW()+1,COLUMN(), 4)),Dex!$A$2:$C794,3,false),"")</f>
        <v/>
      </c>
      <c r="C37" s="21" t="str">
        <f t="array" ref="C37">iferror(VLOOKUP(INDIRECT(ADDRESS(ROW()+1,COLUMN(), 4)),Dex!$A$2:$C794,3,false),"")</f>
        <v/>
      </c>
      <c r="D37" s="21" t="s">
        <v>1177</v>
      </c>
      <c r="E37" s="21" t="s">
        <v>1177</v>
      </c>
      <c r="F37" s="21" t="s">
        <v>1177</v>
      </c>
      <c r="G37" s="21" t="s">
        <v>1177</v>
      </c>
      <c r="H37" s="22" t="str">
        <f t="array" ref="H37">iferror(VLOOKUP("TRAINER_PIC_SWIMMER_F",Sprites!$A$1:$B794,2,false),"")</f>
        <v/>
      </c>
      <c r="I37" s="23"/>
    </row>
    <row r="38">
      <c r="A38" s="24"/>
      <c r="B38" s="25" t="s">
        <v>578</v>
      </c>
      <c r="C38" s="25" t="s">
        <v>994</v>
      </c>
      <c r="D38" s="25" t="s">
        <v>1177</v>
      </c>
      <c r="E38" s="25" t="s">
        <v>1177</v>
      </c>
      <c r="F38" s="25" t="s">
        <v>1177</v>
      </c>
      <c r="G38" s="25" t="s">
        <v>1177</v>
      </c>
      <c r="H38" s="26"/>
    </row>
    <row r="39">
      <c r="A39" s="16" t="s">
        <v>1178</v>
      </c>
      <c r="B39" s="27" t="s">
        <v>2107</v>
      </c>
      <c r="C39" s="27" t="s">
        <v>2107</v>
      </c>
      <c r="D39" s="21" t="s">
        <v>1177</v>
      </c>
      <c r="E39" s="21" t="s">
        <v>1177</v>
      </c>
      <c r="F39" s="21" t="s">
        <v>1177</v>
      </c>
      <c r="G39" s="21" t="s">
        <v>1177</v>
      </c>
      <c r="H39" s="26"/>
    </row>
    <row r="40">
      <c r="A40" s="16" t="s">
        <v>1181</v>
      </c>
      <c r="B40" s="28" t="s">
        <v>1177</v>
      </c>
      <c r="C40" s="28" t="s">
        <v>1177</v>
      </c>
      <c r="D40" s="28" t="s">
        <v>1177</v>
      </c>
      <c r="E40" s="28" t="s">
        <v>1177</v>
      </c>
      <c r="F40" s="28" t="s">
        <v>1177</v>
      </c>
      <c r="G40" s="28" t="s">
        <v>1177</v>
      </c>
      <c r="H40" s="26"/>
    </row>
    <row r="41">
      <c r="A41" s="16" t="s">
        <v>1182</v>
      </c>
      <c r="B41" s="21" t="s">
        <v>1212</v>
      </c>
      <c r="C41" s="21" t="s">
        <v>2070</v>
      </c>
      <c r="D41" s="21" t="s">
        <v>1177</v>
      </c>
      <c r="E41" s="21" t="s">
        <v>1177</v>
      </c>
      <c r="F41" s="21" t="s">
        <v>1177</v>
      </c>
      <c r="G41" s="21" t="s">
        <v>1177</v>
      </c>
      <c r="H41" s="26"/>
    </row>
    <row r="42">
      <c r="A42" s="16" t="s">
        <v>1186</v>
      </c>
      <c r="B42" s="28" t="s">
        <v>1187</v>
      </c>
      <c r="C42" s="28" t="s">
        <v>1187</v>
      </c>
      <c r="D42" s="28" t="s">
        <v>1177</v>
      </c>
      <c r="E42" s="28" t="s">
        <v>1177</v>
      </c>
      <c r="F42" s="28" t="s">
        <v>1177</v>
      </c>
      <c r="G42" s="28" t="s">
        <v>1177</v>
      </c>
      <c r="H42" s="26"/>
    </row>
    <row r="43">
      <c r="A43" s="20" t="s">
        <v>1188</v>
      </c>
      <c r="B43" s="21" t="s">
        <v>1177</v>
      </c>
      <c r="C43" s="21" t="s">
        <v>1177</v>
      </c>
      <c r="D43" s="21" t="s">
        <v>1177</v>
      </c>
      <c r="E43" s="21" t="s">
        <v>1177</v>
      </c>
      <c r="F43" s="21" t="s">
        <v>1177</v>
      </c>
      <c r="G43" s="21" t="s">
        <v>1177</v>
      </c>
      <c r="H43" s="26"/>
    </row>
    <row r="44">
      <c r="A44" s="29"/>
      <c r="B44" s="21" t="s">
        <v>1177</v>
      </c>
      <c r="C44" s="21" t="s">
        <v>1177</v>
      </c>
      <c r="D44" s="21" t="s">
        <v>1177</v>
      </c>
      <c r="E44" s="21" t="s">
        <v>1177</v>
      </c>
      <c r="F44" s="21" t="s">
        <v>1177</v>
      </c>
      <c r="G44" s="21" t="s">
        <v>1177</v>
      </c>
      <c r="H44" s="26"/>
    </row>
    <row r="45">
      <c r="A45" s="29"/>
      <c r="B45" s="21" t="s">
        <v>1177</v>
      </c>
      <c r="C45" s="21" t="s">
        <v>1177</v>
      </c>
      <c r="D45" s="21" t="s">
        <v>1177</v>
      </c>
      <c r="E45" s="21" t="s">
        <v>1177</v>
      </c>
      <c r="F45" s="21" t="s">
        <v>1177</v>
      </c>
      <c r="G45" s="21" t="s">
        <v>1177</v>
      </c>
      <c r="H45" s="26"/>
    </row>
    <row r="46">
      <c r="A46" s="24"/>
      <c r="B46" s="21" t="s">
        <v>1177</v>
      </c>
      <c r="C46" s="21" t="s">
        <v>1177</v>
      </c>
      <c r="D46" s="21" t="s">
        <v>1177</v>
      </c>
      <c r="E46" s="21" t="s">
        <v>1177</v>
      </c>
      <c r="F46" s="21" t="s">
        <v>1177</v>
      </c>
      <c r="G46" s="21" t="s">
        <v>1177</v>
      </c>
      <c r="H46" s="30"/>
      <c r="I46" s="14"/>
    </row>
    <row r="47">
      <c r="A47" s="16" t="s">
        <v>1174</v>
      </c>
      <c r="B47" s="17" t="s">
        <v>2205</v>
      </c>
      <c r="C47" s="18"/>
      <c r="D47" s="18"/>
      <c r="E47" s="18"/>
      <c r="F47" s="18"/>
      <c r="G47" s="18"/>
      <c r="H47" s="18"/>
      <c r="I47" s="16"/>
    </row>
    <row r="48" ht="60.0" customHeight="1">
      <c r="A48" s="20" t="s">
        <v>1176</v>
      </c>
      <c r="B48" s="21" t="str">
        <f t="array" ref="B48">iferror(VLOOKUP(INDIRECT(ADDRESS(ROW()+1,COLUMN(), 4)),Dex!$A$2:$C794,3,false),"")</f>
        <v/>
      </c>
      <c r="C48" s="21" t="str">
        <f t="array" ref="C48">iferror(VLOOKUP(INDIRECT(ADDRESS(ROW()+1,COLUMN(), 4)),Dex!$A$2:$C794,3,false),"")</f>
        <v/>
      </c>
      <c r="D48" s="21" t="s">
        <v>1177</v>
      </c>
      <c r="E48" s="21" t="s">
        <v>1177</v>
      </c>
      <c r="F48" s="21" t="s">
        <v>1177</v>
      </c>
      <c r="G48" s="21" t="s">
        <v>1177</v>
      </c>
      <c r="H48" s="22" t="str">
        <f t="array" ref="H48">iferror(VLOOKUP("TRAINER_PIC_SWIMMER_M",Sprites!$A$1:$B794,2,false),"")</f>
        <v/>
      </c>
      <c r="I48" s="23"/>
    </row>
    <row r="49">
      <c r="A49" s="24"/>
      <c r="B49" s="25" t="s">
        <v>1085</v>
      </c>
      <c r="C49" s="25" t="s">
        <v>421</v>
      </c>
      <c r="D49" s="25" t="s">
        <v>1177</v>
      </c>
      <c r="E49" s="25" t="s">
        <v>1177</v>
      </c>
      <c r="F49" s="25" t="s">
        <v>1177</v>
      </c>
      <c r="G49" s="25" t="s">
        <v>1177</v>
      </c>
      <c r="H49" s="26"/>
    </row>
    <row r="50">
      <c r="A50" s="16" t="s">
        <v>1178</v>
      </c>
      <c r="B50" s="27" t="s">
        <v>2107</v>
      </c>
      <c r="C50" s="27" t="s">
        <v>2107</v>
      </c>
      <c r="D50" s="21" t="s">
        <v>1177</v>
      </c>
      <c r="E50" s="21" t="s">
        <v>1177</v>
      </c>
      <c r="F50" s="21" t="s">
        <v>1177</v>
      </c>
      <c r="G50" s="21" t="s">
        <v>1177</v>
      </c>
      <c r="H50" s="26"/>
    </row>
    <row r="51">
      <c r="A51" s="16" t="s">
        <v>1181</v>
      </c>
      <c r="B51" s="28" t="s">
        <v>1177</v>
      </c>
      <c r="C51" s="28" t="s">
        <v>1177</v>
      </c>
      <c r="D51" s="28" t="s">
        <v>1177</v>
      </c>
      <c r="E51" s="28" t="s">
        <v>1177</v>
      </c>
      <c r="F51" s="28" t="s">
        <v>1177</v>
      </c>
      <c r="G51" s="28" t="s">
        <v>1177</v>
      </c>
      <c r="H51" s="26"/>
    </row>
    <row r="52">
      <c r="A52" s="16" t="s">
        <v>1182</v>
      </c>
      <c r="B52" s="21" t="s">
        <v>1212</v>
      </c>
      <c r="C52" s="21" t="s">
        <v>1614</v>
      </c>
      <c r="D52" s="21" t="s">
        <v>1177</v>
      </c>
      <c r="E52" s="21" t="s">
        <v>1177</v>
      </c>
      <c r="F52" s="21" t="s">
        <v>1177</v>
      </c>
      <c r="G52" s="21" t="s">
        <v>1177</v>
      </c>
      <c r="H52" s="26"/>
    </row>
    <row r="53">
      <c r="A53" s="16" t="s">
        <v>1186</v>
      </c>
      <c r="B53" s="28" t="s">
        <v>1187</v>
      </c>
      <c r="C53" s="28" t="s">
        <v>1187</v>
      </c>
      <c r="D53" s="28" t="s">
        <v>1177</v>
      </c>
      <c r="E53" s="28" t="s">
        <v>1177</v>
      </c>
      <c r="F53" s="28" t="s">
        <v>1177</v>
      </c>
      <c r="G53" s="28" t="s">
        <v>1177</v>
      </c>
      <c r="H53" s="26"/>
    </row>
    <row r="54">
      <c r="A54" s="20" t="s">
        <v>1188</v>
      </c>
      <c r="B54" s="21" t="s">
        <v>1177</v>
      </c>
      <c r="C54" s="21" t="s">
        <v>1177</v>
      </c>
      <c r="D54" s="21" t="s">
        <v>1177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1177</v>
      </c>
      <c r="C55" s="21" t="s">
        <v>1177</v>
      </c>
      <c r="D55" s="21" t="s">
        <v>1177</v>
      </c>
      <c r="E55" s="21" t="s">
        <v>1177</v>
      </c>
      <c r="F55" s="21" t="s">
        <v>1177</v>
      </c>
      <c r="G55" s="21" t="s">
        <v>1177</v>
      </c>
      <c r="H55" s="26"/>
    </row>
    <row r="56">
      <c r="A56" s="29"/>
      <c r="B56" s="21" t="s">
        <v>1177</v>
      </c>
      <c r="C56" s="21" t="s">
        <v>1177</v>
      </c>
      <c r="D56" s="21" t="s">
        <v>1177</v>
      </c>
      <c r="E56" s="21" t="s">
        <v>1177</v>
      </c>
      <c r="F56" s="21" t="s">
        <v>1177</v>
      </c>
      <c r="G56" s="21" t="s">
        <v>1177</v>
      </c>
      <c r="H56" s="26"/>
    </row>
    <row r="57">
      <c r="A57" s="24"/>
      <c r="B57" s="21" t="s">
        <v>1177</v>
      </c>
      <c r="C57" s="21" t="s">
        <v>1177</v>
      </c>
      <c r="D57" s="21" t="s">
        <v>1177</v>
      </c>
      <c r="E57" s="21" t="s">
        <v>1177</v>
      </c>
      <c r="F57" s="21" t="s">
        <v>1177</v>
      </c>
      <c r="G57" s="21" t="s">
        <v>1177</v>
      </c>
      <c r="H57" s="30"/>
      <c r="I57" s="14"/>
    </row>
    <row r="58">
      <c r="A58" s="16" t="s">
        <v>1174</v>
      </c>
      <c r="B58" s="17" t="s">
        <v>2206</v>
      </c>
      <c r="C58" s="18"/>
      <c r="D58" s="18"/>
      <c r="E58" s="18"/>
      <c r="F58" s="18"/>
      <c r="G58" s="18"/>
      <c r="H58" s="18"/>
      <c r="I58" s="16"/>
    </row>
    <row r="59" ht="60.0" customHeight="1">
      <c r="A59" s="20" t="s">
        <v>1176</v>
      </c>
      <c r="B59" s="21" t="str">
        <f t="array" ref="B59">iferror(VLOOKUP(INDIRECT(ADDRESS(ROW()+1,COLUMN(), 4)),Dex!$A$2:$C794,3,false),"")</f>
        <v/>
      </c>
      <c r="C59" s="21" t="str">
        <f t="array" ref="C59">iferror(VLOOKUP(INDIRECT(ADDRESS(ROW()+1,COLUMN(), 4)),Dex!$A$2:$C794,3,false),"")</f>
        <v/>
      </c>
      <c r="D59" s="21" t="str">
        <f t="array" ref="D59">iferror(VLOOKUP(INDIRECT(ADDRESS(ROW()+1,COLUMN(), 4)),Dex!$A$2:$C794,3,false),"")</f>
        <v/>
      </c>
      <c r="E59" s="21" t="s">
        <v>1177</v>
      </c>
      <c r="F59" s="21" t="s">
        <v>1177</v>
      </c>
      <c r="G59" s="21" t="s">
        <v>1177</v>
      </c>
      <c r="H59" s="22" t="str">
        <f t="array" ref="H59">iferror(VLOOKUP("TRAINER_PIC_RUIN_MANIAC",Sprites!$A$1:$B794,2,false),"")</f>
        <v/>
      </c>
      <c r="I59" s="23"/>
    </row>
    <row r="60">
      <c r="A60" s="24"/>
      <c r="B60" s="25" t="s">
        <v>1054</v>
      </c>
      <c r="C60" s="25" t="s">
        <v>541</v>
      </c>
      <c r="D60" s="25" t="s">
        <v>156</v>
      </c>
      <c r="E60" s="25" t="s">
        <v>1177</v>
      </c>
      <c r="F60" s="25" t="s">
        <v>1177</v>
      </c>
      <c r="G60" s="25" t="s">
        <v>1177</v>
      </c>
      <c r="H60" s="26"/>
    </row>
    <row r="61">
      <c r="A61" s="16" t="s">
        <v>1178</v>
      </c>
      <c r="B61" s="27" t="s">
        <v>2107</v>
      </c>
      <c r="C61" s="27" t="s">
        <v>2107</v>
      </c>
      <c r="D61" s="27" t="s">
        <v>2107</v>
      </c>
      <c r="E61" s="21" t="s">
        <v>1177</v>
      </c>
      <c r="F61" s="21" t="s">
        <v>1177</v>
      </c>
      <c r="G61" s="21" t="s">
        <v>1177</v>
      </c>
      <c r="H61" s="26"/>
    </row>
    <row r="62">
      <c r="A62" s="16" t="s">
        <v>1181</v>
      </c>
      <c r="B62" s="28" t="s">
        <v>1177</v>
      </c>
      <c r="C62" s="28" t="s">
        <v>1177</v>
      </c>
      <c r="D62" s="28" t="s">
        <v>1177</v>
      </c>
      <c r="E62" s="28" t="s">
        <v>1177</v>
      </c>
      <c r="F62" s="28" t="s">
        <v>1177</v>
      </c>
      <c r="G62" s="28" t="s">
        <v>1177</v>
      </c>
      <c r="H62" s="26"/>
    </row>
    <row r="63">
      <c r="A63" s="16" t="s">
        <v>1182</v>
      </c>
      <c r="B63" s="21" t="s">
        <v>1798</v>
      </c>
      <c r="C63" s="21" t="s">
        <v>1461</v>
      </c>
      <c r="D63" s="21" t="s">
        <v>1268</v>
      </c>
      <c r="E63" s="21" t="s">
        <v>1177</v>
      </c>
      <c r="F63" s="21" t="s">
        <v>1177</v>
      </c>
      <c r="G63" s="21" t="s">
        <v>1177</v>
      </c>
      <c r="H63" s="26"/>
    </row>
    <row r="64">
      <c r="A64" s="16" t="s">
        <v>1186</v>
      </c>
      <c r="B64" s="28" t="s">
        <v>1187</v>
      </c>
      <c r="C64" s="28" t="s">
        <v>1187</v>
      </c>
      <c r="D64" s="28" t="s">
        <v>1187</v>
      </c>
      <c r="E64" s="28" t="s">
        <v>1177</v>
      </c>
      <c r="F64" s="28" t="s">
        <v>1177</v>
      </c>
      <c r="G64" s="28" t="s">
        <v>1177</v>
      </c>
      <c r="H64" s="26"/>
    </row>
    <row r="65">
      <c r="A65" s="20" t="s">
        <v>1188</v>
      </c>
      <c r="B65" s="21" t="s">
        <v>1177</v>
      </c>
      <c r="C65" s="21" t="s">
        <v>1177</v>
      </c>
      <c r="D65" s="21" t="s">
        <v>1177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1177</v>
      </c>
      <c r="C66" s="21" t="s">
        <v>1177</v>
      </c>
      <c r="D66" s="21" t="s">
        <v>1177</v>
      </c>
      <c r="E66" s="21" t="s">
        <v>1177</v>
      </c>
      <c r="F66" s="21" t="s">
        <v>1177</v>
      </c>
      <c r="G66" s="21" t="s">
        <v>1177</v>
      </c>
      <c r="H66" s="26"/>
    </row>
    <row r="67">
      <c r="A67" s="29"/>
      <c r="B67" s="21" t="s">
        <v>1177</v>
      </c>
      <c r="C67" s="21" t="s">
        <v>1177</v>
      </c>
      <c r="D67" s="21" t="s">
        <v>1177</v>
      </c>
      <c r="E67" s="21" t="s">
        <v>1177</v>
      </c>
      <c r="F67" s="21" t="s">
        <v>1177</v>
      </c>
      <c r="G67" s="21" t="s">
        <v>1177</v>
      </c>
      <c r="H67" s="26"/>
    </row>
    <row r="68">
      <c r="A68" s="24"/>
      <c r="B68" s="21" t="s">
        <v>1177</v>
      </c>
      <c r="C68" s="21" t="s">
        <v>1177</v>
      </c>
      <c r="D68" s="21" t="s">
        <v>1177</v>
      </c>
      <c r="E68" s="21" t="s">
        <v>1177</v>
      </c>
      <c r="F68" s="21" t="s">
        <v>1177</v>
      </c>
      <c r="G68" s="21" t="s">
        <v>1177</v>
      </c>
      <c r="H68" s="30"/>
      <c r="I68" s="14"/>
    </row>
    <row r="69">
      <c r="A69" s="16" t="s">
        <v>1174</v>
      </c>
      <c r="B69" s="17" t="s">
        <v>2207</v>
      </c>
      <c r="C69" s="18"/>
      <c r="D69" s="18"/>
      <c r="E69" s="18"/>
      <c r="F69" s="18"/>
      <c r="G69" s="18"/>
      <c r="H69" s="18"/>
      <c r="I69" s="16"/>
    </row>
    <row r="70" ht="60.0" customHeight="1">
      <c r="A70" s="20" t="s">
        <v>1176</v>
      </c>
      <c r="B70" s="21" t="str">
        <f t="array" ref="B70">iferror(VLOOKUP(INDIRECT(ADDRESS(ROW()+1,COLUMN(), 4)),Dex!$A$2:$C794,3,false),"")</f>
        <v/>
      </c>
      <c r="C70" s="21" t="str">
        <f t="array" ref="C70">iferror(VLOOKUP(INDIRECT(ADDRESS(ROW()+1,COLUMN(), 4)),Dex!$A$2:$C794,3,false),"")</f>
        <v/>
      </c>
      <c r="D70" s="21" t="s">
        <v>1177</v>
      </c>
      <c r="E70" s="21" t="s">
        <v>1177</v>
      </c>
      <c r="F70" s="21" t="s">
        <v>1177</v>
      </c>
      <c r="G70" s="21" t="s">
        <v>1177</v>
      </c>
      <c r="H70" s="22" t="str">
        <f t="array" ref="H70">iferror(VLOOKUP("TRAINER_PIC_SWIMMER_F",Sprites!$A$1:$B794,2,false),"")</f>
        <v/>
      </c>
      <c r="I70" s="23"/>
    </row>
    <row r="71">
      <c r="A71" s="24"/>
      <c r="B71" s="25" t="s">
        <v>218</v>
      </c>
      <c r="C71" s="25" t="s">
        <v>218</v>
      </c>
      <c r="D71" s="25" t="s">
        <v>1177</v>
      </c>
      <c r="E71" s="25" t="s">
        <v>1177</v>
      </c>
      <c r="F71" s="25" t="s">
        <v>1177</v>
      </c>
      <c r="G71" s="25" t="s">
        <v>1177</v>
      </c>
      <c r="H71" s="26"/>
    </row>
    <row r="72">
      <c r="A72" s="16" t="s">
        <v>1178</v>
      </c>
      <c r="B72" s="27" t="s">
        <v>2208</v>
      </c>
      <c r="C72" s="27" t="s">
        <v>2208</v>
      </c>
      <c r="D72" s="21" t="s">
        <v>1177</v>
      </c>
      <c r="E72" s="21" t="s">
        <v>1177</v>
      </c>
      <c r="F72" s="21" t="s">
        <v>1177</v>
      </c>
      <c r="G72" s="21" t="s">
        <v>1177</v>
      </c>
      <c r="H72" s="26"/>
    </row>
    <row r="73">
      <c r="A73" s="16" t="s">
        <v>1181</v>
      </c>
      <c r="B73" s="28" t="s">
        <v>1177</v>
      </c>
      <c r="C73" s="28" t="s">
        <v>1177</v>
      </c>
      <c r="D73" s="28" t="s">
        <v>1177</v>
      </c>
      <c r="E73" s="28" t="s">
        <v>1177</v>
      </c>
      <c r="F73" s="28" t="s">
        <v>1177</v>
      </c>
      <c r="G73" s="28" t="s">
        <v>1177</v>
      </c>
      <c r="H73" s="26"/>
    </row>
    <row r="74">
      <c r="A74" s="16" t="s">
        <v>1182</v>
      </c>
      <c r="B74" s="21" t="s">
        <v>1463</v>
      </c>
      <c r="C74" s="21" t="s">
        <v>1463</v>
      </c>
      <c r="D74" s="21" t="s">
        <v>1177</v>
      </c>
      <c r="E74" s="21" t="s">
        <v>1177</v>
      </c>
      <c r="F74" s="21" t="s">
        <v>1177</v>
      </c>
      <c r="G74" s="21" t="s">
        <v>1177</v>
      </c>
      <c r="H74" s="26"/>
    </row>
    <row r="75">
      <c r="A75" s="16" t="s">
        <v>1186</v>
      </c>
      <c r="B75" s="28" t="s">
        <v>1187</v>
      </c>
      <c r="C75" s="28" t="s">
        <v>1187</v>
      </c>
      <c r="D75" s="28" t="s">
        <v>1177</v>
      </c>
      <c r="E75" s="28" t="s">
        <v>1177</v>
      </c>
      <c r="F75" s="28" t="s">
        <v>1177</v>
      </c>
      <c r="G75" s="28" t="s">
        <v>1177</v>
      </c>
      <c r="H75" s="26"/>
    </row>
    <row r="76">
      <c r="A76" s="20" t="s">
        <v>1188</v>
      </c>
      <c r="B76" s="21" t="s">
        <v>1177</v>
      </c>
      <c r="C76" s="21" t="s">
        <v>1177</v>
      </c>
      <c r="D76" s="21" t="s">
        <v>1177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1177</v>
      </c>
      <c r="C77" s="21" t="s">
        <v>1177</v>
      </c>
      <c r="D77" s="21" t="s">
        <v>1177</v>
      </c>
      <c r="E77" s="21" t="s">
        <v>1177</v>
      </c>
      <c r="F77" s="21" t="s">
        <v>1177</v>
      </c>
      <c r="G77" s="21" t="s">
        <v>1177</v>
      </c>
      <c r="H77" s="26"/>
    </row>
    <row r="78">
      <c r="A78" s="29"/>
      <c r="B78" s="21" t="s">
        <v>1177</v>
      </c>
      <c r="C78" s="21" t="s">
        <v>1177</v>
      </c>
      <c r="D78" s="21" t="s">
        <v>1177</v>
      </c>
      <c r="E78" s="21" t="s">
        <v>1177</v>
      </c>
      <c r="F78" s="21" t="s">
        <v>1177</v>
      </c>
      <c r="G78" s="21" t="s">
        <v>1177</v>
      </c>
      <c r="H78" s="26"/>
    </row>
    <row r="79">
      <c r="A79" s="24"/>
      <c r="B79" s="21" t="s">
        <v>1177</v>
      </c>
      <c r="C79" s="21" t="s">
        <v>1177</v>
      </c>
      <c r="D79" s="21" t="s">
        <v>1177</v>
      </c>
      <c r="E79" s="21" t="s">
        <v>1177</v>
      </c>
      <c r="F79" s="21" t="s">
        <v>1177</v>
      </c>
      <c r="G79" s="21" t="s">
        <v>1177</v>
      </c>
      <c r="H79" s="30"/>
      <c r="I79" s="14"/>
    </row>
    <row r="80">
      <c r="A80" s="16" t="s">
        <v>1174</v>
      </c>
      <c r="B80" s="17" t="s">
        <v>2209</v>
      </c>
      <c r="C80" s="18"/>
      <c r="D80" s="18"/>
      <c r="E80" s="18"/>
      <c r="F80" s="18"/>
      <c r="G80" s="18"/>
      <c r="H80" s="18"/>
      <c r="I80" s="16"/>
    </row>
    <row r="81" ht="60.0" customHeight="1">
      <c r="A81" s="20" t="s">
        <v>1176</v>
      </c>
      <c r="B81" s="21" t="str">
        <f t="array" ref="B81">iferror(VLOOKUP(INDIRECT(ADDRESS(ROW()+1,COLUMN(), 4)),Dex!$A$2:$C794,3,false),"")</f>
        <v/>
      </c>
      <c r="C81" s="21" t="str">
        <f t="array" ref="C81">iferror(VLOOKUP(INDIRECT(ADDRESS(ROW()+1,COLUMN(), 4)),Dex!$A$2:$C794,3,false),"")</f>
        <v/>
      </c>
      <c r="D81" s="21" t="str">
        <f t="array" ref="D81">iferror(VLOOKUP(INDIRECT(ADDRESS(ROW()+1,COLUMN(), 4)),Dex!$A$2:$C794,3,false),"")</f>
        <v/>
      </c>
      <c r="E81" s="21" t="s">
        <v>1177</v>
      </c>
      <c r="F81" s="21" t="s">
        <v>1177</v>
      </c>
      <c r="G81" s="21" t="s">
        <v>1177</v>
      </c>
      <c r="H81" s="22" t="str">
        <f t="array" ref="H81">iferror(VLOOKUP("TRAINER_PIC_SWIMMER_M",Sprites!$A$1:$B794,2,false),"")</f>
        <v/>
      </c>
      <c r="I81" s="23"/>
    </row>
    <row r="82">
      <c r="A82" s="24"/>
      <c r="B82" s="25" t="s">
        <v>1085</v>
      </c>
      <c r="C82" s="25" t="s">
        <v>867</v>
      </c>
      <c r="D82" s="25" t="s">
        <v>444</v>
      </c>
      <c r="E82" s="25" t="s">
        <v>1177</v>
      </c>
      <c r="F82" s="25" t="s">
        <v>1177</v>
      </c>
      <c r="G82" s="25" t="s">
        <v>1177</v>
      </c>
      <c r="H82" s="26"/>
    </row>
    <row r="83">
      <c r="A83" s="16" t="s">
        <v>1178</v>
      </c>
      <c r="B83" s="27" t="s">
        <v>2107</v>
      </c>
      <c r="C83" s="27" t="s">
        <v>2107</v>
      </c>
      <c r="D83" s="27" t="s">
        <v>2107</v>
      </c>
      <c r="E83" s="21" t="s">
        <v>1177</v>
      </c>
      <c r="F83" s="21" t="s">
        <v>1177</v>
      </c>
      <c r="G83" s="21" t="s">
        <v>1177</v>
      </c>
      <c r="H83" s="26"/>
    </row>
    <row r="84">
      <c r="A84" s="16" t="s">
        <v>1181</v>
      </c>
      <c r="B84" s="28" t="s">
        <v>1177</v>
      </c>
      <c r="C84" s="28" t="s">
        <v>1177</v>
      </c>
      <c r="D84" s="28" t="s">
        <v>1177</v>
      </c>
      <c r="E84" s="28" t="s">
        <v>1177</v>
      </c>
      <c r="F84" s="28" t="s">
        <v>1177</v>
      </c>
      <c r="G84" s="28" t="s">
        <v>1177</v>
      </c>
      <c r="H84" s="26"/>
    </row>
    <row r="85">
      <c r="A85" s="16" t="s">
        <v>1182</v>
      </c>
      <c r="B85" s="21" t="s">
        <v>1212</v>
      </c>
      <c r="C85" s="21" t="s">
        <v>2100</v>
      </c>
      <c r="D85" s="21" t="s">
        <v>1654</v>
      </c>
      <c r="E85" s="21" t="s">
        <v>1177</v>
      </c>
      <c r="F85" s="21" t="s">
        <v>1177</v>
      </c>
      <c r="G85" s="21" t="s">
        <v>1177</v>
      </c>
      <c r="H85" s="26"/>
    </row>
    <row r="86">
      <c r="A86" s="16" t="s">
        <v>1186</v>
      </c>
      <c r="B86" s="28" t="s">
        <v>1187</v>
      </c>
      <c r="C86" s="28" t="s">
        <v>1187</v>
      </c>
      <c r="D86" s="28" t="s">
        <v>1187</v>
      </c>
      <c r="E86" s="28" t="s">
        <v>1177</v>
      </c>
      <c r="F86" s="28" t="s">
        <v>1177</v>
      </c>
      <c r="G86" s="28" t="s">
        <v>1177</v>
      </c>
      <c r="H86" s="26"/>
    </row>
    <row r="87">
      <c r="A87" s="20" t="s">
        <v>1188</v>
      </c>
      <c r="B87" s="21" t="s">
        <v>1177</v>
      </c>
      <c r="C87" s="21" t="s">
        <v>1177</v>
      </c>
      <c r="D87" s="21" t="s">
        <v>1177</v>
      </c>
      <c r="E87" s="21" t="s">
        <v>1177</v>
      </c>
      <c r="F87" s="21" t="s">
        <v>1177</v>
      </c>
      <c r="G87" s="21" t="s">
        <v>1177</v>
      </c>
      <c r="H87" s="26"/>
    </row>
    <row r="88">
      <c r="A88" s="29"/>
      <c r="B88" s="21" t="s">
        <v>1177</v>
      </c>
      <c r="C88" s="21" t="s">
        <v>1177</v>
      </c>
      <c r="D88" s="21" t="s">
        <v>1177</v>
      </c>
      <c r="E88" s="21" t="s">
        <v>1177</v>
      </c>
      <c r="F88" s="21" t="s">
        <v>1177</v>
      </c>
      <c r="G88" s="21" t="s">
        <v>1177</v>
      </c>
      <c r="H88" s="26"/>
    </row>
    <row r="89">
      <c r="A89" s="29"/>
      <c r="B89" s="21" t="s">
        <v>1177</v>
      </c>
      <c r="C89" s="21" t="s">
        <v>1177</v>
      </c>
      <c r="D89" s="21" t="s">
        <v>1177</v>
      </c>
      <c r="E89" s="21" t="s">
        <v>1177</v>
      </c>
      <c r="F89" s="21" t="s">
        <v>1177</v>
      </c>
      <c r="G89" s="21" t="s">
        <v>1177</v>
      </c>
      <c r="H89" s="26"/>
    </row>
    <row r="90">
      <c r="A90" s="24"/>
      <c r="B90" s="21" t="s">
        <v>1177</v>
      </c>
      <c r="C90" s="21" t="s">
        <v>1177</v>
      </c>
      <c r="D90" s="21" t="s">
        <v>1177</v>
      </c>
      <c r="E90" s="21" t="s">
        <v>1177</v>
      </c>
      <c r="F90" s="21" t="s">
        <v>1177</v>
      </c>
      <c r="G90" s="21" t="s">
        <v>1177</v>
      </c>
      <c r="H90" s="30"/>
      <c r="I90" s="14"/>
    </row>
    <row r="91">
      <c r="A91" s="16" t="s">
        <v>1174</v>
      </c>
      <c r="B91" s="17" t="s">
        <v>2210</v>
      </c>
      <c r="C91" s="18"/>
      <c r="D91" s="18"/>
      <c r="E91" s="18"/>
      <c r="F91" s="18"/>
      <c r="G91" s="18"/>
      <c r="H91" s="18"/>
      <c r="I91" s="19"/>
    </row>
    <row r="92" ht="60.0" customHeight="1">
      <c r="A92" s="20" t="s">
        <v>1176</v>
      </c>
      <c r="B92" s="21" t="str">
        <f t="array" ref="B92">iferror(VLOOKUP(INDIRECT(ADDRESS(ROW()+1,COLUMN(), 4)),Dex!$A$2:$C794,3,false),"")</f>
        <v/>
      </c>
      <c r="C92" s="21" t="str">
        <f t="array" ref="C92">iferror(VLOOKUP(INDIRECT(ADDRESS(ROW()+1,COLUMN(), 4)),Dex!$A$2:$C794,3,false),"")</f>
        <v/>
      </c>
      <c r="D92" s="21" t="str">
        <f t="array" ref="D92">iferror(VLOOKUP(INDIRECT(ADDRESS(ROW()+1,COLUMN(), 4)),Dex!$A$2:$C794,3,false),"")</f>
        <v/>
      </c>
      <c r="E92" s="21" t="str">
        <f t="array" ref="E92">iferror(VLOOKUP(INDIRECT(ADDRESS(ROW()+1,COLUMN(), 4)),Dex!$A$2:$C794,3,false),"")</f>
        <v/>
      </c>
      <c r="F92" s="21" t="str">
        <f t="array" ref="F92">iferror(VLOOKUP(INDIRECT(ADDRESS(ROW()+1,COLUMN(), 4)),Dex!$A$2:$C794,3,false),"")</f>
        <v/>
      </c>
      <c r="G92" s="21" t="str">
        <f t="array" ref="G92">iferror(VLOOKUP(INDIRECT(ADDRESS(ROW()+1,COLUMN(), 4)),Dex!$A$2:$C794,3,false),"")</f>
        <v/>
      </c>
      <c r="H92" s="22" t="str">
        <f t="array" ref="H92">iferror(VLOOKUP("TRAINER_PIC_RUIN_MANIAC",Sprites!$A$1:$B794,2,false),"")</f>
        <v/>
      </c>
      <c r="I92" s="23"/>
    </row>
    <row r="93">
      <c r="A93" s="24"/>
      <c r="B93" s="25" t="s">
        <v>875</v>
      </c>
      <c r="C93" s="25" t="s">
        <v>594</v>
      </c>
      <c r="D93" s="25" t="s">
        <v>28</v>
      </c>
      <c r="E93" s="25" t="s">
        <v>873</v>
      </c>
      <c r="F93" s="25" t="s">
        <v>1163</v>
      </c>
      <c r="G93" s="25" t="s">
        <v>540</v>
      </c>
      <c r="H93" s="26"/>
    </row>
    <row r="94">
      <c r="A94" s="16" t="s">
        <v>1178</v>
      </c>
      <c r="B94" s="27" t="s">
        <v>2211</v>
      </c>
      <c r="C94" s="27" t="s">
        <v>2211</v>
      </c>
      <c r="D94" s="27" t="s">
        <v>2212</v>
      </c>
      <c r="E94" s="27" t="s">
        <v>2211</v>
      </c>
      <c r="F94" s="27" t="s">
        <v>2211</v>
      </c>
      <c r="G94" s="27" t="s">
        <v>2211</v>
      </c>
      <c r="H94" s="26"/>
    </row>
    <row r="95">
      <c r="A95" s="16" t="s">
        <v>1181</v>
      </c>
      <c r="B95" s="28" t="s">
        <v>1247</v>
      </c>
      <c r="C95" s="28" t="s">
        <v>1581</v>
      </c>
      <c r="D95" s="28" t="s">
        <v>2213</v>
      </c>
      <c r="E95" s="28" t="s">
        <v>1901</v>
      </c>
      <c r="F95" s="28" t="s">
        <v>1898</v>
      </c>
      <c r="G95" s="28" t="s">
        <v>1457</v>
      </c>
      <c r="H95" s="26"/>
    </row>
    <row r="96">
      <c r="A96" s="16" t="s">
        <v>1182</v>
      </c>
      <c r="B96" s="21" t="s">
        <v>1690</v>
      </c>
      <c r="C96" s="21" t="s">
        <v>1654</v>
      </c>
      <c r="D96" s="21" t="s">
        <v>2082</v>
      </c>
      <c r="E96" s="21" t="s">
        <v>1709</v>
      </c>
      <c r="F96" s="21" t="s">
        <v>1298</v>
      </c>
      <c r="G96" s="21" t="s">
        <v>1694</v>
      </c>
      <c r="H96" s="26"/>
    </row>
    <row r="97">
      <c r="A97" s="16" t="s">
        <v>1186</v>
      </c>
      <c r="B97" s="28" t="s">
        <v>1235</v>
      </c>
      <c r="C97" s="28" t="s">
        <v>1235</v>
      </c>
      <c r="D97" s="28" t="s">
        <v>1248</v>
      </c>
      <c r="E97" s="28" t="s">
        <v>1284</v>
      </c>
      <c r="F97" s="28" t="s">
        <v>1284</v>
      </c>
      <c r="G97" s="28" t="s">
        <v>1256</v>
      </c>
      <c r="H97" s="26"/>
    </row>
    <row r="98">
      <c r="A98" s="20" t="s">
        <v>1188</v>
      </c>
      <c r="B98" s="21" t="s">
        <v>1874</v>
      </c>
      <c r="C98" s="21" t="s">
        <v>1779</v>
      </c>
      <c r="D98" s="21" t="s">
        <v>1749</v>
      </c>
      <c r="E98" s="21" t="s">
        <v>2214</v>
      </c>
      <c r="F98" s="21" t="s">
        <v>1731</v>
      </c>
      <c r="G98" s="21" t="s">
        <v>1618</v>
      </c>
      <c r="H98" s="26"/>
    </row>
    <row r="99">
      <c r="A99" s="29"/>
      <c r="B99" s="21" t="s">
        <v>1415</v>
      </c>
      <c r="C99" s="21" t="s">
        <v>1415</v>
      </c>
      <c r="D99" s="21" t="s">
        <v>1586</v>
      </c>
      <c r="E99" s="21" t="s">
        <v>1778</v>
      </c>
      <c r="F99" s="21" t="s">
        <v>1778</v>
      </c>
      <c r="G99" s="21" t="s">
        <v>1793</v>
      </c>
      <c r="H99" s="26"/>
    </row>
    <row r="100">
      <c r="A100" s="29"/>
      <c r="B100" s="21" t="s">
        <v>1359</v>
      </c>
      <c r="C100" s="21" t="s">
        <v>1438</v>
      </c>
      <c r="D100" s="21" t="s">
        <v>1772</v>
      </c>
      <c r="E100" s="21" t="s">
        <v>1835</v>
      </c>
      <c r="F100" s="21" t="s">
        <v>1879</v>
      </c>
      <c r="G100" s="21" t="s">
        <v>1468</v>
      </c>
      <c r="H100" s="26"/>
    </row>
    <row r="101">
      <c r="A101" s="24"/>
      <c r="B101" s="21" t="s">
        <v>1836</v>
      </c>
      <c r="C101" s="21" t="s">
        <v>1641</v>
      </c>
      <c r="D101" s="21" t="s">
        <v>1389</v>
      </c>
      <c r="E101" s="21" t="s">
        <v>1621</v>
      </c>
      <c r="F101" s="21" t="s">
        <v>1880</v>
      </c>
      <c r="G101" s="21" t="s">
        <v>1398</v>
      </c>
      <c r="H101" s="30"/>
      <c r="I101" s="14"/>
    </row>
    <row r="102">
      <c r="A102" s="37"/>
      <c r="B102" s="38" t="s">
        <v>1278</v>
      </c>
      <c r="C102" s="14"/>
      <c r="D102" s="14"/>
      <c r="E102" s="14"/>
      <c r="F102" s="14"/>
      <c r="G102" s="14"/>
      <c r="H102" s="24"/>
      <c r="I102" s="33"/>
    </row>
    <row r="103">
      <c r="A103" s="16" t="s">
        <v>1174</v>
      </c>
      <c r="B103" s="17" t="s">
        <v>2215</v>
      </c>
      <c r="C103" s="18"/>
      <c r="D103" s="18"/>
      <c r="E103" s="18"/>
      <c r="F103" s="18"/>
      <c r="G103" s="18"/>
      <c r="H103" s="18"/>
      <c r="I103" s="16"/>
    </row>
    <row r="104" ht="60.0" customHeight="1">
      <c r="A104" s="20" t="s">
        <v>1176</v>
      </c>
      <c r="B104" s="21" t="str">
        <f t="array" ref="B104">iferror(VLOOKUP(INDIRECT(ADDRESS(ROW()+1,COLUMN(), 4)),Dex!$A$2:$C794,3,false),"")</f>
        <v/>
      </c>
      <c r="C104" s="21" t="str">
        <f t="array" ref="C104">iferror(VLOOKUP(INDIRECT(ADDRESS(ROW()+1,COLUMN(), 4)),Dex!$A$2:$C794,3,false),"")</f>
        <v/>
      </c>
      <c r="D104" s="21" t="s">
        <v>1177</v>
      </c>
      <c r="E104" s="21" t="s">
        <v>1177</v>
      </c>
      <c r="F104" s="21" t="s">
        <v>1177</v>
      </c>
      <c r="G104" s="21" t="s">
        <v>1177</v>
      </c>
      <c r="H104" s="22" t="str">
        <f t="array" ref="H104">iferror(VLOOKUP("TRAINER_PIC_SWIMMER_M",Sprites!$A$1:$B794,2,false),"")</f>
        <v/>
      </c>
      <c r="I104" s="23"/>
    </row>
    <row r="105">
      <c r="A105" s="24"/>
      <c r="B105" s="25" t="s">
        <v>470</v>
      </c>
      <c r="C105" s="25" t="s">
        <v>1067</v>
      </c>
      <c r="D105" s="25" t="s">
        <v>1177</v>
      </c>
      <c r="E105" s="25" t="s">
        <v>1177</v>
      </c>
      <c r="F105" s="25" t="s">
        <v>1177</v>
      </c>
      <c r="G105" s="25" t="s">
        <v>1177</v>
      </c>
      <c r="H105" s="26"/>
    </row>
    <row r="106">
      <c r="A106" s="16" t="s">
        <v>1178</v>
      </c>
      <c r="B106" s="27" t="s">
        <v>2107</v>
      </c>
      <c r="C106" s="27" t="s">
        <v>2107</v>
      </c>
      <c r="D106" s="21" t="s">
        <v>1177</v>
      </c>
      <c r="E106" s="21" t="s">
        <v>1177</v>
      </c>
      <c r="F106" s="21" t="s">
        <v>1177</v>
      </c>
      <c r="G106" s="21" t="s">
        <v>1177</v>
      </c>
      <c r="H106" s="26"/>
    </row>
    <row r="107">
      <c r="A107" s="16" t="s">
        <v>1181</v>
      </c>
      <c r="B107" s="28" t="s">
        <v>1177</v>
      </c>
      <c r="C107" s="28" t="s">
        <v>1177</v>
      </c>
      <c r="D107" s="28" t="s">
        <v>1177</v>
      </c>
      <c r="E107" s="28" t="s">
        <v>1177</v>
      </c>
      <c r="F107" s="28" t="s">
        <v>1177</v>
      </c>
      <c r="G107" s="28" t="s">
        <v>1177</v>
      </c>
      <c r="H107" s="26"/>
    </row>
    <row r="108">
      <c r="A108" s="16" t="s">
        <v>1182</v>
      </c>
      <c r="B108" s="21" t="s">
        <v>1748</v>
      </c>
      <c r="C108" s="21" t="s">
        <v>1681</v>
      </c>
      <c r="D108" s="21" t="s">
        <v>1177</v>
      </c>
      <c r="E108" s="21" t="s">
        <v>1177</v>
      </c>
      <c r="F108" s="21" t="s">
        <v>1177</v>
      </c>
      <c r="G108" s="21" t="s">
        <v>1177</v>
      </c>
      <c r="H108" s="26"/>
    </row>
    <row r="109">
      <c r="A109" s="16" t="s">
        <v>1186</v>
      </c>
      <c r="B109" s="28" t="s">
        <v>1187</v>
      </c>
      <c r="C109" s="28" t="s">
        <v>1187</v>
      </c>
      <c r="D109" s="28" t="s">
        <v>1177</v>
      </c>
      <c r="E109" s="28" t="s">
        <v>1177</v>
      </c>
      <c r="F109" s="28" t="s">
        <v>1177</v>
      </c>
      <c r="G109" s="28" t="s">
        <v>1177</v>
      </c>
      <c r="H109" s="26"/>
    </row>
    <row r="110">
      <c r="A110" s="20" t="s">
        <v>1188</v>
      </c>
      <c r="B110" s="21" t="s">
        <v>1177</v>
      </c>
      <c r="C110" s="21" t="s">
        <v>1177</v>
      </c>
      <c r="D110" s="21" t="s">
        <v>1177</v>
      </c>
      <c r="E110" s="21" t="s">
        <v>1177</v>
      </c>
      <c r="F110" s="21" t="s">
        <v>1177</v>
      </c>
      <c r="G110" s="21" t="s">
        <v>1177</v>
      </c>
      <c r="H110" s="26"/>
    </row>
    <row r="111">
      <c r="A111" s="29"/>
      <c r="B111" s="21" t="s">
        <v>1177</v>
      </c>
      <c r="C111" s="21" t="s">
        <v>1177</v>
      </c>
      <c r="D111" s="21" t="s">
        <v>1177</v>
      </c>
      <c r="E111" s="21" t="s">
        <v>1177</v>
      </c>
      <c r="F111" s="21" t="s">
        <v>1177</v>
      </c>
      <c r="G111" s="21" t="s">
        <v>1177</v>
      </c>
      <c r="H111" s="26"/>
    </row>
    <row r="112">
      <c r="A112" s="29"/>
      <c r="B112" s="21" t="s">
        <v>1177</v>
      </c>
      <c r="C112" s="21" t="s">
        <v>1177</v>
      </c>
      <c r="D112" s="21" t="s">
        <v>1177</v>
      </c>
      <c r="E112" s="21" t="s">
        <v>1177</v>
      </c>
      <c r="F112" s="21" t="s">
        <v>1177</v>
      </c>
      <c r="G112" s="21" t="s">
        <v>1177</v>
      </c>
      <c r="H112" s="26"/>
    </row>
    <row r="113">
      <c r="A113" s="24"/>
      <c r="B113" s="21" t="s">
        <v>1177</v>
      </c>
      <c r="C113" s="21" t="s">
        <v>1177</v>
      </c>
      <c r="D113" s="21" t="s">
        <v>1177</v>
      </c>
      <c r="E113" s="21" t="s">
        <v>1177</v>
      </c>
      <c r="F113" s="21" t="s">
        <v>1177</v>
      </c>
      <c r="G113" s="21" t="s">
        <v>1177</v>
      </c>
      <c r="H113" s="30"/>
      <c r="I113" s="14"/>
    </row>
    <row r="114">
      <c r="A114" s="16" t="s">
        <v>1174</v>
      </c>
      <c r="B114" s="17" t="s">
        <v>2216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4)),Dex!$A$2:$C794,3,false),"")</f>
        <v/>
      </c>
      <c r="C115" s="21" t="str">
        <f t="array" ref="C115">iferror(VLOOKUP(INDIRECT(ADDRESS(ROW()+1,COLUMN(), 4)),Dex!$A$2:$C794,3,false),"")</f>
        <v/>
      </c>
      <c r="D115" s="21" t="s">
        <v>1177</v>
      </c>
      <c r="E115" s="21" t="s">
        <v>1177</v>
      </c>
      <c r="F115" s="21" t="s">
        <v>1177</v>
      </c>
      <c r="G115" s="21" t="s">
        <v>1177</v>
      </c>
      <c r="H115" s="22" t="str">
        <f t="array" ref="H115">iferror(VLOOKUP("TRAINER_PIC_SWIMMER_F",Sprites!$A$1:$B794,2,false),"")</f>
        <v/>
      </c>
      <c r="I115" s="23"/>
    </row>
    <row r="116">
      <c r="A116" s="24"/>
      <c r="B116" s="25" t="s">
        <v>177</v>
      </c>
      <c r="C116" s="25" t="s">
        <v>138</v>
      </c>
      <c r="D116" s="25" t="s">
        <v>1177</v>
      </c>
      <c r="E116" s="25" t="s">
        <v>1177</v>
      </c>
      <c r="F116" s="25" t="s">
        <v>1177</v>
      </c>
      <c r="G116" s="25" t="s">
        <v>1177</v>
      </c>
      <c r="H116" s="26"/>
    </row>
    <row r="117">
      <c r="A117" s="16" t="s">
        <v>1178</v>
      </c>
      <c r="B117" s="27" t="s">
        <v>2107</v>
      </c>
      <c r="C117" s="27" t="s">
        <v>2107</v>
      </c>
      <c r="D117" s="21" t="s">
        <v>1177</v>
      </c>
      <c r="E117" s="21" t="s">
        <v>1177</v>
      </c>
      <c r="F117" s="21" t="s">
        <v>1177</v>
      </c>
      <c r="G117" s="21" t="s">
        <v>1177</v>
      </c>
      <c r="H117" s="26"/>
    </row>
    <row r="118">
      <c r="A118" s="16" t="s">
        <v>1181</v>
      </c>
      <c r="B118" s="28" t="s">
        <v>1177</v>
      </c>
      <c r="C118" s="28" t="s">
        <v>1177</v>
      </c>
      <c r="D118" s="28" t="s">
        <v>1177</v>
      </c>
      <c r="E118" s="28" t="s">
        <v>1177</v>
      </c>
      <c r="F118" s="28" t="s">
        <v>1177</v>
      </c>
      <c r="G118" s="28" t="s">
        <v>1177</v>
      </c>
      <c r="H118" s="26"/>
    </row>
    <row r="119">
      <c r="A119" s="16" t="s">
        <v>1182</v>
      </c>
      <c r="B119" s="21" t="s">
        <v>1283</v>
      </c>
      <c r="C119" s="21" t="s">
        <v>1231</v>
      </c>
      <c r="D119" s="21" t="s">
        <v>1177</v>
      </c>
      <c r="E119" s="21" t="s">
        <v>1177</v>
      </c>
      <c r="F119" s="21" t="s">
        <v>1177</v>
      </c>
      <c r="G119" s="21" t="s">
        <v>1177</v>
      </c>
      <c r="H119" s="26"/>
    </row>
    <row r="120">
      <c r="A120" s="16" t="s">
        <v>1186</v>
      </c>
      <c r="B120" s="28" t="s">
        <v>1187</v>
      </c>
      <c r="C120" s="28" t="s">
        <v>1187</v>
      </c>
      <c r="D120" s="28" t="s">
        <v>1177</v>
      </c>
      <c r="E120" s="28" t="s">
        <v>1177</v>
      </c>
      <c r="F120" s="28" t="s">
        <v>1177</v>
      </c>
      <c r="G120" s="28" t="s">
        <v>1177</v>
      </c>
      <c r="H120" s="26"/>
    </row>
    <row r="121">
      <c r="A121" s="20" t="s">
        <v>1188</v>
      </c>
      <c r="B121" s="21" t="s">
        <v>1177</v>
      </c>
      <c r="C121" s="21" t="s">
        <v>1177</v>
      </c>
      <c r="D121" s="21" t="s">
        <v>1177</v>
      </c>
      <c r="E121" s="21" t="s">
        <v>1177</v>
      </c>
      <c r="F121" s="21" t="s">
        <v>1177</v>
      </c>
      <c r="G121" s="21" t="s">
        <v>1177</v>
      </c>
      <c r="H121" s="26"/>
    </row>
    <row r="122">
      <c r="A122" s="29"/>
      <c r="B122" s="21" t="s">
        <v>1177</v>
      </c>
      <c r="C122" s="21" t="s">
        <v>1177</v>
      </c>
      <c r="D122" s="21" t="s">
        <v>1177</v>
      </c>
      <c r="E122" s="21" t="s">
        <v>1177</v>
      </c>
      <c r="F122" s="21" t="s">
        <v>1177</v>
      </c>
      <c r="G122" s="21" t="s">
        <v>1177</v>
      </c>
      <c r="H122" s="26"/>
    </row>
    <row r="123">
      <c r="A123" s="29"/>
      <c r="B123" s="21" t="s">
        <v>1177</v>
      </c>
      <c r="C123" s="21" t="s">
        <v>1177</v>
      </c>
      <c r="D123" s="21" t="s">
        <v>1177</v>
      </c>
      <c r="E123" s="21" t="s">
        <v>1177</v>
      </c>
      <c r="F123" s="21" t="s">
        <v>1177</v>
      </c>
      <c r="G123" s="21" t="s">
        <v>1177</v>
      </c>
      <c r="H123" s="26"/>
    </row>
    <row r="124">
      <c r="A124" s="24"/>
      <c r="B124" s="21" t="s">
        <v>1177</v>
      </c>
      <c r="C124" s="21" t="s">
        <v>1177</v>
      </c>
      <c r="D124" s="21" t="s">
        <v>1177</v>
      </c>
      <c r="E124" s="21" t="s">
        <v>1177</v>
      </c>
      <c r="F124" s="21" t="s">
        <v>1177</v>
      </c>
      <c r="G124" s="21" t="s">
        <v>1177</v>
      </c>
      <c r="H124" s="30"/>
      <c r="I124" s="14"/>
    </row>
    <row r="125">
      <c r="A125" s="37"/>
      <c r="B125" s="38" t="s">
        <v>2217</v>
      </c>
      <c r="C125" s="14"/>
      <c r="D125" s="14"/>
      <c r="E125" s="14"/>
      <c r="F125" s="14"/>
      <c r="G125" s="14"/>
      <c r="H125" s="24"/>
      <c r="I125" s="33"/>
    </row>
    <row r="126">
      <c r="A126" s="16" t="s">
        <v>1174</v>
      </c>
      <c r="B126" s="17" t="s">
        <v>2218</v>
      </c>
      <c r="C126" s="18"/>
      <c r="D126" s="18"/>
      <c r="E126" s="18"/>
      <c r="F126" s="18"/>
      <c r="G126" s="18"/>
      <c r="H126" s="18"/>
      <c r="I126" s="16"/>
    </row>
    <row r="127" ht="60.0" customHeight="1">
      <c r="A127" s="20" t="s">
        <v>1176</v>
      </c>
      <c r="B127" s="21" t="str">
        <f t="array" ref="B127">iferror(VLOOKUP(INDIRECT(ADDRESS(ROW()+1,COLUMN(), 4)),Dex!$A$2:$C794,3,false),"")</f>
        <v/>
      </c>
      <c r="C127" s="21" t="str">
        <f t="array" ref="C127">iferror(VLOOKUP(INDIRECT(ADDRESS(ROW()+1,COLUMN(), 4)),Dex!$A$2:$C794,3,false),"")</f>
        <v/>
      </c>
      <c r="D127" s="21" t="s">
        <v>1177</v>
      </c>
      <c r="E127" s="21" t="s">
        <v>1177</v>
      </c>
      <c r="F127" s="21" t="s">
        <v>1177</v>
      </c>
      <c r="G127" s="21" t="s">
        <v>1177</v>
      </c>
      <c r="H127" s="22" t="str">
        <f t="array" ref="H127">iferror(VLOOKUP("TRAINER_PIC_SWIMMER_F",Sprites!$A$1:$B794,2,false),"")</f>
        <v/>
      </c>
      <c r="I127" s="23"/>
    </row>
    <row r="128">
      <c r="A128" s="24"/>
      <c r="B128" s="25" t="s">
        <v>309</v>
      </c>
      <c r="C128" s="25" t="s">
        <v>418</v>
      </c>
      <c r="D128" s="25" t="s">
        <v>1177</v>
      </c>
      <c r="E128" s="25" t="s">
        <v>1177</v>
      </c>
      <c r="F128" s="25" t="s">
        <v>1177</v>
      </c>
      <c r="G128" s="25" t="s">
        <v>1177</v>
      </c>
      <c r="H128" s="26"/>
    </row>
    <row r="129">
      <c r="A129" s="16" t="s">
        <v>1178</v>
      </c>
      <c r="B129" s="27" t="s">
        <v>2107</v>
      </c>
      <c r="C129" s="27" t="s">
        <v>2107</v>
      </c>
      <c r="D129" s="21" t="s">
        <v>1177</v>
      </c>
      <c r="E129" s="21" t="s">
        <v>1177</v>
      </c>
      <c r="F129" s="21" t="s">
        <v>1177</v>
      </c>
      <c r="G129" s="21" t="s">
        <v>1177</v>
      </c>
      <c r="H129" s="26"/>
    </row>
    <row r="130">
      <c r="A130" s="16" t="s">
        <v>1181</v>
      </c>
      <c r="B130" s="28" t="s">
        <v>1177</v>
      </c>
      <c r="C130" s="28" t="s">
        <v>1177</v>
      </c>
      <c r="D130" s="28" t="s">
        <v>1177</v>
      </c>
      <c r="E130" s="28" t="s">
        <v>1177</v>
      </c>
      <c r="F130" s="28" t="s">
        <v>1177</v>
      </c>
      <c r="G130" s="28" t="s">
        <v>1177</v>
      </c>
      <c r="H130" s="26"/>
    </row>
    <row r="131">
      <c r="A131" s="16" t="s">
        <v>1182</v>
      </c>
      <c r="B131" s="21" t="s">
        <v>2121</v>
      </c>
      <c r="C131" s="21" t="s">
        <v>1266</v>
      </c>
      <c r="D131" s="21" t="s">
        <v>1177</v>
      </c>
      <c r="E131" s="21" t="s">
        <v>1177</v>
      </c>
      <c r="F131" s="21" t="s">
        <v>1177</v>
      </c>
      <c r="G131" s="21" t="s">
        <v>1177</v>
      </c>
      <c r="H131" s="26"/>
    </row>
    <row r="132">
      <c r="A132" s="16" t="s">
        <v>1186</v>
      </c>
      <c r="B132" s="28" t="s">
        <v>1187</v>
      </c>
      <c r="C132" s="28" t="s">
        <v>1187</v>
      </c>
      <c r="D132" s="28" t="s">
        <v>1177</v>
      </c>
      <c r="E132" s="28" t="s">
        <v>1177</v>
      </c>
      <c r="F132" s="28" t="s">
        <v>1177</v>
      </c>
      <c r="G132" s="28" t="s">
        <v>1177</v>
      </c>
      <c r="H132" s="26"/>
    </row>
    <row r="133">
      <c r="A133" s="20" t="s">
        <v>1188</v>
      </c>
      <c r="B133" s="21" t="s">
        <v>1177</v>
      </c>
      <c r="C133" s="21" t="s">
        <v>1177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1177</v>
      </c>
      <c r="C134" s="21" t="s">
        <v>1177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9"/>
      <c r="B135" s="21" t="s">
        <v>1177</v>
      </c>
      <c r="C135" s="21" t="s">
        <v>1177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26"/>
    </row>
    <row r="136">
      <c r="A136" s="24"/>
      <c r="B136" s="21" t="s">
        <v>1177</v>
      </c>
      <c r="C136" s="21" t="s">
        <v>1177</v>
      </c>
      <c r="D136" s="21" t="s">
        <v>1177</v>
      </c>
      <c r="E136" s="21" t="s">
        <v>1177</v>
      </c>
      <c r="F136" s="21" t="s">
        <v>1177</v>
      </c>
      <c r="G136" s="21" t="s">
        <v>1177</v>
      </c>
      <c r="H136" s="30"/>
      <c r="I136" s="14"/>
    </row>
    <row r="137">
      <c r="A137" s="16" t="s">
        <v>1174</v>
      </c>
      <c r="B137" s="17" t="s">
        <v>2219</v>
      </c>
      <c r="C137" s="18"/>
      <c r="D137" s="18"/>
      <c r="E137" s="18"/>
      <c r="F137" s="18"/>
      <c r="G137" s="18"/>
      <c r="H137" s="18"/>
      <c r="I137" s="16"/>
    </row>
    <row r="138" ht="60.0" customHeight="1">
      <c r="A138" s="20" t="s">
        <v>1176</v>
      </c>
      <c r="B138" s="21" t="str">
        <f t="array" ref="B138">iferror(VLOOKUP(INDIRECT(ADDRESS(ROW()+1,COLUMN(), 4)),Dex!$A$2:$C794,3,false),"")</f>
        <v/>
      </c>
      <c r="C138" s="21" t="str">
        <f t="array" ref="C138">iferror(VLOOKUP(INDIRECT(ADDRESS(ROW()+1,COLUMN(), 4)),Dex!$A$2:$C794,3,false),"")</f>
        <v/>
      </c>
      <c r="D138" s="21" t="s">
        <v>1177</v>
      </c>
      <c r="E138" s="21" t="s">
        <v>1177</v>
      </c>
      <c r="F138" s="21" t="s">
        <v>1177</v>
      </c>
      <c r="G138" s="21" t="s">
        <v>1177</v>
      </c>
      <c r="H138" s="22" t="str">
        <f t="array" ref="H138">iferror(VLOOKUP("TRAINER_PIC_SWIMMER_M",Sprites!$A$1:$B794,2,false),"")</f>
        <v/>
      </c>
      <c r="I138" s="23"/>
    </row>
    <row r="139">
      <c r="A139" s="24"/>
      <c r="B139" s="25" t="s">
        <v>316</v>
      </c>
      <c r="C139" s="25" t="s">
        <v>421</v>
      </c>
      <c r="D139" s="25" t="s">
        <v>1177</v>
      </c>
      <c r="E139" s="25" t="s">
        <v>1177</v>
      </c>
      <c r="F139" s="25" t="s">
        <v>1177</v>
      </c>
      <c r="G139" s="25" t="s">
        <v>1177</v>
      </c>
      <c r="H139" s="26"/>
    </row>
    <row r="140">
      <c r="A140" s="16" t="s">
        <v>1178</v>
      </c>
      <c r="B140" s="27" t="s">
        <v>2107</v>
      </c>
      <c r="C140" s="27" t="s">
        <v>2107</v>
      </c>
      <c r="D140" s="21" t="s">
        <v>1177</v>
      </c>
      <c r="E140" s="21" t="s">
        <v>1177</v>
      </c>
      <c r="F140" s="21" t="s">
        <v>1177</v>
      </c>
      <c r="G140" s="21" t="s">
        <v>1177</v>
      </c>
      <c r="H140" s="26"/>
    </row>
    <row r="141">
      <c r="A141" s="16" t="s">
        <v>1181</v>
      </c>
      <c r="B141" s="28" t="s">
        <v>1177</v>
      </c>
      <c r="C141" s="28" t="s">
        <v>1177</v>
      </c>
      <c r="D141" s="28" t="s">
        <v>1177</v>
      </c>
      <c r="E141" s="28" t="s">
        <v>1177</v>
      </c>
      <c r="F141" s="28" t="s">
        <v>1177</v>
      </c>
      <c r="G141" s="28" t="s">
        <v>1177</v>
      </c>
      <c r="H141" s="26"/>
    </row>
    <row r="142">
      <c r="A142" s="16" t="s">
        <v>1182</v>
      </c>
      <c r="B142" s="21" t="s">
        <v>1212</v>
      </c>
      <c r="C142" s="21" t="s">
        <v>1614</v>
      </c>
      <c r="D142" s="21" t="s">
        <v>1177</v>
      </c>
      <c r="E142" s="21" t="s">
        <v>1177</v>
      </c>
      <c r="F142" s="21" t="s">
        <v>1177</v>
      </c>
      <c r="G142" s="21" t="s">
        <v>1177</v>
      </c>
      <c r="H142" s="26"/>
    </row>
    <row r="143">
      <c r="A143" s="16" t="s">
        <v>1186</v>
      </c>
      <c r="B143" s="28" t="s">
        <v>1187</v>
      </c>
      <c r="C143" s="28" t="s">
        <v>1187</v>
      </c>
      <c r="D143" s="28" t="s">
        <v>1177</v>
      </c>
      <c r="E143" s="28" t="s">
        <v>1177</v>
      </c>
      <c r="F143" s="28" t="s">
        <v>1177</v>
      </c>
      <c r="G143" s="28" t="s">
        <v>1177</v>
      </c>
      <c r="H143" s="26"/>
    </row>
    <row r="144">
      <c r="A144" s="20" t="s">
        <v>1188</v>
      </c>
      <c r="B144" s="21" t="s">
        <v>1177</v>
      </c>
      <c r="C144" s="21" t="s">
        <v>1177</v>
      </c>
      <c r="D144" s="21" t="s">
        <v>1177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1177</v>
      </c>
      <c r="C145" s="21" t="s">
        <v>1177</v>
      </c>
      <c r="D145" s="21" t="s">
        <v>1177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9"/>
      <c r="B146" s="21" t="s">
        <v>1177</v>
      </c>
      <c r="C146" s="21" t="s">
        <v>1177</v>
      </c>
      <c r="D146" s="21" t="s">
        <v>1177</v>
      </c>
      <c r="E146" s="21" t="s">
        <v>1177</v>
      </c>
      <c r="F146" s="21" t="s">
        <v>1177</v>
      </c>
      <c r="G146" s="21" t="s">
        <v>1177</v>
      </c>
      <c r="H146" s="26"/>
    </row>
    <row r="147">
      <c r="A147" s="24"/>
      <c r="B147" s="21" t="s">
        <v>1177</v>
      </c>
      <c r="C147" s="21" t="s">
        <v>1177</v>
      </c>
      <c r="D147" s="21" t="s">
        <v>1177</v>
      </c>
      <c r="E147" s="21" t="s">
        <v>1177</v>
      </c>
      <c r="F147" s="21" t="s">
        <v>1177</v>
      </c>
      <c r="G147" s="21" t="s">
        <v>1177</v>
      </c>
      <c r="H147" s="30"/>
      <c r="I147" s="14"/>
    </row>
    <row r="148">
      <c r="A148" s="16" t="s">
        <v>1174</v>
      </c>
      <c r="B148" s="17" t="s">
        <v>2220</v>
      </c>
      <c r="C148" s="18"/>
      <c r="D148" s="18"/>
      <c r="E148" s="18"/>
      <c r="F148" s="18"/>
      <c r="G148" s="18"/>
      <c r="H148" s="18"/>
      <c r="I148" s="16"/>
    </row>
    <row r="149" ht="60.0" customHeight="1">
      <c r="A149" s="20" t="s">
        <v>1176</v>
      </c>
      <c r="B149" s="21" t="str">
        <f t="array" ref="B149">iferror(VLOOKUP(INDIRECT(ADDRESS(ROW()+1,COLUMN(), 4)),Dex!$A$2:$C794,3,false),"")</f>
        <v/>
      </c>
      <c r="C149" s="21" t="str">
        <f t="array" ref="C149">iferror(VLOOKUP(INDIRECT(ADDRESS(ROW()+1,COLUMN(), 4)),Dex!$A$2:$C794,3,false),"")</f>
        <v/>
      </c>
      <c r="D149" s="21" t="str">
        <f t="array" ref="D149">iferror(VLOOKUP(INDIRECT(ADDRESS(ROW()+1,COLUMN(), 4)),Dex!$A$2:$C794,3,false),"")</f>
        <v/>
      </c>
      <c r="E149" s="21" t="s">
        <v>1177</v>
      </c>
      <c r="F149" s="21" t="s">
        <v>1177</v>
      </c>
      <c r="G149" s="21" t="s">
        <v>1177</v>
      </c>
      <c r="H149" s="22" t="str">
        <f t="array" ref="H149">iferror(VLOOKUP("TRAINER_PIC_SIS_AND_BRO",Sprites!$A$1:$B794,2,false),"")</f>
        <v/>
      </c>
      <c r="I149" s="23"/>
    </row>
    <row r="150">
      <c r="A150" s="24"/>
      <c r="B150" s="25" t="s">
        <v>148</v>
      </c>
      <c r="C150" s="25" t="s">
        <v>261</v>
      </c>
      <c r="D150" s="25" t="s">
        <v>536</v>
      </c>
      <c r="E150" s="25" t="s">
        <v>1177</v>
      </c>
      <c r="F150" s="25" t="s">
        <v>1177</v>
      </c>
      <c r="G150" s="25" t="s">
        <v>1177</v>
      </c>
      <c r="H150" s="26"/>
    </row>
    <row r="151">
      <c r="A151" s="16" t="s">
        <v>1178</v>
      </c>
      <c r="B151" s="27" t="s">
        <v>2107</v>
      </c>
      <c r="C151" s="27" t="s">
        <v>2107</v>
      </c>
      <c r="D151" s="27" t="s">
        <v>2107</v>
      </c>
      <c r="E151" s="21" t="s">
        <v>1177</v>
      </c>
      <c r="F151" s="21" t="s">
        <v>1177</v>
      </c>
      <c r="G151" s="21" t="s">
        <v>1177</v>
      </c>
      <c r="H151" s="26"/>
    </row>
    <row r="152">
      <c r="A152" s="16" t="s">
        <v>1181</v>
      </c>
      <c r="B152" s="28" t="s">
        <v>1177</v>
      </c>
      <c r="C152" s="28" t="s">
        <v>1177</v>
      </c>
      <c r="D152" s="28" t="s">
        <v>1177</v>
      </c>
      <c r="E152" s="28" t="s">
        <v>1177</v>
      </c>
      <c r="F152" s="28" t="s">
        <v>1177</v>
      </c>
      <c r="G152" s="28" t="s">
        <v>1177</v>
      </c>
      <c r="H152" s="26"/>
    </row>
    <row r="153">
      <c r="A153" s="16" t="s">
        <v>1182</v>
      </c>
      <c r="B153" s="21" t="s">
        <v>1938</v>
      </c>
      <c r="C153" s="21" t="s">
        <v>1748</v>
      </c>
      <c r="D153" s="21" t="s">
        <v>1212</v>
      </c>
      <c r="E153" s="21" t="s">
        <v>1177</v>
      </c>
      <c r="F153" s="21" t="s">
        <v>1177</v>
      </c>
      <c r="G153" s="21" t="s">
        <v>1177</v>
      </c>
      <c r="H153" s="26"/>
    </row>
    <row r="154">
      <c r="A154" s="16" t="s">
        <v>1186</v>
      </c>
      <c r="B154" s="28" t="s">
        <v>1187</v>
      </c>
      <c r="C154" s="28" t="s">
        <v>1187</v>
      </c>
      <c r="D154" s="28" t="s">
        <v>1187</v>
      </c>
      <c r="E154" s="28" t="s">
        <v>1177</v>
      </c>
      <c r="F154" s="28" t="s">
        <v>1177</v>
      </c>
      <c r="G154" s="28" t="s">
        <v>1177</v>
      </c>
      <c r="H154" s="26"/>
    </row>
    <row r="155">
      <c r="A155" s="20" t="s">
        <v>1188</v>
      </c>
      <c r="B155" s="21" t="s">
        <v>1177</v>
      </c>
      <c r="C155" s="21" t="s">
        <v>1177</v>
      </c>
      <c r="D155" s="21" t="s">
        <v>1177</v>
      </c>
      <c r="E155" s="21" t="s">
        <v>1177</v>
      </c>
      <c r="F155" s="21" t="s">
        <v>1177</v>
      </c>
      <c r="G155" s="21" t="s">
        <v>1177</v>
      </c>
      <c r="H155" s="26"/>
    </row>
    <row r="156">
      <c r="A156" s="29"/>
      <c r="B156" s="21" t="s">
        <v>1177</v>
      </c>
      <c r="C156" s="21" t="s">
        <v>1177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9"/>
      <c r="B157" s="21" t="s">
        <v>1177</v>
      </c>
      <c r="C157" s="21" t="s">
        <v>1177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26"/>
    </row>
    <row r="158">
      <c r="A158" s="24"/>
      <c r="B158" s="21" t="s">
        <v>1177</v>
      </c>
      <c r="C158" s="21" t="s">
        <v>1177</v>
      </c>
      <c r="D158" s="21" t="s">
        <v>1177</v>
      </c>
      <c r="E158" s="21" t="s">
        <v>1177</v>
      </c>
      <c r="F158" s="21" t="s">
        <v>1177</v>
      </c>
      <c r="G158" s="21" t="s">
        <v>1177</v>
      </c>
      <c r="H158" s="30"/>
      <c r="I158" s="14"/>
    </row>
    <row r="159">
      <c r="A159" s="16" t="s">
        <v>1174</v>
      </c>
      <c r="B159" s="17" t="s">
        <v>2221</v>
      </c>
      <c r="C159" s="18"/>
      <c r="D159" s="18"/>
      <c r="E159" s="18"/>
      <c r="F159" s="18"/>
      <c r="G159" s="18"/>
      <c r="H159" s="18"/>
      <c r="I159" s="16"/>
    </row>
    <row r="160" ht="60.0" customHeight="1">
      <c r="A160" s="20" t="s">
        <v>1176</v>
      </c>
      <c r="B160" s="21" t="str">
        <f t="array" ref="B160">iferror(VLOOKUP(INDIRECT(ADDRESS(ROW()+1,COLUMN(), 4)),Dex!$A$2:$C794,3,false),"")</f>
        <v/>
      </c>
      <c r="C160" s="21" t="str">
        <f t="array" ref="C160">iferror(VLOOKUP(INDIRECT(ADDRESS(ROW()+1,COLUMN(), 4)),Dex!$A$2:$C794,3,false),"")</f>
        <v/>
      </c>
      <c r="D160" s="21" t="s">
        <v>1177</v>
      </c>
      <c r="E160" s="21" t="s">
        <v>1177</v>
      </c>
      <c r="F160" s="21" t="s">
        <v>1177</v>
      </c>
      <c r="G160" s="21" t="s">
        <v>1177</v>
      </c>
      <c r="H160" s="22" t="str">
        <f t="array" ref="H160">iferror(VLOOKUP("TRAINER_PIC_SWIMMER_M",Sprites!$A$1:$B794,2,false),"")</f>
        <v/>
      </c>
      <c r="I160" s="23"/>
    </row>
    <row r="161">
      <c r="A161" s="24"/>
      <c r="B161" s="25" t="s">
        <v>85</v>
      </c>
      <c r="C161" s="25" t="s">
        <v>247</v>
      </c>
      <c r="D161" s="25" t="s">
        <v>1177</v>
      </c>
      <c r="E161" s="25" t="s">
        <v>1177</v>
      </c>
      <c r="F161" s="25" t="s">
        <v>1177</v>
      </c>
      <c r="G161" s="25" t="s">
        <v>1177</v>
      </c>
      <c r="H161" s="26"/>
    </row>
    <row r="162">
      <c r="A162" s="16" t="s">
        <v>1178</v>
      </c>
      <c r="B162" s="27" t="s">
        <v>2107</v>
      </c>
      <c r="C162" s="27" t="s">
        <v>2107</v>
      </c>
      <c r="D162" s="21" t="s">
        <v>1177</v>
      </c>
      <c r="E162" s="21" t="s">
        <v>1177</v>
      </c>
      <c r="F162" s="21" t="s">
        <v>1177</v>
      </c>
      <c r="G162" s="21" t="s">
        <v>1177</v>
      </c>
      <c r="H162" s="26"/>
    </row>
    <row r="163">
      <c r="A163" s="16" t="s">
        <v>1181</v>
      </c>
      <c r="B163" s="28" t="s">
        <v>1177</v>
      </c>
      <c r="C163" s="28" t="s">
        <v>1177</v>
      </c>
      <c r="D163" s="28" t="s">
        <v>1177</v>
      </c>
      <c r="E163" s="28" t="s">
        <v>1177</v>
      </c>
      <c r="F163" s="28" t="s">
        <v>1177</v>
      </c>
      <c r="G163" s="28" t="s">
        <v>1177</v>
      </c>
      <c r="H163" s="26"/>
    </row>
    <row r="164">
      <c r="A164" s="16" t="s">
        <v>1182</v>
      </c>
      <c r="B164" s="21" t="s">
        <v>1212</v>
      </c>
      <c r="C164" s="21" t="s">
        <v>1791</v>
      </c>
      <c r="D164" s="21" t="s">
        <v>1177</v>
      </c>
      <c r="E164" s="21" t="s">
        <v>1177</v>
      </c>
      <c r="F164" s="21" t="s">
        <v>1177</v>
      </c>
      <c r="G164" s="21" t="s">
        <v>1177</v>
      </c>
      <c r="H164" s="26"/>
    </row>
    <row r="165">
      <c r="A165" s="16" t="s">
        <v>1186</v>
      </c>
      <c r="B165" s="28" t="s">
        <v>1187</v>
      </c>
      <c r="C165" s="28" t="s">
        <v>1187</v>
      </c>
      <c r="D165" s="28" t="s">
        <v>1177</v>
      </c>
      <c r="E165" s="28" t="s">
        <v>1177</v>
      </c>
      <c r="F165" s="28" t="s">
        <v>1177</v>
      </c>
      <c r="G165" s="28" t="s">
        <v>1177</v>
      </c>
      <c r="H165" s="26"/>
    </row>
    <row r="166">
      <c r="A166" s="20" t="s">
        <v>1188</v>
      </c>
      <c r="B166" s="21" t="s">
        <v>1177</v>
      </c>
      <c r="C166" s="21" t="s">
        <v>1177</v>
      </c>
      <c r="D166" s="21" t="s">
        <v>1177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1177</v>
      </c>
      <c r="C167" s="21" t="s">
        <v>1177</v>
      </c>
      <c r="D167" s="21" t="s">
        <v>1177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9"/>
      <c r="B168" s="21" t="s">
        <v>1177</v>
      </c>
      <c r="C168" s="21" t="s">
        <v>1177</v>
      </c>
      <c r="D168" s="21" t="s">
        <v>1177</v>
      </c>
      <c r="E168" s="21" t="s">
        <v>1177</v>
      </c>
      <c r="F168" s="21" t="s">
        <v>1177</v>
      </c>
      <c r="G168" s="21" t="s">
        <v>1177</v>
      </c>
      <c r="H168" s="26"/>
    </row>
    <row r="169">
      <c r="A169" s="24"/>
      <c r="B169" s="21" t="s">
        <v>1177</v>
      </c>
      <c r="C169" s="21" t="s">
        <v>1177</v>
      </c>
      <c r="D169" s="21" t="s">
        <v>1177</v>
      </c>
      <c r="E169" s="21" t="s">
        <v>1177</v>
      </c>
      <c r="F169" s="21" t="s">
        <v>1177</v>
      </c>
      <c r="G169" s="21" t="s">
        <v>1177</v>
      </c>
      <c r="H169" s="30"/>
      <c r="I169" s="14"/>
    </row>
    <row r="170">
      <c r="A170" s="16" t="s">
        <v>1174</v>
      </c>
      <c r="B170" s="17" t="s">
        <v>2222</v>
      </c>
      <c r="C170" s="18"/>
      <c r="D170" s="18"/>
      <c r="E170" s="18"/>
      <c r="F170" s="18"/>
      <c r="G170" s="18"/>
      <c r="H170" s="18"/>
      <c r="I170" s="16"/>
    </row>
    <row r="171" ht="60.0" customHeight="1">
      <c r="A171" s="20" t="s">
        <v>1176</v>
      </c>
      <c r="B171" s="21" t="str">
        <f t="array" ref="B171">iferror(VLOOKUP(INDIRECT(ADDRESS(ROW()+1,COLUMN(), 4)),Dex!$A$2:$C794,3,false),"")</f>
        <v/>
      </c>
      <c r="C171" s="21" t="str">
        <f t="array" ref="C171">iferror(VLOOKUP(INDIRECT(ADDRESS(ROW()+1,COLUMN(), 4)),Dex!$A$2:$C794,3,false),"")</f>
        <v/>
      </c>
      <c r="D171" s="21" t="s">
        <v>1177</v>
      </c>
      <c r="E171" s="21" t="s">
        <v>1177</v>
      </c>
      <c r="F171" s="21" t="s">
        <v>1177</v>
      </c>
      <c r="G171" s="21" t="s">
        <v>1177</v>
      </c>
      <c r="H171" s="22" t="str">
        <f t="array" ref="H171">iferror(VLOOKUP("TRAINER_PIC_SWIMMER_F",Sprites!$A$1:$B794,2,false),"")</f>
        <v/>
      </c>
      <c r="I171" s="23"/>
    </row>
    <row r="172">
      <c r="A172" s="24"/>
      <c r="B172" s="25" t="s">
        <v>947</v>
      </c>
      <c r="C172" s="25" t="s">
        <v>193</v>
      </c>
      <c r="D172" s="25" t="s">
        <v>1177</v>
      </c>
      <c r="E172" s="25" t="s">
        <v>1177</v>
      </c>
      <c r="F172" s="25" t="s">
        <v>1177</v>
      </c>
      <c r="G172" s="25" t="s">
        <v>1177</v>
      </c>
      <c r="H172" s="26"/>
    </row>
    <row r="173">
      <c r="A173" s="16" t="s">
        <v>1178</v>
      </c>
      <c r="B173" s="27" t="s">
        <v>2107</v>
      </c>
      <c r="C173" s="27" t="s">
        <v>2107</v>
      </c>
      <c r="D173" s="21" t="s">
        <v>1177</v>
      </c>
      <c r="E173" s="21" t="s">
        <v>1177</v>
      </c>
      <c r="F173" s="21" t="s">
        <v>1177</v>
      </c>
      <c r="G173" s="21" t="s">
        <v>1177</v>
      </c>
      <c r="H173" s="26"/>
    </row>
    <row r="174">
      <c r="A174" s="16" t="s">
        <v>1181</v>
      </c>
      <c r="B174" s="28" t="s">
        <v>1177</v>
      </c>
      <c r="C174" s="28" t="s">
        <v>1177</v>
      </c>
      <c r="D174" s="28" t="s">
        <v>1177</v>
      </c>
      <c r="E174" s="28" t="s">
        <v>1177</v>
      </c>
      <c r="F174" s="28" t="s">
        <v>1177</v>
      </c>
      <c r="G174" s="28" t="s">
        <v>1177</v>
      </c>
      <c r="H174" s="26"/>
    </row>
    <row r="175">
      <c r="A175" s="16" t="s">
        <v>1182</v>
      </c>
      <c r="B175" s="21" t="s">
        <v>2223</v>
      </c>
      <c r="C175" s="21" t="s">
        <v>1298</v>
      </c>
      <c r="D175" s="21" t="s">
        <v>1177</v>
      </c>
      <c r="E175" s="21" t="s">
        <v>1177</v>
      </c>
      <c r="F175" s="21" t="s">
        <v>1177</v>
      </c>
      <c r="G175" s="21" t="s">
        <v>1177</v>
      </c>
      <c r="H175" s="26"/>
    </row>
    <row r="176">
      <c r="A176" s="16" t="s">
        <v>1186</v>
      </c>
      <c r="B176" s="28" t="s">
        <v>1187</v>
      </c>
      <c r="C176" s="28" t="s">
        <v>1187</v>
      </c>
      <c r="D176" s="28" t="s">
        <v>1177</v>
      </c>
      <c r="E176" s="28" t="s">
        <v>1177</v>
      </c>
      <c r="F176" s="28" t="s">
        <v>1177</v>
      </c>
      <c r="G176" s="28" t="s">
        <v>1177</v>
      </c>
      <c r="H176" s="26"/>
    </row>
    <row r="177">
      <c r="A177" s="20" t="s">
        <v>1188</v>
      </c>
      <c r="B177" s="21" t="s">
        <v>1177</v>
      </c>
      <c r="C177" s="21" t="s">
        <v>1177</v>
      </c>
      <c r="D177" s="21" t="s">
        <v>1177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1177</v>
      </c>
      <c r="C178" s="21" t="s">
        <v>1177</v>
      </c>
      <c r="D178" s="21" t="s">
        <v>1177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9"/>
      <c r="B179" s="21" t="s">
        <v>1177</v>
      </c>
      <c r="C179" s="21" t="s">
        <v>1177</v>
      </c>
      <c r="D179" s="21" t="s">
        <v>1177</v>
      </c>
      <c r="E179" s="21" t="s">
        <v>1177</v>
      </c>
      <c r="F179" s="21" t="s">
        <v>1177</v>
      </c>
      <c r="G179" s="21" t="s">
        <v>1177</v>
      </c>
      <c r="H179" s="26"/>
    </row>
    <row r="180">
      <c r="A180" s="24"/>
      <c r="B180" s="21" t="s">
        <v>1177</v>
      </c>
      <c r="C180" s="21" t="s">
        <v>1177</v>
      </c>
      <c r="D180" s="21" t="s">
        <v>1177</v>
      </c>
      <c r="E180" s="21" t="s">
        <v>1177</v>
      </c>
      <c r="F180" s="21" t="s">
        <v>1177</v>
      </c>
      <c r="G180" s="21" t="s">
        <v>1177</v>
      </c>
      <c r="H180" s="30"/>
      <c r="I180" s="14"/>
    </row>
    <row r="181">
      <c r="A181" s="16" t="s">
        <v>1174</v>
      </c>
      <c r="B181" s="17" t="s">
        <v>2224</v>
      </c>
      <c r="C181" s="18"/>
      <c r="D181" s="18"/>
      <c r="E181" s="18"/>
      <c r="F181" s="18"/>
      <c r="G181" s="18"/>
      <c r="H181" s="18"/>
      <c r="I181" s="16"/>
    </row>
    <row r="182" ht="60.0" customHeight="1">
      <c r="A182" s="20" t="s">
        <v>1176</v>
      </c>
      <c r="B182" s="21" t="str">
        <f t="array" ref="B182">iferror(VLOOKUP(INDIRECT(ADDRESS(ROW()+1,COLUMN(), 4)),Dex!$A$2:$C794,3,false),"")</f>
        <v/>
      </c>
      <c r="C182" s="21" t="str">
        <f t="array" ref="C182">iferror(VLOOKUP(INDIRECT(ADDRESS(ROW()+1,COLUMN(), 4)),Dex!$A$2:$C794,3,false),"")</f>
        <v/>
      </c>
      <c r="D182" s="21" t="s">
        <v>1177</v>
      </c>
      <c r="E182" s="21" t="s">
        <v>1177</v>
      </c>
      <c r="F182" s="21" t="s">
        <v>1177</v>
      </c>
      <c r="G182" s="21" t="s">
        <v>1177</v>
      </c>
      <c r="H182" s="22" t="str">
        <f t="array" ref="H182">iferror(VLOOKUP("TRAINER_PIC_SWIMMING_TRIATHLETE_M",Sprites!$A$1:$B794,2,false),"")</f>
        <v/>
      </c>
      <c r="I182" s="23"/>
    </row>
    <row r="183">
      <c r="A183" s="24"/>
      <c r="B183" s="25" t="s">
        <v>291</v>
      </c>
      <c r="C183" s="25" t="s">
        <v>865</v>
      </c>
      <c r="D183" s="25" t="s">
        <v>1177</v>
      </c>
      <c r="E183" s="25" t="s">
        <v>1177</v>
      </c>
      <c r="F183" s="25" t="s">
        <v>1177</v>
      </c>
      <c r="G183" s="25" t="s">
        <v>1177</v>
      </c>
      <c r="H183" s="26"/>
    </row>
    <row r="184">
      <c r="A184" s="16" t="s">
        <v>1178</v>
      </c>
      <c r="B184" s="27" t="s">
        <v>2107</v>
      </c>
      <c r="C184" s="27" t="s">
        <v>2107</v>
      </c>
      <c r="D184" s="21" t="s">
        <v>1177</v>
      </c>
      <c r="E184" s="21" t="s">
        <v>1177</v>
      </c>
      <c r="F184" s="21" t="s">
        <v>1177</v>
      </c>
      <c r="G184" s="21" t="s">
        <v>1177</v>
      </c>
      <c r="H184" s="26"/>
    </row>
    <row r="185">
      <c r="A185" s="16" t="s">
        <v>1181</v>
      </c>
      <c r="B185" s="28" t="s">
        <v>1177</v>
      </c>
      <c r="C185" s="28" t="s">
        <v>1177</v>
      </c>
      <c r="D185" s="28" t="s">
        <v>1177</v>
      </c>
      <c r="E185" s="28" t="s">
        <v>1177</v>
      </c>
      <c r="F185" s="28" t="s">
        <v>1177</v>
      </c>
      <c r="G185" s="28" t="s">
        <v>1177</v>
      </c>
      <c r="H185" s="26"/>
    </row>
    <row r="186">
      <c r="A186" s="16" t="s">
        <v>1182</v>
      </c>
      <c r="B186" s="21" t="s">
        <v>1298</v>
      </c>
      <c r="C186" s="21" t="s">
        <v>1348</v>
      </c>
      <c r="D186" s="21" t="s">
        <v>1177</v>
      </c>
      <c r="E186" s="21" t="s">
        <v>1177</v>
      </c>
      <c r="F186" s="21" t="s">
        <v>1177</v>
      </c>
      <c r="G186" s="21" t="s">
        <v>1177</v>
      </c>
      <c r="H186" s="26"/>
    </row>
    <row r="187">
      <c r="A187" s="16" t="s">
        <v>1186</v>
      </c>
      <c r="B187" s="28" t="s">
        <v>1187</v>
      </c>
      <c r="C187" s="28" t="s">
        <v>1187</v>
      </c>
      <c r="D187" s="28" t="s">
        <v>1177</v>
      </c>
      <c r="E187" s="28" t="s">
        <v>1177</v>
      </c>
      <c r="F187" s="28" t="s">
        <v>1177</v>
      </c>
      <c r="G187" s="28" t="s">
        <v>1177</v>
      </c>
      <c r="H187" s="26"/>
    </row>
    <row r="188">
      <c r="A188" s="20" t="s">
        <v>1188</v>
      </c>
      <c r="B188" s="21" t="s">
        <v>1177</v>
      </c>
      <c r="C188" s="21" t="s">
        <v>1177</v>
      </c>
      <c r="D188" s="21" t="s">
        <v>1177</v>
      </c>
      <c r="E188" s="21" t="s">
        <v>1177</v>
      </c>
      <c r="F188" s="21" t="s">
        <v>1177</v>
      </c>
      <c r="G188" s="21" t="s">
        <v>1177</v>
      </c>
      <c r="H188" s="26"/>
    </row>
    <row r="189">
      <c r="A189" s="29"/>
      <c r="B189" s="21" t="s">
        <v>1177</v>
      </c>
      <c r="C189" s="21" t="s">
        <v>1177</v>
      </c>
      <c r="D189" s="21" t="s">
        <v>1177</v>
      </c>
      <c r="E189" s="21" t="s">
        <v>1177</v>
      </c>
      <c r="F189" s="21" t="s">
        <v>1177</v>
      </c>
      <c r="G189" s="21" t="s">
        <v>1177</v>
      </c>
      <c r="H189" s="26"/>
    </row>
    <row r="190">
      <c r="A190" s="29"/>
      <c r="B190" s="21" t="s">
        <v>1177</v>
      </c>
      <c r="C190" s="21" t="s">
        <v>1177</v>
      </c>
      <c r="D190" s="21" t="s">
        <v>1177</v>
      </c>
      <c r="E190" s="21" t="s">
        <v>1177</v>
      </c>
      <c r="F190" s="21" t="s">
        <v>1177</v>
      </c>
      <c r="G190" s="21" t="s">
        <v>1177</v>
      </c>
      <c r="H190" s="26"/>
    </row>
    <row r="191">
      <c r="A191" s="24"/>
      <c r="B191" s="21" t="s">
        <v>1177</v>
      </c>
      <c r="C191" s="21" t="s">
        <v>1177</v>
      </c>
      <c r="D191" s="21" t="s">
        <v>1177</v>
      </c>
      <c r="E191" s="21" t="s">
        <v>1177</v>
      </c>
      <c r="F191" s="21" t="s">
        <v>1177</v>
      </c>
      <c r="G191" s="21" t="s">
        <v>1177</v>
      </c>
      <c r="H191" s="30"/>
      <c r="I191" s="14"/>
    </row>
    <row r="192">
      <c r="A192" s="37"/>
      <c r="B192" s="38" t="s">
        <v>2225</v>
      </c>
      <c r="C192" s="14"/>
      <c r="D192" s="14"/>
      <c r="E192" s="14"/>
      <c r="F192" s="14"/>
      <c r="G192" s="14"/>
      <c r="H192" s="24"/>
      <c r="I192" s="33"/>
    </row>
    <row r="193">
      <c r="A193" s="16" t="s">
        <v>1174</v>
      </c>
      <c r="B193" s="17" t="s">
        <v>2226</v>
      </c>
      <c r="C193" s="18"/>
      <c r="D193" s="18"/>
      <c r="E193" s="18"/>
      <c r="F193" s="18"/>
      <c r="G193" s="18"/>
      <c r="H193" s="18"/>
      <c r="I193" s="16"/>
    </row>
    <row r="194" ht="60.0" customHeight="1">
      <c r="A194" s="20" t="s">
        <v>1176</v>
      </c>
      <c r="B194" s="21" t="str">
        <f t="array" ref="B194">iferror(VLOOKUP(INDIRECT(ADDRESS(ROW()+1,COLUMN(), 4)),Dex!$A$2:$C794,3,false),"")</f>
        <v/>
      </c>
      <c r="C194" s="21" t="str">
        <f t="array" ref="C194">iferror(VLOOKUP(INDIRECT(ADDRESS(ROW()+1,COLUMN(), 4)),Dex!$A$2:$C794,3,false),"")</f>
        <v/>
      </c>
      <c r="D194" s="21" t="s">
        <v>1177</v>
      </c>
      <c r="E194" s="21" t="s">
        <v>1177</v>
      </c>
      <c r="F194" s="21" t="s">
        <v>1177</v>
      </c>
      <c r="G194" s="21" t="s">
        <v>1177</v>
      </c>
      <c r="H194" s="22" t="str">
        <f t="array" ref="H194">iferror(VLOOKUP("TRAINER_PIC_SWIMMER_F",Sprites!$A$1:$B794,2,false),"")</f>
        <v/>
      </c>
      <c r="I194" s="23"/>
    </row>
    <row r="195">
      <c r="A195" s="24"/>
      <c r="B195" s="25" t="s">
        <v>752</v>
      </c>
      <c r="C195" s="25" t="s">
        <v>107</v>
      </c>
      <c r="D195" s="25" t="s">
        <v>1177</v>
      </c>
      <c r="E195" s="25" t="s">
        <v>1177</v>
      </c>
      <c r="F195" s="25" t="s">
        <v>1177</v>
      </c>
      <c r="G195" s="25" t="s">
        <v>1177</v>
      </c>
      <c r="H195" s="26"/>
    </row>
    <row r="196">
      <c r="A196" s="16" t="s">
        <v>1178</v>
      </c>
      <c r="B196" s="27" t="s">
        <v>2107</v>
      </c>
      <c r="C196" s="27" t="s">
        <v>2107</v>
      </c>
      <c r="D196" s="21" t="s">
        <v>1177</v>
      </c>
      <c r="E196" s="21" t="s">
        <v>1177</v>
      </c>
      <c r="F196" s="21" t="s">
        <v>1177</v>
      </c>
      <c r="G196" s="21" t="s">
        <v>1177</v>
      </c>
      <c r="H196" s="26"/>
    </row>
    <row r="197">
      <c r="A197" s="16" t="s">
        <v>1181</v>
      </c>
      <c r="B197" s="28" t="s">
        <v>1177</v>
      </c>
      <c r="C197" s="28" t="s">
        <v>1177</v>
      </c>
      <c r="D197" s="28" t="s">
        <v>1177</v>
      </c>
      <c r="E197" s="28" t="s">
        <v>1177</v>
      </c>
      <c r="F197" s="28" t="s">
        <v>1177</v>
      </c>
      <c r="G197" s="28" t="s">
        <v>1177</v>
      </c>
      <c r="H197" s="26"/>
    </row>
    <row r="198">
      <c r="A198" s="16" t="s">
        <v>1182</v>
      </c>
      <c r="B198" s="21" t="s">
        <v>1393</v>
      </c>
      <c r="C198" s="21" t="s">
        <v>1783</v>
      </c>
      <c r="D198" s="21" t="s">
        <v>1177</v>
      </c>
      <c r="E198" s="21" t="s">
        <v>1177</v>
      </c>
      <c r="F198" s="21" t="s">
        <v>1177</v>
      </c>
      <c r="G198" s="21" t="s">
        <v>1177</v>
      </c>
      <c r="H198" s="26"/>
    </row>
    <row r="199">
      <c r="A199" s="16" t="s">
        <v>1186</v>
      </c>
      <c r="B199" s="28" t="s">
        <v>1187</v>
      </c>
      <c r="C199" s="28" t="s">
        <v>1187</v>
      </c>
      <c r="D199" s="28" t="s">
        <v>1177</v>
      </c>
      <c r="E199" s="28" t="s">
        <v>1177</v>
      </c>
      <c r="F199" s="28" t="s">
        <v>1177</v>
      </c>
      <c r="G199" s="28" t="s">
        <v>1177</v>
      </c>
      <c r="H199" s="26"/>
    </row>
    <row r="200">
      <c r="A200" s="20" t="s">
        <v>1188</v>
      </c>
      <c r="B200" s="21" t="s">
        <v>1177</v>
      </c>
      <c r="C200" s="21" t="s">
        <v>1177</v>
      </c>
      <c r="D200" s="21" t="s">
        <v>1177</v>
      </c>
      <c r="E200" s="21" t="s">
        <v>1177</v>
      </c>
      <c r="F200" s="21" t="s">
        <v>1177</v>
      </c>
      <c r="G200" s="21" t="s">
        <v>1177</v>
      </c>
      <c r="H200" s="26"/>
    </row>
    <row r="201">
      <c r="A201" s="29"/>
      <c r="B201" s="21" t="s">
        <v>1177</v>
      </c>
      <c r="C201" s="21" t="s">
        <v>1177</v>
      </c>
      <c r="D201" s="21" t="s">
        <v>1177</v>
      </c>
      <c r="E201" s="21" t="s">
        <v>1177</v>
      </c>
      <c r="F201" s="21" t="s">
        <v>1177</v>
      </c>
      <c r="G201" s="21" t="s">
        <v>1177</v>
      </c>
      <c r="H201" s="26"/>
    </row>
    <row r="202">
      <c r="A202" s="29"/>
      <c r="B202" s="21" t="s">
        <v>1177</v>
      </c>
      <c r="C202" s="21" t="s">
        <v>1177</v>
      </c>
      <c r="D202" s="21" t="s">
        <v>1177</v>
      </c>
      <c r="E202" s="21" t="s">
        <v>1177</v>
      </c>
      <c r="F202" s="21" t="s">
        <v>1177</v>
      </c>
      <c r="G202" s="21" t="s">
        <v>1177</v>
      </c>
      <c r="H202" s="26"/>
    </row>
    <row r="203">
      <c r="A203" s="24"/>
      <c r="B203" s="21" t="s">
        <v>1177</v>
      </c>
      <c r="C203" s="21" t="s">
        <v>1177</v>
      </c>
      <c r="D203" s="21" t="s">
        <v>1177</v>
      </c>
      <c r="E203" s="21" t="s">
        <v>1177</v>
      </c>
      <c r="F203" s="21" t="s">
        <v>1177</v>
      </c>
      <c r="G203" s="21" t="s">
        <v>1177</v>
      </c>
      <c r="H203" s="30"/>
      <c r="I203" s="14"/>
    </row>
    <row r="204">
      <c r="A204" s="16" t="s">
        <v>1174</v>
      </c>
      <c r="B204" s="17" t="s">
        <v>2227</v>
      </c>
      <c r="C204" s="18"/>
      <c r="D204" s="18"/>
      <c r="E204" s="18"/>
      <c r="F204" s="18"/>
      <c r="G204" s="18"/>
      <c r="H204" s="18"/>
      <c r="I204" s="16"/>
    </row>
    <row r="205" ht="60.0" customHeight="1">
      <c r="A205" s="20" t="s">
        <v>1176</v>
      </c>
      <c r="B205" s="21" t="str">
        <f t="array" ref="B205">iferror(VLOOKUP(INDIRECT(ADDRESS(ROW()+1,COLUMN(), 4)),Dex!$A$2:$C794,3,false),"")</f>
        <v/>
      </c>
      <c r="C205" s="21" t="str">
        <f t="array" ref="C205">iferror(VLOOKUP(INDIRECT(ADDRESS(ROW()+1,COLUMN(), 4)),Dex!$A$2:$C794,3,false),"")</f>
        <v/>
      </c>
      <c r="D205" s="21" t="s">
        <v>1177</v>
      </c>
      <c r="E205" s="21" t="s">
        <v>1177</v>
      </c>
      <c r="F205" s="21" t="s">
        <v>1177</v>
      </c>
      <c r="G205" s="21" t="s">
        <v>1177</v>
      </c>
      <c r="H205" s="22" t="str">
        <f t="array" ref="H205">iferror(VLOOKUP("TRAINER_PIC_SWIMMER_M",Sprites!$A$1:$B794,2,false),"")</f>
        <v/>
      </c>
      <c r="I205" s="23"/>
    </row>
    <row r="206">
      <c r="A206" s="24"/>
      <c r="B206" s="25" t="s">
        <v>378</v>
      </c>
      <c r="C206" s="25" t="s">
        <v>452</v>
      </c>
      <c r="D206" s="25" t="s">
        <v>1177</v>
      </c>
      <c r="E206" s="25" t="s">
        <v>1177</v>
      </c>
      <c r="F206" s="25" t="s">
        <v>1177</v>
      </c>
      <c r="G206" s="25" t="s">
        <v>1177</v>
      </c>
      <c r="H206" s="26"/>
    </row>
    <row r="207">
      <c r="A207" s="16" t="s">
        <v>1178</v>
      </c>
      <c r="B207" s="27" t="s">
        <v>2107</v>
      </c>
      <c r="C207" s="27" t="s">
        <v>2107</v>
      </c>
      <c r="D207" s="21" t="s">
        <v>1177</v>
      </c>
      <c r="E207" s="21" t="s">
        <v>1177</v>
      </c>
      <c r="F207" s="21" t="s">
        <v>1177</v>
      </c>
      <c r="G207" s="21" t="s">
        <v>1177</v>
      </c>
      <c r="H207" s="26"/>
    </row>
    <row r="208">
      <c r="A208" s="16" t="s">
        <v>1181</v>
      </c>
      <c r="B208" s="28" t="s">
        <v>1177</v>
      </c>
      <c r="C208" s="28" t="s">
        <v>1177</v>
      </c>
      <c r="D208" s="28" t="s">
        <v>1177</v>
      </c>
      <c r="E208" s="28" t="s">
        <v>1177</v>
      </c>
      <c r="F208" s="28" t="s">
        <v>1177</v>
      </c>
      <c r="G208" s="28" t="s">
        <v>1177</v>
      </c>
      <c r="H208" s="26"/>
    </row>
    <row r="209">
      <c r="A209" s="16" t="s">
        <v>1182</v>
      </c>
      <c r="B209" s="21" t="s">
        <v>1298</v>
      </c>
      <c r="C209" s="21" t="s">
        <v>2094</v>
      </c>
      <c r="D209" s="21" t="s">
        <v>1177</v>
      </c>
      <c r="E209" s="21" t="s">
        <v>1177</v>
      </c>
      <c r="F209" s="21" t="s">
        <v>1177</v>
      </c>
      <c r="G209" s="21" t="s">
        <v>1177</v>
      </c>
      <c r="H209" s="26"/>
    </row>
    <row r="210">
      <c r="A210" s="16" t="s">
        <v>1186</v>
      </c>
      <c r="B210" s="28" t="s">
        <v>1187</v>
      </c>
      <c r="C210" s="28" t="s">
        <v>1187</v>
      </c>
      <c r="D210" s="28" t="s">
        <v>1177</v>
      </c>
      <c r="E210" s="28" t="s">
        <v>1177</v>
      </c>
      <c r="F210" s="28" t="s">
        <v>1177</v>
      </c>
      <c r="G210" s="28" t="s">
        <v>1177</v>
      </c>
      <c r="H210" s="26"/>
    </row>
    <row r="211">
      <c r="A211" s="20" t="s">
        <v>1188</v>
      </c>
      <c r="B211" s="21" t="s">
        <v>1177</v>
      </c>
      <c r="C211" s="21" t="s">
        <v>1177</v>
      </c>
      <c r="D211" s="21" t="s">
        <v>1177</v>
      </c>
      <c r="E211" s="21" t="s">
        <v>1177</v>
      </c>
      <c r="F211" s="21" t="s">
        <v>1177</v>
      </c>
      <c r="G211" s="21" t="s">
        <v>1177</v>
      </c>
      <c r="H211" s="26"/>
    </row>
    <row r="212">
      <c r="A212" s="29"/>
      <c r="B212" s="21" t="s">
        <v>1177</v>
      </c>
      <c r="C212" s="21" t="s">
        <v>1177</v>
      </c>
      <c r="D212" s="21" t="s">
        <v>1177</v>
      </c>
      <c r="E212" s="21" t="s">
        <v>1177</v>
      </c>
      <c r="F212" s="21" t="s">
        <v>1177</v>
      </c>
      <c r="G212" s="21" t="s">
        <v>1177</v>
      </c>
      <c r="H212" s="26"/>
    </row>
    <row r="213">
      <c r="A213" s="29"/>
      <c r="B213" s="21" t="s">
        <v>1177</v>
      </c>
      <c r="C213" s="21" t="s">
        <v>1177</v>
      </c>
      <c r="D213" s="21" t="s">
        <v>1177</v>
      </c>
      <c r="E213" s="21" t="s">
        <v>1177</v>
      </c>
      <c r="F213" s="21" t="s">
        <v>1177</v>
      </c>
      <c r="G213" s="21" t="s">
        <v>1177</v>
      </c>
      <c r="H213" s="26"/>
    </row>
    <row r="214">
      <c r="A214" s="24"/>
      <c r="B214" s="21" t="s">
        <v>1177</v>
      </c>
      <c r="C214" s="21" t="s">
        <v>1177</v>
      </c>
      <c r="D214" s="21" t="s">
        <v>1177</v>
      </c>
      <c r="E214" s="21" t="s">
        <v>1177</v>
      </c>
      <c r="F214" s="21" t="s">
        <v>1177</v>
      </c>
      <c r="G214" s="21" t="s">
        <v>1177</v>
      </c>
      <c r="H214" s="30"/>
      <c r="I214" s="14"/>
    </row>
    <row r="215">
      <c r="A215" s="16" t="s">
        <v>1174</v>
      </c>
      <c r="B215" s="17" t="s">
        <v>2228</v>
      </c>
      <c r="C215" s="18"/>
      <c r="D215" s="18"/>
      <c r="E215" s="18"/>
      <c r="F215" s="18"/>
      <c r="G215" s="18"/>
      <c r="H215" s="18"/>
      <c r="I215" s="16"/>
    </row>
    <row r="216" ht="60.0" customHeight="1">
      <c r="A216" s="20" t="s">
        <v>1176</v>
      </c>
      <c r="B216" s="21" t="str">
        <f t="array" ref="B216">iferror(VLOOKUP(INDIRECT(ADDRESS(ROW()+1,COLUMN(), 4)),Dex!$A$2:$C794,3,false),"")</f>
        <v/>
      </c>
      <c r="C216" s="21" t="str">
        <f t="array" ref="C216">iferror(VLOOKUP(INDIRECT(ADDRESS(ROW()+1,COLUMN(), 4)),Dex!$A$2:$C794,3,false),"")</f>
        <v/>
      </c>
      <c r="D216" s="21" t="s">
        <v>1177</v>
      </c>
      <c r="E216" s="21" t="s">
        <v>1177</v>
      </c>
      <c r="F216" s="21" t="s">
        <v>1177</v>
      </c>
      <c r="G216" s="21" t="s">
        <v>1177</v>
      </c>
      <c r="H216" s="22" t="str">
        <f t="array" ref="H216">iferror(VLOOKUP("TRAINER_PIC_SWIMMER_F",Sprites!$A$1:$B794,2,false),"")</f>
        <v/>
      </c>
      <c r="I216" s="23"/>
    </row>
    <row r="217">
      <c r="A217" s="24"/>
      <c r="B217" s="25" t="s">
        <v>996</v>
      </c>
      <c r="C217" s="25" t="s">
        <v>365</v>
      </c>
      <c r="D217" s="25" t="s">
        <v>1177</v>
      </c>
      <c r="E217" s="25" t="s">
        <v>1177</v>
      </c>
      <c r="F217" s="25" t="s">
        <v>1177</v>
      </c>
      <c r="G217" s="25" t="s">
        <v>1177</v>
      </c>
      <c r="H217" s="26"/>
    </row>
    <row r="218">
      <c r="A218" s="16" t="s">
        <v>1178</v>
      </c>
      <c r="B218" s="27" t="s">
        <v>2107</v>
      </c>
      <c r="C218" s="27" t="s">
        <v>2107</v>
      </c>
      <c r="D218" s="21" t="s">
        <v>1177</v>
      </c>
      <c r="E218" s="21" t="s">
        <v>1177</v>
      </c>
      <c r="F218" s="21" t="s">
        <v>1177</v>
      </c>
      <c r="G218" s="21" t="s">
        <v>1177</v>
      </c>
      <c r="H218" s="26"/>
    </row>
    <row r="219">
      <c r="A219" s="16" t="s">
        <v>1181</v>
      </c>
      <c r="B219" s="28" t="s">
        <v>1177</v>
      </c>
      <c r="C219" s="28" t="s">
        <v>1177</v>
      </c>
      <c r="D219" s="28" t="s">
        <v>1177</v>
      </c>
      <c r="E219" s="28" t="s">
        <v>1177</v>
      </c>
      <c r="F219" s="28" t="s">
        <v>1177</v>
      </c>
      <c r="G219" s="28" t="s">
        <v>1177</v>
      </c>
      <c r="H219" s="26"/>
    </row>
    <row r="220">
      <c r="A220" s="16" t="s">
        <v>1182</v>
      </c>
      <c r="B220" s="21" t="s">
        <v>1964</v>
      </c>
      <c r="C220" s="21" t="s">
        <v>1212</v>
      </c>
      <c r="D220" s="21" t="s">
        <v>1177</v>
      </c>
      <c r="E220" s="21" t="s">
        <v>1177</v>
      </c>
      <c r="F220" s="21" t="s">
        <v>1177</v>
      </c>
      <c r="G220" s="21" t="s">
        <v>1177</v>
      </c>
      <c r="H220" s="26"/>
    </row>
    <row r="221">
      <c r="A221" s="16" t="s">
        <v>1186</v>
      </c>
      <c r="B221" s="28" t="s">
        <v>1187</v>
      </c>
      <c r="C221" s="28" t="s">
        <v>1187</v>
      </c>
      <c r="D221" s="28" t="s">
        <v>1177</v>
      </c>
      <c r="E221" s="28" t="s">
        <v>1177</v>
      </c>
      <c r="F221" s="28" t="s">
        <v>1177</v>
      </c>
      <c r="G221" s="28" t="s">
        <v>1177</v>
      </c>
      <c r="H221" s="26"/>
    </row>
    <row r="222">
      <c r="A222" s="20" t="s">
        <v>1188</v>
      </c>
      <c r="B222" s="21" t="s">
        <v>1177</v>
      </c>
      <c r="C222" s="21" t="s">
        <v>1177</v>
      </c>
      <c r="D222" s="21" t="s">
        <v>1177</v>
      </c>
      <c r="E222" s="21" t="s">
        <v>1177</v>
      </c>
      <c r="F222" s="21" t="s">
        <v>1177</v>
      </c>
      <c r="G222" s="21" t="s">
        <v>1177</v>
      </c>
      <c r="H222" s="26"/>
    </row>
    <row r="223">
      <c r="A223" s="29"/>
      <c r="B223" s="21" t="s">
        <v>1177</v>
      </c>
      <c r="C223" s="21" t="s">
        <v>1177</v>
      </c>
      <c r="D223" s="21" t="s">
        <v>1177</v>
      </c>
      <c r="E223" s="21" t="s">
        <v>1177</v>
      </c>
      <c r="F223" s="21" t="s">
        <v>1177</v>
      </c>
      <c r="G223" s="21" t="s">
        <v>1177</v>
      </c>
      <c r="H223" s="26"/>
    </row>
    <row r="224">
      <c r="A224" s="29"/>
      <c r="B224" s="21" t="s">
        <v>1177</v>
      </c>
      <c r="C224" s="21" t="s">
        <v>1177</v>
      </c>
      <c r="D224" s="21" t="s">
        <v>1177</v>
      </c>
      <c r="E224" s="21" t="s">
        <v>1177</v>
      </c>
      <c r="F224" s="21" t="s">
        <v>1177</v>
      </c>
      <c r="G224" s="21" t="s">
        <v>1177</v>
      </c>
      <c r="H224" s="26"/>
    </row>
    <row r="225">
      <c r="A225" s="24"/>
      <c r="B225" s="21" t="s">
        <v>1177</v>
      </c>
      <c r="C225" s="21" t="s">
        <v>1177</v>
      </c>
      <c r="D225" s="21" t="s">
        <v>1177</v>
      </c>
      <c r="E225" s="21" t="s">
        <v>1177</v>
      </c>
      <c r="F225" s="21" t="s">
        <v>1177</v>
      </c>
      <c r="G225" s="21" t="s">
        <v>1177</v>
      </c>
      <c r="H225" s="30"/>
      <c r="I225" s="14"/>
    </row>
    <row r="226">
      <c r="A226" s="16" t="s">
        <v>1174</v>
      </c>
      <c r="B226" s="17" t="s">
        <v>2229</v>
      </c>
      <c r="C226" s="18"/>
      <c r="D226" s="18"/>
      <c r="E226" s="18"/>
      <c r="F226" s="18"/>
      <c r="G226" s="18"/>
      <c r="H226" s="18"/>
      <c r="I226" s="16"/>
    </row>
    <row r="227" ht="60.0" customHeight="1">
      <c r="A227" s="20" t="s">
        <v>1176</v>
      </c>
      <c r="B227" s="21" t="str">
        <f t="array" ref="B227">iferror(VLOOKUP(INDIRECT(ADDRESS(ROW()+1,COLUMN(), 4)),Dex!$A$2:$C794,3,false),"")</f>
        <v/>
      </c>
      <c r="C227" s="21" t="str">
        <f t="array" ref="C227">iferror(VLOOKUP(INDIRECT(ADDRESS(ROW()+1,COLUMN(), 4)),Dex!$A$2:$C794,3,false),"")</f>
        <v/>
      </c>
      <c r="D227" s="21" t="s">
        <v>1177</v>
      </c>
      <c r="E227" s="21" t="s">
        <v>1177</v>
      </c>
      <c r="F227" s="21" t="s">
        <v>1177</v>
      </c>
      <c r="G227" s="21" t="s">
        <v>1177</v>
      </c>
      <c r="H227" s="22" t="str">
        <f t="array" ref="H227">iferror(VLOOKUP("TRAINER_PIC_SWIMMER_M",Sprites!$A$1:$B794,2,false),"")</f>
        <v/>
      </c>
      <c r="I227" s="23"/>
    </row>
    <row r="228">
      <c r="A228" s="24"/>
      <c r="B228" s="25" t="s">
        <v>689</v>
      </c>
      <c r="C228" s="25" t="s">
        <v>316</v>
      </c>
      <c r="D228" s="25" t="s">
        <v>1177</v>
      </c>
      <c r="E228" s="25" t="s">
        <v>1177</v>
      </c>
      <c r="F228" s="25" t="s">
        <v>1177</v>
      </c>
      <c r="G228" s="25" t="s">
        <v>1177</v>
      </c>
      <c r="H228" s="26"/>
    </row>
    <row r="229">
      <c r="A229" s="16" t="s">
        <v>1178</v>
      </c>
      <c r="B229" s="27" t="s">
        <v>2107</v>
      </c>
      <c r="C229" s="27" t="s">
        <v>2107</v>
      </c>
      <c r="D229" s="21" t="s">
        <v>1177</v>
      </c>
      <c r="E229" s="21" t="s">
        <v>1177</v>
      </c>
      <c r="F229" s="21" t="s">
        <v>1177</v>
      </c>
      <c r="G229" s="21" t="s">
        <v>1177</v>
      </c>
      <c r="H229" s="26"/>
    </row>
    <row r="230">
      <c r="A230" s="16" t="s">
        <v>1181</v>
      </c>
      <c r="B230" s="28" t="s">
        <v>1177</v>
      </c>
      <c r="C230" s="28" t="s">
        <v>1177</v>
      </c>
      <c r="D230" s="28" t="s">
        <v>1177</v>
      </c>
      <c r="E230" s="28" t="s">
        <v>1177</v>
      </c>
      <c r="F230" s="28" t="s">
        <v>1177</v>
      </c>
      <c r="G230" s="28" t="s">
        <v>1177</v>
      </c>
      <c r="H230" s="26"/>
    </row>
    <row r="231">
      <c r="A231" s="16" t="s">
        <v>1182</v>
      </c>
      <c r="B231" s="21" t="s">
        <v>1212</v>
      </c>
      <c r="C231" s="21" t="s">
        <v>1212</v>
      </c>
      <c r="D231" s="21" t="s">
        <v>1177</v>
      </c>
      <c r="E231" s="21" t="s">
        <v>1177</v>
      </c>
      <c r="F231" s="21" t="s">
        <v>1177</v>
      </c>
      <c r="G231" s="21" t="s">
        <v>1177</v>
      </c>
      <c r="H231" s="26"/>
    </row>
    <row r="232">
      <c r="A232" s="16" t="s">
        <v>1186</v>
      </c>
      <c r="B232" s="28" t="s">
        <v>1187</v>
      </c>
      <c r="C232" s="28" t="s">
        <v>1187</v>
      </c>
      <c r="D232" s="28" t="s">
        <v>1177</v>
      </c>
      <c r="E232" s="28" t="s">
        <v>1177</v>
      </c>
      <c r="F232" s="28" t="s">
        <v>1177</v>
      </c>
      <c r="G232" s="28" t="s">
        <v>1177</v>
      </c>
      <c r="H232" s="26"/>
    </row>
    <row r="233">
      <c r="A233" s="20" t="s">
        <v>1188</v>
      </c>
      <c r="B233" s="21" t="s">
        <v>1177</v>
      </c>
      <c r="C233" s="21" t="s">
        <v>1177</v>
      </c>
      <c r="D233" s="21" t="s">
        <v>1177</v>
      </c>
      <c r="E233" s="21" t="s">
        <v>1177</v>
      </c>
      <c r="F233" s="21" t="s">
        <v>1177</v>
      </c>
      <c r="G233" s="21" t="s">
        <v>1177</v>
      </c>
      <c r="H233" s="26"/>
    </row>
    <row r="234">
      <c r="A234" s="29"/>
      <c r="B234" s="21" t="s">
        <v>1177</v>
      </c>
      <c r="C234" s="21" t="s">
        <v>1177</v>
      </c>
      <c r="D234" s="21" t="s">
        <v>1177</v>
      </c>
      <c r="E234" s="21" t="s">
        <v>1177</v>
      </c>
      <c r="F234" s="21" t="s">
        <v>1177</v>
      </c>
      <c r="G234" s="21" t="s">
        <v>1177</v>
      </c>
      <c r="H234" s="26"/>
    </row>
    <row r="235">
      <c r="A235" s="29"/>
      <c r="B235" s="21" t="s">
        <v>1177</v>
      </c>
      <c r="C235" s="21" t="s">
        <v>1177</v>
      </c>
      <c r="D235" s="21" t="s">
        <v>1177</v>
      </c>
      <c r="E235" s="21" t="s">
        <v>1177</v>
      </c>
      <c r="F235" s="21" t="s">
        <v>1177</v>
      </c>
      <c r="G235" s="21" t="s">
        <v>1177</v>
      </c>
      <c r="H235" s="26"/>
    </row>
    <row r="236">
      <c r="A236" s="24"/>
      <c r="B236" s="21" t="s">
        <v>1177</v>
      </c>
      <c r="C236" s="21" t="s">
        <v>1177</v>
      </c>
      <c r="D236" s="21" t="s">
        <v>1177</v>
      </c>
      <c r="E236" s="21" t="s">
        <v>1177</v>
      </c>
      <c r="F236" s="21" t="s">
        <v>1177</v>
      </c>
      <c r="G236" s="21" t="s">
        <v>1177</v>
      </c>
      <c r="H236" s="30"/>
      <c r="I236" s="14"/>
    </row>
    <row r="237">
      <c r="A237" s="16" t="s">
        <v>1174</v>
      </c>
      <c r="B237" s="17" t="s">
        <v>2230</v>
      </c>
      <c r="C237" s="18"/>
      <c r="D237" s="18"/>
      <c r="E237" s="18"/>
      <c r="F237" s="18"/>
      <c r="G237" s="18"/>
      <c r="H237" s="18"/>
      <c r="I237" s="19"/>
    </row>
    <row r="238" ht="60.0" customHeight="1">
      <c r="A238" s="20" t="s">
        <v>1176</v>
      </c>
      <c r="B238" s="21" t="str">
        <f t="array" ref="B238">iferror(VLOOKUP(INDIRECT(ADDRESS(ROW()+1,COLUMN(), 4)),Dex!$A$2:$C794,3,false),"")</f>
        <v/>
      </c>
      <c r="C238" s="21" t="str">
        <f t="array" ref="C238">iferror(VLOOKUP(INDIRECT(ADDRESS(ROW()+1,COLUMN(), 4)),Dex!$A$2:$C794,3,false),"")</f>
        <v/>
      </c>
      <c r="D238" s="21" t="str">
        <f t="array" ref="D238">iferror(VLOOKUP(INDIRECT(ADDRESS(ROW()+1,COLUMN(), 4)),Dex!$A$2:$C794,3,false),"")</f>
        <v/>
      </c>
      <c r="E238" s="21" t="str">
        <f t="array" ref="E238">iferror(VLOOKUP(INDIRECT(ADDRESS(ROW()+1,COLUMN(), 4)),Dex!$A$2:$C794,3,false),"")</f>
        <v/>
      </c>
      <c r="F238" s="21" t="str">
        <f t="array" ref="F238">iferror(VLOOKUP(INDIRECT(ADDRESS(ROW()+1,COLUMN(), 4)),Dex!$A$2:$C794,3,false),"")</f>
        <v/>
      </c>
      <c r="G238" s="21" t="str">
        <f t="array" ref="G238">iferror(VLOOKUP(INDIRECT(ADDRESS(ROW()+1,COLUMN(), 4)),Dex!$A$2:$C794,3,false),"")</f>
        <v/>
      </c>
      <c r="H238" s="22" t="str">
        <f t="array" ref="H238">iferror(VLOOKUP("TRAINER_PIC_SAILOR",Sprites!$A$1:$B794,2,false),"")</f>
        <v/>
      </c>
      <c r="I238" s="23"/>
    </row>
    <row r="239">
      <c r="A239" s="24"/>
      <c r="B239" s="25" t="s">
        <v>546</v>
      </c>
      <c r="C239" s="25" t="s">
        <v>958</v>
      </c>
      <c r="D239" s="25" t="s">
        <v>193</v>
      </c>
      <c r="E239" s="25" t="s">
        <v>452</v>
      </c>
      <c r="F239" s="25" t="s">
        <v>893</v>
      </c>
      <c r="G239" s="25" t="s">
        <v>1169</v>
      </c>
      <c r="H239" s="26"/>
    </row>
    <row r="240">
      <c r="A240" s="16" t="s">
        <v>1178</v>
      </c>
      <c r="B240" s="27" t="s">
        <v>2212</v>
      </c>
      <c r="C240" s="27" t="s">
        <v>2211</v>
      </c>
      <c r="D240" s="27" t="s">
        <v>2211</v>
      </c>
      <c r="E240" s="27" t="s">
        <v>2211</v>
      </c>
      <c r="F240" s="27" t="s">
        <v>2211</v>
      </c>
      <c r="G240" s="27" t="s">
        <v>2211</v>
      </c>
      <c r="H240" s="26"/>
    </row>
    <row r="241">
      <c r="A241" s="16" t="s">
        <v>1181</v>
      </c>
      <c r="B241" s="28" t="s">
        <v>2231</v>
      </c>
      <c r="C241" s="28" t="s">
        <v>1247</v>
      </c>
      <c r="D241" s="28" t="s">
        <v>2201</v>
      </c>
      <c r="E241" s="28" t="s">
        <v>1295</v>
      </c>
      <c r="F241" s="28" t="s">
        <v>2036</v>
      </c>
      <c r="G241" s="28" t="s">
        <v>1838</v>
      </c>
      <c r="H241" s="26"/>
    </row>
    <row r="242">
      <c r="A242" s="16" t="s">
        <v>1182</v>
      </c>
      <c r="B242" s="21" t="s">
        <v>1907</v>
      </c>
      <c r="C242" s="21" t="s">
        <v>1753</v>
      </c>
      <c r="D242" s="21" t="s">
        <v>1298</v>
      </c>
      <c r="E242" s="21" t="s">
        <v>1895</v>
      </c>
      <c r="F242" s="21" t="s">
        <v>1199</v>
      </c>
      <c r="G242" s="21" t="s">
        <v>1298</v>
      </c>
      <c r="H242" s="26"/>
    </row>
    <row r="243">
      <c r="A243" s="16" t="s">
        <v>1186</v>
      </c>
      <c r="B243" s="28" t="s">
        <v>1235</v>
      </c>
      <c r="C243" s="28" t="s">
        <v>1235</v>
      </c>
      <c r="D243" s="28" t="s">
        <v>1235</v>
      </c>
      <c r="E243" s="28" t="s">
        <v>1284</v>
      </c>
      <c r="F243" s="28" t="s">
        <v>1754</v>
      </c>
      <c r="G243" s="28" t="s">
        <v>1235</v>
      </c>
      <c r="H243" s="26"/>
    </row>
    <row r="244">
      <c r="A244" s="20" t="s">
        <v>1188</v>
      </c>
      <c r="B244" s="21" t="s">
        <v>1738</v>
      </c>
      <c r="C244" s="21" t="s">
        <v>1983</v>
      </c>
      <c r="D244" s="21" t="s">
        <v>1834</v>
      </c>
      <c r="E244" s="21" t="s">
        <v>1251</v>
      </c>
      <c r="F244" s="21" t="s">
        <v>1923</v>
      </c>
      <c r="G244" s="21" t="s">
        <v>1814</v>
      </c>
      <c r="H244" s="26"/>
    </row>
    <row r="245">
      <c r="A245" s="29"/>
      <c r="B245" s="21" t="s">
        <v>1432</v>
      </c>
      <c r="C245" s="21" t="s">
        <v>1469</v>
      </c>
      <c r="D245" s="21" t="s">
        <v>1983</v>
      </c>
      <c r="E245" s="21" t="s">
        <v>1793</v>
      </c>
      <c r="F245" s="21" t="s">
        <v>1438</v>
      </c>
      <c r="G245" s="21" t="s">
        <v>1967</v>
      </c>
      <c r="H245" s="26"/>
    </row>
    <row r="246">
      <c r="A246" s="29"/>
      <c r="B246" s="21" t="s">
        <v>1225</v>
      </c>
      <c r="C246" s="21" t="s">
        <v>1759</v>
      </c>
      <c r="D246" s="21" t="s">
        <v>1330</v>
      </c>
      <c r="E246" s="21" t="s">
        <v>1468</v>
      </c>
      <c r="F246" s="21" t="s">
        <v>1779</v>
      </c>
      <c r="G246" s="21" t="s">
        <v>1760</v>
      </c>
      <c r="H246" s="26"/>
    </row>
    <row r="247">
      <c r="A247" s="24"/>
      <c r="B247" s="21" t="s">
        <v>1874</v>
      </c>
      <c r="C247" s="21" t="s">
        <v>1252</v>
      </c>
      <c r="D247" s="21" t="s">
        <v>1915</v>
      </c>
      <c r="E247" s="21" t="s">
        <v>1311</v>
      </c>
      <c r="F247" s="21" t="s">
        <v>1389</v>
      </c>
      <c r="G247" s="21" t="s">
        <v>1621</v>
      </c>
      <c r="H247" s="30"/>
      <c r="I247" s="14"/>
    </row>
    <row r="248">
      <c r="A248" s="37"/>
      <c r="B248" s="38" t="s">
        <v>2232</v>
      </c>
      <c r="C248" s="14"/>
      <c r="D248" s="14"/>
      <c r="E248" s="14"/>
      <c r="F248" s="14"/>
      <c r="G248" s="14"/>
      <c r="H248" s="24"/>
      <c r="I248" s="33"/>
    </row>
    <row r="249">
      <c r="A249" s="16" t="s">
        <v>1174</v>
      </c>
      <c r="B249" s="17" t="s">
        <v>2233</v>
      </c>
      <c r="C249" s="18"/>
      <c r="D249" s="18"/>
      <c r="E249" s="18"/>
      <c r="F249" s="18"/>
      <c r="G249" s="18"/>
      <c r="H249" s="18"/>
      <c r="I249" s="16"/>
    </row>
    <row r="250" ht="60.0" customHeight="1">
      <c r="A250" s="20" t="s">
        <v>1176</v>
      </c>
      <c r="B250" s="21" t="str">
        <f t="array" ref="B250">iferror(VLOOKUP(INDIRECT(ADDRESS(ROW()+1,COLUMN(), 4)),Dex!$A$2:$C794,3,false),"")</f>
        <v/>
      </c>
      <c r="C250" s="21" t="str">
        <f t="array" ref="C250">iferror(VLOOKUP(INDIRECT(ADDRESS(ROW()+1,COLUMN(), 4)),Dex!$A$2:$C794,3,false),"")</f>
        <v/>
      </c>
      <c r="D250" s="21" t="s">
        <v>1177</v>
      </c>
      <c r="E250" s="21" t="s">
        <v>1177</v>
      </c>
      <c r="F250" s="21" t="s">
        <v>1177</v>
      </c>
      <c r="G250" s="21" t="s">
        <v>1177</v>
      </c>
      <c r="H250" s="22" t="str">
        <f t="array" ref="H250">iferror(VLOOKUP("TRAINER_PIC_BEAUTY",Sprites!$A$1:$B794,2,false),"")</f>
        <v/>
      </c>
      <c r="I250" s="23"/>
    </row>
    <row r="251">
      <c r="A251" s="24"/>
      <c r="B251" s="25" t="s">
        <v>421</v>
      </c>
      <c r="C251" s="25" t="s">
        <v>316</v>
      </c>
      <c r="D251" s="25" t="s">
        <v>1177</v>
      </c>
      <c r="E251" s="25" t="s">
        <v>1177</v>
      </c>
      <c r="F251" s="25" t="s">
        <v>1177</v>
      </c>
      <c r="G251" s="25" t="s">
        <v>1177</v>
      </c>
      <c r="H251" s="26"/>
    </row>
    <row r="252">
      <c r="A252" s="16" t="s">
        <v>1178</v>
      </c>
      <c r="B252" s="27" t="s">
        <v>2107</v>
      </c>
      <c r="C252" s="27" t="s">
        <v>2107</v>
      </c>
      <c r="D252" s="21" t="s">
        <v>1177</v>
      </c>
      <c r="E252" s="21" t="s">
        <v>1177</v>
      </c>
      <c r="F252" s="21" t="s">
        <v>1177</v>
      </c>
      <c r="G252" s="21" t="s">
        <v>1177</v>
      </c>
      <c r="H252" s="26"/>
    </row>
    <row r="253">
      <c r="A253" s="16" t="s">
        <v>1181</v>
      </c>
      <c r="B253" s="28" t="s">
        <v>1177</v>
      </c>
      <c r="C253" s="28" t="s">
        <v>1177</v>
      </c>
      <c r="D253" s="28" t="s">
        <v>1177</v>
      </c>
      <c r="E253" s="28" t="s">
        <v>1177</v>
      </c>
      <c r="F253" s="28" t="s">
        <v>1177</v>
      </c>
      <c r="G253" s="28" t="s">
        <v>1177</v>
      </c>
      <c r="H253" s="26"/>
    </row>
    <row r="254">
      <c r="A254" s="16" t="s">
        <v>1182</v>
      </c>
      <c r="B254" s="21" t="s">
        <v>1614</v>
      </c>
      <c r="C254" s="21" t="s">
        <v>1212</v>
      </c>
      <c r="D254" s="21" t="s">
        <v>1177</v>
      </c>
      <c r="E254" s="21" t="s">
        <v>1177</v>
      </c>
      <c r="F254" s="21" t="s">
        <v>1177</v>
      </c>
      <c r="G254" s="21" t="s">
        <v>1177</v>
      </c>
      <c r="H254" s="26"/>
    </row>
    <row r="255">
      <c r="A255" s="16" t="s">
        <v>1186</v>
      </c>
      <c r="B255" s="28" t="s">
        <v>1187</v>
      </c>
      <c r="C255" s="28" t="s">
        <v>1187</v>
      </c>
      <c r="D255" s="28" t="s">
        <v>1177</v>
      </c>
      <c r="E255" s="28" t="s">
        <v>1177</v>
      </c>
      <c r="F255" s="28" t="s">
        <v>1177</v>
      </c>
      <c r="G255" s="28" t="s">
        <v>1177</v>
      </c>
      <c r="H255" s="26"/>
    </row>
    <row r="256">
      <c r="A256" s="20" t="s">
        <v>1188</v>
      </c>
      <c r="B256" s="21" t="s">
        <v>1177</v>
      </c>
      <c r="C256" s="21" t="s">
        <v>1177</v>
      </c>
      <c r="D256" s="21" t="s">
        <v>1177</v>
      </c>
      <c r="E256" s="21" t="s">
        <v>1177</v>
      </c>
      <c r="F256" s="21" t="s">
        <v>1177</v>
      </c>
      <c r="G256" s="21" t="s">
        <v>1177</v>
      </c>
      <c r="H256" s="26"/>
    </row>
    <row r="257">
      <c r="A257" s="29"/>
      <c r="B257" s="21" t="s">
        <v>1177</v>
      </c>
      <c r="C257" s="21" t="s">
        <v>1177</v>
      </c>
      <c r="D257" s="21" t="s">
        <v>1177</v>
      </c>
      <c r="E257" s="21" t="s">
        <v>1177</v>
      </c>
      <c r="F257" s="21" t="s">
        <v>1177</v>
      </c>
      <c r="G257" s="21" t="s">
        <v>1177</v>
      </c>
      <c r="H257" s="26"/>
    </row>
    <row r="258">
      <c r="A258" s="29"/>
      <c r="B258" s="21" t="s">
        <v>1177</v>
      </c>
      <c r="C258" s="21" t="s">
        <v>1177</v>
      </c>
      <c r="D258" s="21" t="s">
        <v>1177</v>
      </c>
      <c r="E258" s="21" t="s">
        <v>1177</v>
      </c>
      <c r="F258" s="21" t="s">
        <v>1177</v>
      </c>
      <c r="G258" s="21" t="s">
        <v>1177</v>
      </c>
      <c r="H258" s="26"/>
    </row>
    <row r="259">
      <c r="A259" s="24"/>
      <c r="B259" s="21" t="s">
        <v>1177</v>
      </c>
      <c r="C259" s="21" t="s">
        <v>1177</v>
      </c>
      <c r="D259" s="21" t="s">
        <v>1177</v>
      </c>
      <c r="E259" s="21" t="s">
        <v>1177</v>
      </c>
      <c r="F259" s="21" t="s">
        <v>1177</v>
      </c>
      <c r="G259" s="21" t="s">
        <v>1177</v>
      </c>
      <c r="H259" s="30"/>
      <c r="I259" s="14"/>
    </row>
    <row r="260">
      <c r="A260" s="16" t="s">
        <v>1174</v>
      </c>
      <c r="B260" s="17" t="s">
        <v>2234</v>
      </c>
      <c r="C260" s="18"/>
      <c r="D260" s="18"/>
      <c r="E260" s="18"/>
      <c r="F260" s="18"/>
      <c r="G260" s="18"/>
      <c r="H260" s="18"/>
      <c r="I260" s="16"/>
    </row>
    <row r="261" ht="60.0" customHeight="1">
      <c r="A261" s="20" t="s">
        <v>1176</v>
      </c>
      <c r="B261" s="21" t="str">
        <f t="array" ref="B261">iferror(VLOOKUP(INDIRECT(ADDRESS(ROW()+1,COLUMN(), 4)),Dex!$A$2:$C794,3,false),"")</f>
        <v/>
      </c>
      <c r="C261" s="21" t="str">
        <f t="array" ref="C261">iferror(VLOOKUP(INDIRECT(ADDRESS(ROW()+1,COLUMN(), 4)),Dex!$A$2:$C794,3,false),"")</f>
        <v/>
      </c>
      <c r="D261" s="21" t="s">
        <v>1177</v>
      </c>
      <c r="E261" s="21" t="s">
        <v>1177</v>
      </c>
      <c r="F261" s="21" t="s">
        <v>1177</v>
      </c>
      <c r="G261" s="21" t="s">
        <v>1177</v>
      </c>
      <c r="H261" s="22" t="str">
        <f t="array" ref="H261">iferror(VLOOKUP("TRAINER_PIC_YOUNGSTER",Sprites!$A$1:$B794,2,false),"")</f>
        <v/>
      </c>
      <c r="I261" s="23"/>
    </row>
    <row r="262">
      <c r="A262" s="24"/>
      <c r="B262" s="25" t="s">
        <v>1104</v>
      </c>
      <c r="C262" s="25" t="s">
        <v>1070</v>
      </c>
      <c r="D262" s="25" t="s">
        <v>1177</v>
      </c>
      <c r="E262" s="25" t="s">
        <v>1177</v>
      </c>
      <c r="F262" s="25" t="s">
        <v>1177</v>
      </c>
      <c r="G262" s="25" t="s">
        <v>1177</v>
      </c>
      <c r="H262" s="26"/>
    </row>
    <row r="263">
      <c r="A263" s="16" t="s">
        <v>1178</v>
      </c>
      <c r="B263" s="27" t="s">
        <v>2107</v>
      </c>
      <c r="C263" s="27" t="s">
        <v>2107</v>
      </c>
      <c r="D263" s="21" t="s">
        <v>1177</v>
      </c>
      <c r="E263" s="21" t="s">
        <v>1177</v>
      </c>
      <c r="F263" s="21" t="s">
        <v>1177</v>
      </c>
      <c r="G263" s="21" t="s">
        <v>1177</v>
      </c>
      <c r="H263" s="26"/>
    </row>
    <row r="264">
      <c r="A264" s="16" t="s">
        <v>1181</v>
      </c>
      <c r="B264" s="28" t="s">
        <v>1177</v>
      </c>
      <c r="C264" s="28" t="s">
        <v>1177</v>
      </c>
      <c r="D264" s="28" t="s">
        <v>1177</v>
      </c>
      <c r="E264" s="28" t="s">
        <v>1177</v>
      </c>
      <c r="F264" s="28" t="s">
        <v>1177</v>
      </c>
      <c r="G264" s="28" t="s">
        <v>1177</v>
      </c>
      <c r="H264" s="26"/>
    </row>
    <row r="265">
      <c r="A265" s="16" t="s">
        <v>1182</v>
      </c>
      <c r="B265" s="21" t="s">
        <v>1883</v>
      </c>
      <c r="C265" s="21" t="s">
        <v>1681</v>
      </c>
      <c r="D265" s="21" t="s">
        <v>1177</v>
      </c>
      <c r="E265" s="21" t="s">
        <v>1177</v>
      </c>
      <c r="F265" s="21" t="s">
        <v>1177</v>
      </c>
      <c r="G265" s="21" t="s">
        <v>1177</v>
      </c>
      <c r="H265" s="26"/>
    </row>
    <row r="266">
      <c r="A266" s="16" t="s">
        <v>1186</v>
      </c>
      <c r="B266" s="28" t="s">
        <v>1187</v>
      </c>
      <c r="C266" s="28" t="s">
        <v>1187</v>
      </c>
      <c r="D266" s="28" t="s">
        <v>1177</v>
      </c>
      <c r="E266" s="28" t="s">
        <v>1177</v>
      </c>
      <c r="F266" s="28" t="s">
        <v>1177</v>
      </c>
      <c r="G266" s="28" t="s">
        <v>1177</v>
      </c>
      <c r="H266" s="26"/>
    </row>
    <row r="267">
      <c r="A267" s="20" t="s">
        <v>1188</v>
      </c>
      <c r="B267" s="21" t="s">
        <v>1177</v>
      </c>
      <c r="C267" s="21" t="s">
        <v>1177</v>
      </c>
      <c r="D267" s="21" t="s">
        <v>1177</v>
      </c>
      <c r="E267" s="21" t="s">
        <v>1177</v>
      </c>
      <c r="F267" s="21" t="s">
        <v>1177</v>
      </c>
      <c r="G267" s="21" t="s">
        <v>1177</v>
      </c>
      <c r="H267" s="26"/>
    </row>
    <row r="268">
      <c r="A268" s="29"/>
      <c r="B268" s="21" t="s">
        <v>1177</v>
      </c>
      <c r="C268" s="21" t="s">
        <v>1177</v>
      </c>
      <c r="D268" s="21" t="s">
        <v>1177</v>
      </c>
      <c r="E268" s="21" t="s">
        <v>1177</v>
      </c>
      <c r="F268" s="21" t="s">
        <v>1177</v>
      </c>
      <c r="G268" s="21" t="s">
        <v>1177</v>
      </c>
      <c r="H268" s="26"/>
    </row>
    <row r="269">
      <c r="A269" s="29"/>
      <c r="B269" s="21" t="s">
        <v>1177</v>
      </c>
      <c r="C269" s="21" t="s">
        <v>1177</v>
      </c>
      <c r="D269" s="21" t="s">
        <v>1177</v>
      </c>
      <c r="E269" s="21" t="s">
        <v>1177</v>
      </c>
      <c r="F269" s="21" t="s">
        <v>1177</v>
      </c>
      <c r="G269" s="21" t="s">
        <v>1177</v>
      </c>
      <c r="H269" s="26"/>
    </row>
    <row r="270">
      <c r="A270" s="24"/>
      <c r="B270" s="21" t="s">
        <v>1177</v>
      </c>
      <c r="C270" s="21" t="s">
        <v>1177</v>
      </c>
      <c r="D270" s="21" t="s">
        <v>1177</v>
      </c>
      <c r="E270" s="21" t="s">
        <v>1177</v>
      </c>
      <c r="F270" s="21" t="s">
        <v>1177</v>
      </c>
      <c r="G270" s="21" t="s">
        <v>1177</v>
      </c>
      <c r="H270" s="30"/>
      <c r="I270" s="14"/>
    </row>
    <row r="271">
      <c r="A271" s="16" t="s">
        <v>1174</v>
      </c>
      <c r="B271" s="17" t="s">
        <v>2235</v>
      </c>
      <c r="C271" s="18"/>
      <c r="D271" s="18"/>
      <c r="E271" s="18"/>
      <c r="F271" s="18"/>
      <c r="G271" s="18"/>
      <c r="H271" s="18"/>
      <c r="I271" s="16"/>
    </row>
    <row r="272" ht="60.0" customHeight="1">
      <c r="A272" s="20" t="s">
        <v>1176</v>
      </c>
      <c r="B272" s="21" t="str">
        <f t="array" ref="B272">iferror(VLOOKUP(INDIRECT(ADDRESS(ROW()+1,COLUMN(), 4)),Dex!$A$2:$C794,3,false),"")</f>
        <v/>
      </c>
      <c r="C272" s="21" t="str">
        <f t="array" ref="C272">iferror(VLOOKUP(INDIRECT(ADDRESS(ROW()+1,COLUMN(), 4)),Dex!$A$2:$C794,3,false),"")</f>
        <v/>
      </c>
      <c r="D272" s="21" t="s">
        <v>1177</v>
      </c>
      <c r="E272" s="21" t="s">
        <v>1177</v>
      </c>
      <c r="F272" s="21" t="s">
        <v>1177</v>
      </c>
      <c r="G272" s="21" t="s">
        <v>1177</v>
      </c>
      <c r="H272" s="22" t="str">
        <f t="array" ref="H272">iferror(VLOOKUP("TRAINER_PIC_SAILOR",Sprites!$A$1:$B794,2,false),"")</f>
        <v/>
      </c>
      <c r="I272" s="23"/>
    </row>
    <row r="273">
      <c r="A273" s="24"/>
      <c r="B273" s="25" t="s">
        <v>510</v>
      </c>
      <c r="C273" s="25" t="s">
        <v>686</v>
      </c>
      <c r="D273" s="25" t="s">
        <v>1177</v>
      </c>
      <c r="E273" s="25" t="s">
        <v>1177</v>
      </c>
      <c r="F273" s="25" t="s">
        <v>1177</v>
      </c>
      <c r="G273" s="25" t="s">
        <v>1177</v>
      </c>
      <c r="H273" s="26"/>
    </row>
    <row r="274">
      <c r="A274" s="16" t="s">
        <v>1178</v>
      </c>
      <c r="B274" s="27" t="s">
        <v>2107</v>
      </c>
      <c r="C274" s="27" t="s">
        <v>2107</v>
      </c>
      <c r="D274" s="21" t="s">
        <v>1177</v>
      </c>
      <c r="E274" s="21" t="s">
        <v>1177</v>
      </c>
      <c r="F274" s="21" t="s">
        <v>1177</v>
      </c>
      <c r="G274" s="21" t="s">
        <v>1177</v>
      </c>
      <c r="H274" s="26"/>
    </row>
    <row r="275">
      <c r="A275" s="16" t="s">
        <v>1181</v>
      </c>
      <c r="B275" s="28" t="s">
        <v>1177</v>
      </c>
      <c r="C275" s="28" t="s">
        <v>1177</v>
      </c>
      <c r="D275" s="28" t="s">
        <v>1177</v>
      </c>
      <c r="E275" s="28" t="s">
        <v>1177</v>
      </c>
      <c r="F275" s="28" t="s">
        <v>1177</v>
      </c>
      <c r="G275" s="28" t="s">
        <v>1177</v>
      </c>
      <c r="H275" s="26"/>
    </row>
    <row r="276">
      <c r="A276" s="16" t="s">
        <v>1182</v>
      </c>
      <c r="B276" s="21" t="s">
        <v>1648</v>
      </c>
      <c r="C276" s="21" t="s">
        <v>1419</v>
      </c>
      <c r="D276" s="21" t="s">
        <v>1177</v>
      </c>
      <c r="E276" s="21" t="s">
        <v>1177</v>
      </c>
      <c r="F276" s="21" t="s">
        <v>1177</v>
      </c>
      <c r="G276" s="21" t="s">
        <v>1177</v>
      </c>
      <c r="H276" s="26"/>
    </row>
    <row r="277">
      <c r="A277" s="16" t="s">
        <v>1186</v>
      </c>
      <c r="B277" s="28" t="s">
        <v>1187</v>
      </c>
      <c r="C277" s="28" t="s">
        <v>1187</v>
      </c>
      <c r="D277" s="28" t="s">
        <v>1177</v>
      </c>
      <c r="E277" s="28" t="s">
        <v>1177</v>
      </c>
      <c r="F277" s="28" t="s">
        <v>1177</v>
      </c>
      <c r="G277" s="28" t="s">
        <v>1177</v>
      </c>
      <c r="H277" s="26"/>
    </row>
    <row r="278">
      <c r="A278" s="20" t="s">
        <v>1188</v>
      </c>
      <c r="B278" s="21" t="s">
        <v>1177</v>
      </c>
      <c r="C278" s="21" t="s">
        <v>1177</v>
      </c>
      <c r="D278" s="21" t="s">
        <v>1177</v>
      </c>
      <c r="E278" s="21" t="s">
        <v>1177</v>
      </c>
      <c r="F278" s="21" t="s">
        <v>1177</v>
      </c>
      <c r="G278" s="21" t="s">
        <v>1177</v>
      </c>
      <c r="H278" s="26"/>
    </row>
    <row r="279">
      <c r="A279" s="29"/>
      <c r="B279" s="21" t="s">
        <v>1177</v>
      </c>
      <c r="C279" s="21" t="s">
        <v>1177</v>
      </c>
      <c r="D279" s="21" t="s">
        <v>1177</v>
      </c>
      <c r="E279" s="21" t="s">
        <v>1177</v>
      </c>
      <c r="F279" s="21" t="s">
        <v>1177</v>
      </c>
      <c r="G279" s="21" t="s">
        <v>1177</v>
      </c>
      <c r="H279" s="26"/>
    </row>
    <row r="280">
      <c r="A280" s="29"/>
      <c r="B280" s="21" t="s">
        <v>1177</v>
      </c>
      <c r="C280" s="21" t="s">
        <v>1177</v>
      </c>
      <c r="D280" s="21" t="s">
        <v>1177</v>
      </c>
      <c r="E280" s="21" t="s">
        <v>1177</v>
      </c>
      <c r="F280" s="21" t="s">
        <v>1177</v>
      </c>
      <c r="G280" s="21" t="s">
        <v>1177</v>
      </c>
      <c r="H280" s="26"/>
    </row>
    <row r="281">
      <c r="A281" s="24"/>
      <c r="B281" s="21" t="s">
        <v>1177</v>
      </c>
      <c r="C281" s="21" t="s">
        <v>1177</v>
      </c>
      <c r="D281" s="21" t="s">
        <v>1177</v>
      </c>
      <c r="E281" s="21" t="s">
        <v>1177</v>
      </c>
      <c r="F281" s="21" t="s">
        <v>1177</v>
      </c>
      <c r="G281" s="21" t="s">
        <v>1177</v>
      </c>
      <c r="H281" s="30"/>
      <c r="I281" s="14"/>
    </row>
    <row r="282">
      <c r="A282" s="16" t="s">
        <v>1174</v>
      </c>
      <c r="B282" s="17" t="s">
        <v>2236</v>
      </c>
      <c r="C282" s="18"/>
      <c r="D282" s="18"/>
      <c r="E282" s="18"/>
      <c r="F282" s="18"/>
      <c r="G282" s="18"/>
      <c r="H282" s="18"/>
      <c r="I282" s="16"/>
    </row>
    <row r="283" ht="60.0" customHeight="1">
      <c r="A283" s="20" t="s">
        <v>1176</v>
      </c>
      <c r="B283" s="21" t="str">
        <f t="array" ref="B283">iferror(VLOOKUP(INDIRECT(ADDRESS(ROW()+1,COLUMN(), 4)),Dex!$A$2:$C794,3,false),"")</f>
        <v/>
      </c>
      <c r="C283" s="21" t="s">
        <v>1177</v>
      </c>
      <c r="D283" s="21" t="s">
        <v>1177</v>
      </c>
      <c r="E283" s="21" t="s">
        <v>1177</v>
      </c>
      <c r="F283" s="21" t="s">
        <v>1177</v>
      </c>
      <c r="G283" s="21" t="s">
        <v>1177</v>
      </c>
      <c r="H283" s="22" t="str">
        <f t="array" ref="H283">iferror(VLOOKUP("TRAINER_PIC_TUBER_M",Sprites!$A$1:$B794,2,false),"")</f>
        <v/>
      </c>
      <c r="I283" s="23"/>
    </row>
    <row r="284">
      <c r="A284" s="24"/>
      <c r="B284" s="25" t="s">
        <v>261</v>
      </c>
      <c r="C284" s="25" t="s">
        <v>1177</v>
      </c>
      <c r="D284" s="25" t="s">
        <v>1177</v>
      </c>
      <c r="E284" s="25" t="s">
        <v>1177</v>
      </c>
      <c r="F284" s="25" t="s">
        <v>1177</v>
      </c>
      <c r="G284" s="25" t="s">
        <v>1177</v>
      </c>
      <c r="H284" s="26"/>
    </row>
    <row r="285">
      <c r="A285" s="16" t="s">
        <v>1178</v>
      </c>
      <c r="B285" s="27" t="s">
        <v>2107</v>
      </c>
      <c r="C285" s="21" t="s">
        <v>1177</v>
      </c>
      <c r="D285" s="21" t="s">
        <v>1177</v>
      </c>
      <c r="E285" s="21" t="s">
        <v>1177</v>
      </c>
      <c r="F285" s="21" t="s">
        <v>1177</v>
      </c>
      <c r="G285" s="21" t="s">
        <v>1177</v>
      </c>
      <c r="H285" s="26"/>
    </row>
    <row r="286">
      <c r="A286" s="16" t="s">
        <v>1181</v>
      </c>
      <c r="B286" s="28" t="s">
        <v>1177</v>
      </c>
      <c r="C286" s="28" t="s">
        <v>1177</v>
      </c>
      <c r="D286" s="28" t="s">
        <v>1177</v>
      </c>
      <c r="E286" s="28" t="s">
        <v>1177</v>
      </c>
      <c r="F286" s="28" t="s">
        <v>1177</v>
      </c>
      <c r="G286" s="28" t="s">
        <v>1177</v>
      </c>
      <c r="H286" s="26"/>
    </row>
    <row r="287">
      <c r="A287" s="16" t="s">
        <v>1182</v>
      </c>
      <c r="B287" s="21" t="s">
        <v>1748</v>
      </c>
      <c r="C287" s="21" t="s">
        <v>1177</v>
      </c>
      <c r="D287" s="21" t="s">
        <v>1177</v>
      </c>
      <c r="E287" s="21" t="s">
        <v>1177</v>
      </c>
      <c r="F287" s="21" t="s">
        <v>1177</v>
      </c>
      <c r="G287" s="21" t="s">
        <v>1177</v>
      </c>
      <c r="H287" s="26"/>
    </row>
    <row r="288">
      <c r="A288" s="16" t="s">
        <v>1186</v>
      </c>
      <c r="B288" s="28" t="s">
        <v>1187</v>
      </c>
      <c r="C288" s="28" t="s">
        <v>1177</v>
      </c>
      <c r="D288" s="28" t="s">
        <v>1177</v>
      </c>
      <c r="E288" s="28" t="s">
        <v>1177</v>
      </c>
      <c r="F288" s="28" t="s">
        <v>1177</v>
      </c>
      <c r="G288" s="28" t="s">
        <v>1177</v>
      </c>
      <c r="H288" s="26"/>
    </row>
    <row r="289">
      <c r="A289" s="20" t="s">
        <v>1188</v>
      </c>
      <c r="B289" s="21" t="s">
        <v>1177</v>
      </c>
      <c r="C289" s="21" t="s">
        <v>1177</v>
      </c>
      <c r="D289" s="21" t="s">
        <v>1177</v>
      </c>
      <c r="E289" s="21" t="s">
        <v>1177</v>
      </c>
      <c r="F289" s="21" t="s">
        <v>1177</v>
      </c>
      <c r="G289" s="21" t="s">
        <v>1177</v>
      </c>
      <c r="H289" s="26"/>
    </row>
    <row r="290">
      <c r="A290" s="29"/>
      <c r="B290" s="21" t="s">
        <v>1177</v>
      </c>
      <c r="C290" s="21" t="s">
        <v>1177</v>
      </c>
      <c r="D290" s="21" t="s">
        <v>1177</v>
      </c>
      <c r="E290" s="21" t="s">
        <v>1177</v>
      </c>
      <c r="F290" s="21" t="s">
        <v>1177</v>
      </c>
      <c r="G290" s="21" t="s">
        <v>1177</v>
      </c>
      <c r="H290" s="26"/>
    </row>
    <row r="291">
      <c r="A291" s="29"/>
      <c r="B291" s="21" t="s">
        <v>1177</v>
      </c>
      <c r="C291" s="21" t="s">
        <v>1177</v>
      </c>
      <c r="D291" s="21" t="s">
        <v>1177</v>
      </c>
      <c r="E291" s="21" t="s">
        <v>1177</v>
      </c>
      <c r="F291" s="21" t="s">
        <v>1177</v>
      </c>
      <c r="G291" s="21" t="s">
        <v>1177</v>
      </c>
      <c r="H291" s="26"/>
    </row>
    <row r="292">
      <c r="A292" s="24"/>
      <c r="B292" s="21" t="s">
        <v>1177</v>
      </c>
      <c r="C292" s="21" t="s">
        <v>1177</v>
      </c>
      <c r="D292" s="21" t="s">
        <v>1177</v>
      </c>
      <c r="E292" s="21" t="s">
        <v>1177</v>
      </c>
      <c r="F292" s="21" t="s">
        <v>1177</v>
      </c>
      <c r="G292" s="21" t="s">
        <v>1177</v>
      </c>
      <c r="H292" s="30"/>
      <c r="I292" s="14"/>
    </row>
    <row r="293">
      <c r="A293" s="16" t="s">
        <v>1174</v>
      </c>
      <c r="B293" s="17" t="s">
        <v>2237</v>
      </c>
      <c r="C293" s="18"/>
      <c r="D293" s="18"/>
      <c r="E293" s="18"/>
      <c r="F293" s="18"/>
      <c r="G293" s="18"/>
      <c r="H293" s="18"/>
      <c r="I293" s="16"/>
    </row>
    <row r="294" ht="60.0" customHeight="1">
      <c r="A294" s="20" t="s">
        <v>1176</v>
      </c>
      <c r="B294" s="21" t="str">
        <f t="array" ref="B294">iferror(VLOOKUP(INDIRECT(ADDRESS(ROW()+1,COLUMN(), 4)),Dex!$A$2:$C794,3,false),"")</f>
        <v/>
      </c>
      <c r="C294" s="21" t="str">
        <f t="array" ref="C294">iferror(VLOOKUP(INDIRECT(ADDRESS(ROW()+1,COLUMN(), 4)),Dex!$A$2:$C794,3,false),"")</f>
        <v/>
      </c>
      <c r="D294" s="21" t="s">
        <v>1177</v>
      </c>
      <c r="E294" s="21" t="s">
        <v>1177</v>
      </c>
      <c r="F294" s="21" t="s">
        <v>1177</v>
      </c>
      <c r="G294" s="21" t="s">
        <v>1177</v>
      </c>
      <c r="H294" s="22" t="str">
        <f t="array" ref="H294">iferror(VLOOKUP("TRAINER_PIC_YOUNG_COUPLE",Sprites!$A$1:$B794,2,false),"")</f>
        <v/>
      </c>
      <c r="I294" s="23"/>
    </row>
    <row r="295">
      <c r="A295" s="24"/>
      <c r="B295" s="25" t="s">
        <v>748</v>
      </c>
      <c r="C295" s="25" t="s">
        <v>776</v>
      </c>
      <c r="D295" s="25" t="s">
        <v>1177</v>
      </c>
      <c r="E295" s="25" t="s">
        <v>1177</v>
      </c>
      <c r="F295" s="25" t="s">
        <v>1177</v>
      </c>
      <c r="G295" s="25" t="s">
        <v>1177</v>
      </c>
      <c r="H295" s="26"/>
    </row>
    <row r="296">
      <c r="A296" s="16" t="s">
        <v>1178</v>
      </c>
      <c r="B296" s="27" t="s">
        <v>2107</v>
      </c>
      <c r="C296" s="27" t="s">
        <v>2107</v>
      </c>
      <c r="D296" s="21" t="s">
        <v>1177</v>
      </c>
      <c r="E296" s="21" t="s">
        <v>1177</v>
      </c>
      <c r="F296" s="21" t="s">
        <v>1177</v>
      </c>
      <c r="G296" s="21" t="s">
        <v>1177</v>
      </c>
      <c r="H296" s="26"/>
    </row>
    <row r="297">
      <c r="A297" s="16" t="s">
        <v>1181</v>
      </c>
      <c r="B297" s="28" t="s">
        <v>1177</v>
      </c>
      <c r="C297" s="28" t="s">
        <v>1177</v>
      </c>
      <c r="D297" s="28" t="s">
        <v>1177</v>
      </c>
      <c r="E297" s="28" t="s">
        <v>1177</v>
      </c>
      <c r="F297" s="28" t="s">
        <v>1177</v>
      </c>
      <c r="G297" s="28" t="s">
        <v>1177</v>
      </c>
      <c r="H297" s="26"/>
    </row>
    <row r="298">
      <c r="A298" s="16" t="s">
        <v>1182</v>
      </c>
      <c r="B298" s="21" t="s">
        <v>1445</v>
      </c>
      <c r="C298" s="21" t="s">
        <v>1317</v>
      </c>
      <c r="D298" s="21" t="s">
        <v>1177</v>
      </c>
      <c r="E298" s="21" t="s">
        <v>1177</v>
      </c>
      <c r="F298" s="21" t="s">
        <v>1177</v>
      </c>
      <c r="G298" s="21" t="s">
        <v>1177</v>
      </c>
      <c r="H298" s="26"/>
    </row>
    <row r="299">
      <c r="A299" s="16" t="s">
        <v>1186</v>
      </c>
      <c r="B299" s="28" t="s">
        <v>1187</v>
      </c>
      <c r="C299" s="28" t="s">
        <v>1187</v>
      </c>
      <c r="D299" s="28" t="s">
        <v>1177</v>
      </c>
      <c r="E299" s="28" t="s">
        <v>1177</v>
      </c>
      <c r="F299" s="28" t="s">
        <v>1177</v>
      </c>
      <c r="G299" s="28" t="s">
        <v>1177</v>
      </c>
      <c r="H299" s="26"/>
    </row>
    <row r="300">
      <c r="A300" s="20" t="s">
        <v>1188</v>
      </c>
      <c r="B300" s="21" t="s">
        <v>1177</v>
      </c>
      <c r="C300" s="21" t="s">
        <v>1177</v>
      </c>
      <c r="D300" s="21" t="s">
        <v>1177</v>
      </c>
      <c r="E300" s="21" t="s">
        <v>1177</v>
      </c>
      <c r="F300" s="21" t="s">
        <v>1177</v>
      </c>
      <c r="G300" s="21" t="s">
        <v>1177</v>
      </c>
      <c r="H300" s="26"/>
    </row>
    <row r="301">
      <c r="A301" s="29"/>
      <c r="B301" s="21" t="s">
        <v>1177</v>
      </c>
      <c r="C301" s="21" t="s">
        <v>1177</v>
      </c>
      <c r="D301" s="21" t="s">
        <v>1177</v>
      </c>
      <c r="E301" s="21" t="s">
        <v>1177</v>
      </c>
      <c r="F301" s="21" t="s">
        <v>1177</v>
      </c>
      <c r="G301" s="21" t="s">
        <v>1177</v>
      </c>
      <c r="H301" s="26"/>
    </row>
    <row r="302">
      <c r="A302" s="29"/>
      <c r="B302" s="21" t="s">
        <v>1177</v>
      </c>
      <c r="C302" s="21" t="s">
        <v>1177</v>
      </c>
      <c r="D302" s="21" t="s">
        <v>1177</v>
      </c>
      <c r="E302" s="21" t="s">
        <v>1177</v>
      </c>
      <c r="F302" s="21" t="s">
        <v>1177</v>
      </c>
      <c r="G302" s="21" t="s">
        <v>1177</v>
      </c>
      <c r="H302" s="26"/>
    </row>
    <row r="303">
      <c r="A303" s="24"/>
      <c r="B303" s="21" t="s">
        <v>1177</v>
      </c>
      <c r="C303" s="21" t="s">
        <v>1177</v>
      </c>
      <c r="D303" s="21" t="s">
        <v>1177</v>
      </c>
      <c r="E303" s="21" t="s">
        <v>1177</v>
      </c>
      <c r="F303" s="21" t="s">
        <v>1177</v>
      </c>
      <c r="G303" s="21" t="s">
        <v>1177</v>
      </c>
      <c r="H303" s="30"/>
      <c r="I303" s="14"/>
    </row>
    <row r="304">
      <c r="A304" s="16" t="s">
        <v>1174</v>
      </c>
      <c r="B304" s="17" t="s">
        <v>2238</v>
      </c>
      <c r="C304" s="18"/>
      <c r="D304" s="18"/>
      <c r="E304" s="18"/>
      <c r="F304" s="18"/>
      <c r="G304" s="18"/>
      <c r="H304" s="18"/>
      <c r="I304" s="19"/>
    </row>
    <row r="305" ht="60.0" customHeight="1">
      <c r="A305" s="20" t="s">
        <v>1176</v>
      </c>
      <c r="B305" s="21" t="str">
        <f t="array" ref="B305">iferror(VLOOKUP(INDIRECT(ADDRESS(ROW()+1,COLUMN(), 4)),Dex!$A$2:$C794,3,false),"")</f>
        <v/>
      </c>
      <c r="C305" s="21" t="str">
        <f t="array" ref="C305">iferror(VLOOKUP(INDIRECT(ADDRESS(ROW()+1,COLUMN(), 4)),Dex!$A$2:$C794,3,false),"")</f>
        <v/>
      </c>
      <c r="D305" s="21" t="str">
        <f t="array" ref="D305">iferror(VLOOKUP(INDIRECT(ADDRESS(ROW()+1,COLUMN(), 4)),Dex!$A$2:$C794,3,false),"")</f>
        <v/>
      </c>
      <c r="E305" s="21" t="str">
        <f t="array" ref="E305">iferror(VLOOKUP(INDIRECT(ADDRESS(ROW()+1,COLUMN(), 4)),Dex!$A$2:$C794,3,false),"")</f>
        <v/>
      </c>
      <c r="F305" s="21" t="str">
        <f t="array" ref="F305">iferror(VLOOKUP(INDIRECT(ADDRESS(ROW()+1,COLUMN(), 4)),Dex!$A$2:$C794,3,false),"")</f>
        <v/>
      </c>
      <c r="G305" s="21" t="str">
        <f t="array" ref="G305">iferror(VLOOKUP(INDIRECT(ADDRESS(ROW()+1,COLUMN(), 4)),Dex!$A$2:$C794,3,false),"")</f>
        <v/>
      </c>
      <c r="H305" s="22" t="str">
        <f t="array" ref="H305">iferror(VLOOKUP("TRAINER_PIC_TUBER_F",Sprites!$A$1:$B794,2,false),"")</f>
        <v/>
      </c>
      <c r="I305" s="23"/>
    </row>
    <row r="306">
      <c r="A306" s="24"/>
      <c r="B306" s="25" t="s">
        <v>765</v>
      </c>
      <c r="C306" s="25" t="s">
        <v>429</v>
      </c>
      <c r="D306" s="25" t="s">
        <v>993</v>
      </c>
      <c r="E306" s="25" t="s">
        <v>683</v>
      </c>
      <c r="F306" s="25" t="s">
        <v>598</v>
      </c>
      <c r="G306" s="25" t="s">
        <v>375</v>
      </c>
      <c r="H306" s="26"/>
    </row>
    <row r="307">
      <c r="A307" s="16" t="s">
        <v>1178</v>
      </c>
      <c r="B307" s="27" t="s">
        <v>2211</v>
      </c>
      <c r="C307" s="27" t="s">
        <v>2212</v>
      </c>
      <c r="D307" s="27" t="s">
        <v>2211</v>
      </c>
      <c r="E307" s="27" t="s">
        <v>2212</v>
      </c>
      <c r="F307" s="27" t="s">
        <v>2211</v>
      </c>
      <c r="G307" s="27" t="s">
        <v>2211</v>
      </c>
      <c r="H307" s="26"/>
    </row>
    <row r="308">
      <c r="A308" s="16" t="s">
        <v>1181</v>
      </c>
      <c r="B308" s="28" t="s">
        <v>1901</v>
      </c>
      <c r="C308" s="28" t="s">
        <v>2239</v>
      </c>
      <c r="D308" s="28" t="s">
        <v>1882</v>
      </c>
      <c r="E308" s="28" t="s">
        <v>2240</v>
      </c>
      <c r="F308" s="28" t="s">
        <v>2146</v>
      </c>
      <c r="G308" s="28" t="s">
        <v>2146</v>
      </c>
      <c r="H308" s="26"/>
    </row>
    <row r="309">
      <c r="A309" s="16" t="s">
        <v>1182</v>
      </c>
      <c r="B309" s="21" t="s">
        <v>1844</v>
      </c>
      <c r="C309" s="21" t="s">
        <v>1675</v>
      </c>
      <c r="D309" s="21" t="s">
        <v>1947</v>
      </c>
      <c r="E309" s="21" t="s">
        <v>1812</v>
      </c>
      <c r="F309" s="21" t="s">
        <v>1356</v>
      </c>
      <c r="G309" s="21" t="s">
        <v>1844</v>
      </c>
      <c r="H309" s="26"/>
    </row>
    <row r="310">
      <c r="A310" s="16" t="s">
        <v>1186</v>
      </c>
      <c r="B310" s="28" t="s">
        <v>1447</v>
      </c>
      <c r="C310" s="28" t="s">
        <v>1754</v>
      </c>
      <c r="D310" s="28" t="s">
        <v>1754</v>
      </c>
      <c r="E310" s="28" t="s">
        <v>1447</v>
      </c>
      <c r="F310" s="28" t="s">
        <v>1754</v>
      </c>
      <c r="G310" s="28" t="s">
        <v>1447</v>
      </c>
      <c r="H310" s="26"/>
    </row>
    <row r="311">
      <c r="A311" s="20" t="s">
        <v>1188</v>
      </c>
      <c r="B311" s="21" t="s">
        <v>1731</v>
      </c>
      <c r="C311" s="21" t="s">
        <v>1779</v>
      </c>
      <c r="D311" s="21" t="s">
        <v>1372</v>
      </c>
      <c r="E311" s="21" t="s">
        <v>1815</v>
      </c>
      <c r="F311" s="21" t="s">
        <v>1874</v>
      </c>
      <c r="G311" s="21" t="s">
        <v>1815</v>
      </c>
      <c r="H311" s="26"/>
    </row>
    <row r="312">
      <c r="A312" s="29"/>
      <c r="B312" s="21" t="s">
        <v>2214</v>
      </c>
      <c r="C312" s="21" t="s">
        <v>1655</v>
      </c>
      <c r="D312" s="21" t="s">
        <v>1952</v>
      </c>
      <c r="E312" s="21" t="s">
        <v>1606</v>
      </c>
      <c r="F312" s="21" t="s">
        <v>1469</v>
      </c>
      <c r="G312" s="21" t="s">
        <v>1731</v>
      </c>
      <c r="H312" s="26"/>
    </row>
    <row r="313">
      <c r="A313" s="29"/>
      <c r="B313" s="21" t="s">
        <v>1742</v>
      </c>
      <c r="C313" s="21" t="s">
        <v>1192</v>
      </c>
      <c r="D313" s="21" t="s">
        <v>1924</v>
      </c>
      <c r="E313" s="21" t="s">
        <v>2241</v>
      </c>
      <c r="F313" s="21" t="s">
        <v>1410</v>
      </c>
      <c r="G313" s="21" t="s">
        <v>1698</v>
      </c>
      <c r="H313" s="26"/>
    </row>
    <row r="314">
      <c r="A314" s="24"/>
      <c r="B314" s="21" t="s">
        <v>1954</v>
      </c>
      <c r="C314" s="21" t="s">
        <v>1389</v>
      </c>
      <c r="D314" s="21" t="s">
        <v>1954</v>
      </c>
      <c r="E314" s="21" t="s">
        <v>1954</v>
      </c>
      <c r="F314" s="21" t="s">
        <v>1954</v>
      </c>
      <c r="G314" s="21" t="s">
        <v>1954</v>
      </c>
      <c r="H314" s="30"/>
      <c r="I314" s="14"/>
    </row>
    <row r="315">
      <c r="A315" s="37"/>
      <c r="B315" s="38" t="s">
        <v>1312</v>
      </c>
      <c r="C315" s="14"/>
      <c r="D315" s="14"/>
      <c r="E315" s="14"/>
      <c r="F315" s="14"/>
      <c r="G315" s="14"/>
      <c r="H315" s="24"/>
      <c r="I315" s="33"/>
    </row>
    <row r="316">
      <c r="A316" s="16" t="s">
        <v>1174</v>
      </c>
      <c r="B316" s="17" t="s">
        <v>2242</v>
      </c>
      <c r="C316" s="18"/>
      <c r="D316" s="18"/>
      <c r="E316" s="18"/>
      <c r="F316" s="18"/>
      <c r="G316" s="18"/>
      <c r="H316" s="18"/>
      <c r="I316" s="16"/>
    </row>
    <row r="317" ht="60.0" customHeight="1">
      <c r="A317" s="20" t="s">
        <v>1176</v>
      </c>
      <c r="B317" s="21" t="str">
        <f t="array" ref="B317">iferror(VLOOKUP(INDIRECT(ADDRESS(ROW()+1,COLUMN(), 4)),Dex!$A$2:$C794,3,false),"")</f>
        <v/>
      </c>
      <c r="C317" s="21" t="str">
        <f t="array" ref="C317">iferror(VLOOKUP(INDIRECT(ADDRESS(ROW()+1,COLUMN(), 4)),Dex!$A$2:$C794,3,false),"")</f>
        <v/>
      </c>
      <c r="D317" s="21" t="s">
        <v>1177</v>
      </c>
      <c r="E317" s="21" t="s">
        <v>1177</v>
      </c>
      <c r="F317" s="21" t="s">
        <v>1177</v>
      </c>
      <c r="G317" s="21" t="s">
        <v>1177</v>
      </c>
      <c r="H317" s="22" t="str">
        <f t="array" ref="H317">iferror(VLOOKUP("TRAINER_PIC_BIRD_KEEPER",Sprites!$A$1:$B794,2,false),"")</f>
        <v/>
      </c>
      <c r="I317" s="23"/>
    </row>
    <row r="318">
      <c r="A318" s="24"/>
      <c r="B318" s="25" t="s">
        <v>875</v>
      </c>
      <c r="C318" s="25" t="s">
        <v>193</v>
      </c>
      <c r="D318" s="25" t="s">
        <v>1177</v>
      </c>
      <c r="E318" s="25" t="s">
        <v>1177</v>
      </c>
      <c r="F318" s="25" t="s">
        <v>1177</v>
      </c>
      <c r="G318" s="25" t="s">
        <v>1177</v>
      </c>
      <c r="H318" s="26"/>
    </row>
    <row r="319">
      <c r="A319" s="16" t="s">
        <v>1178</v>
      </c>
      <c r="B319" s="27" t="s">
        <v>2107</v>
      </c>
      <c r="C319" s="27" t="s">
        <v>2107</v>
      </c>
      <c r="D319" s="21" t="s">
        <v>1177</v>
      </c>
      <c r="E319" s="21" t="s">
        <v>1177</v>
      </c>
      <c r="F319" s="21" t="s">
        <v>1177</v>
      </c>
      <c r="G319" s="21" t="s">
        <v>1177</v>
      </c>
      <c r="H319" s="26"/>
    </row>
    <row r="320">
      <c r="A320" s="16" t="s">
        <v>1181</v>
      </c>
      <c r="B320" s="28" t="s">
        <v>1177</v>
      </c>
      <c r="C320" s="28" t="s">
        <v>1177</v>
      </c>
      <c r="D320" s="28" t="s">
        <v>1177</v>
      </c>
      <c r="E320" s="28" t="s">
        <v>1177</v>
      </c>
      <c r="F320" s="28" t="s">
        <v>1177</v>
      </c>
      <c r="G320" s="28" t="s">
        <v>1177</v>
      </c>
      <c r="H320" s="26"/>
    </row>
    <row r="321">
      <c r="A321" s="16" t="s">
        <v>1182</v>
      </c>
      <c r="B321" s="21" t="s">
        <v>1232</v>
      </c>
      <c r="C321" s="21" t="s">
        <v>1298</v>
      </c>
      <c r="D321" s="21" t="s">
        <v>1177</v>
      </c>
      <c r="E321" s="21" t="s">
        <v>1177</v>
      </c>
      <c r="F321" s="21" t="s">
        <v>1177</v>
      </c>
      <c r="G321" s="21" t="s">
        <v>1177</v>
      </c>
      <c r="H321" s="26"/>
    </row>
    <row r="322">
      <c r="A322" s="16" t="s">
        <v>1186</v>
      </c>
      <c r="B322" s="28" t="s">
        <v>1187</v>
      </c>
      <c r="C322" s="28" t="s">
        <v>1187</v>
      </c>
      <c r="D322" s="28" t="s">
        <v>1177</v>
      </c>
      <c r="E322" s="28" t="s">
        <v>1177</v>
      </c>
      <c r="F322" s="28" t="s">
        <v>1177</v>
      </c>
      <c r="G322" s="28" t="s">
        <v>1177</v>
      </c>
      <c r="H322" s="26"/>
    </row>
    <row r="323">
      <c r="A323" s="20" t="s">
        <v>1188</v>
      </c>
      <c r="B323" s="21" t="s">
        <v>1177</v>
      </c>
      <c r="C323" s="21" t="s">
        <v>1177</v>
      </c>
      <c r="D323" s="21" t="s">
        <v>1177</v>
      </c>
      <c r="E323" s="21" t="s">
        <v>1177</v>
      </c>
      <c r="F323" s="21" t="s">
        <v>1177</v>
      </c>
      <c r="G323" s="21" t="s">
        <v>1177</v>
      </c>
      <c r="H323" s="26"/>
    </row>
    <row r="324">
      <c r="A324" s="29"/>
      <c r="B324" s="21" t="s">
        <v>1177</v>
      </c>
      <c r="C324" s="21" t="s">
        <v>1177</v>
      </c>
      <c r="D324" s="21" t="s">
        <v>1177</v>
      </c>
      <c r="E324" s="21" t="s">
        <v>1177</v>
      </c>
      <c r="F324" s="21" t="s">
        <v>1177</v>
      </c>
      <c r="G324" s="21" t="s">
        <v>1177</v>
      </c>
      <c r="H324" s="26"/>
    </row>
    <row r="325">
      <c r="A325" s="29"/>
      <c r="B325" s="21" t="s">
        <v>1177</v>
      </c>
      <c r="C325" s="21" t="s">
        <v>1177</v>
      </c>
      <c r="D325" s="21" t="s">
        <v>1177</v>
      </c>
      <c r="E325" s="21" t="s">
        <v>1177</v>
      </c>
      <c r="F325" s="21" t="s">
        <v>1177</v>
      </c>
      <c r="G325" s="21" t="s">
        <v>1177</v>
      </c>
      <c r="H325" s="26"/>
    </row>
    <row r="326">
      <c r="A326" s="24"/>
      <c r="B326" s="21" t="s">
        <v>1177</v>
      </c>
      <c r="C326" s="21" t="s">
        <v>1177</v>
      </c>
      <c r="D326" s="21" t="s">
        <v>1177</v>
      </c>
      <c r="E326" s="21" t="s">
        <v>1177</v>
      </c>
      <c r="F326" s="21" t="s">
        <v>1177</v>
      </c>
      <c r="G326" s="21" t="s">
        <v>1177</v>
      </c>
      <c r="H326" s="30"/>
      <c r="I326" s="14"/>
    </row>
    <row r="327">
      <c r="A327" s="16" t="s">
        <v>1174</v>
      </c>
      <c r="B327" s="17" t="s">
        <v>2243</v>
      </c>
      <c r="C327" s="18"/>
      <c r="D327" s="18"/>
      <c r="E327" s="18"/>
      <c r="F327" s="18"/>
      <c r="G327" s="18"/>
      <c r="H327" s="18"/>
      <c r="I327" s="16"/>
    </row>
    <row r="328" ht="60.0" customHeight="1">
      <c r="A328" s="20" t="s">
        <v>1176</v>
      </c>
      <c r="B328" s="21" t="str">
        <f t="array" ref="B328">iferror(VLOOKUP(INDIRECT(ADDRESS(ROW()+1,COLUMN(), 4)),Dex!$A$2:$C794,3,false),"")</f>
        <v/>
      </c>
      <c r="C328" s="21" t="str">
        <f t="array" ref="C328">iferror(VLOOKUP(INDIRECT(ADDRESS(ROW()+1,COLUMN(), 4)),Dex!$A$2:$C794,3,false),"")</f>
        <v/>
      </c>
      <c r="D328" s="21" t="s">
        <v>1177</v>
      </c>
      <c r="E328" s="21" t="s">
        <v>1177</v>
      </c>
      <c r="F328" s="21" t="s">
        <v>1177</v>
      </c>
      <c r="G328" s="21" t="s">
        <v>1177</v>
      </c>
      <c r="H328" s="22" t="str">
        <f t="array" ref="H328">iferror(VLOOKUP("TRAINER_PIC_FISHERMAN",Sprites!$A$1:$B794,2,false),"")</f>
        <v/>
      </c>
      <c r="I328" s="23"/>
    </row>
    <row r="329">
      <c r="A329" s="24"/>
      <c r="B329" s="25" t="s">
        <v>1067</v>
      </c>
      <c r="C329" s="25" t="s">
        <v>18</v>
      </c>
      <c r="D329" s="25" t="s">
        <v>1177</v>
      </c>
      <c r="E329" s="25" t="s">
        <v>1177</v>
      </c>
      <c r="F329" s="25" t="s">
        <v>1177</v>
      </c>
      <c r="G329" s="25" t="s">
        <v>1177</v>
      </c>
      <c r="H329" s="26"/>
    </row>
    <row r="330">
      <c r="A330" s="16" t="s">
        <v>1178</v>
      </c>
      <c r="B330" s="27" t="s">
        <v>2107</v>
      </c>
      <c r="C330" s="27" t="s">
        <v>2107</v>
      </c>
      <c r="D330" s="21" t="s">
        <v>1177</v>
      </c>
      <c r="E330" s="21" t="s">
        <v>1177</v>
      </c>
      <c r="F330" s="21" t="s">
        <v>1177</v>
      </c>
      <c r="G330" s="21" t="s">
        <v>1177</v>
      </c>
      <c r="H330" s="26"/>
    </row>
    <row r="331">
      <c r="A331" s="16" t="s">
        <v>1181</v>
      </c>
      <c r="B331" s="28" t="s">
        <v>1177</v>
      </c>
      <c r="C331" s="28" t="s">
        <v>1177</v>
      </c>
      <c r="D331" s="28" t="s">
        <v>1177</v>
      </c>
      <c r="E331" s="28" t="s">
        <v>1177</v>
      </c>
      <c r="F331" s="28" t="s">
        <v>1177</v>
      </c>
      <c r="G331" s="28" t="s">
        <v>1177</v>
      </c>
      <c r="H331" s="26"/>
    </row>
    <row r="332">
      <c r="A332" s="16" t="s">
        <v>1182</v>
      </c>
      <c r="B332" s="21" t="s">
        <v>1681</v>
      </c>
      <c r="C332" s="21" t="s">
        <v>1648</v>
      </c>
      <c r="D332" s="21" t="s">
        <v>1177</v>
      </c>
      <c r="E332" s="21" t="s">
        <v>1177</v>
      </c>
      <c r="F332" s="21" t="s">
        <v>1177</v>
      </c>
      <c r="G332" s="21" t="s">
        <v>1177</v>
      </c>
      <c r="H332" s="26"/>
    </row>
    <row r="333">
      <c r="A333" s="16" t="s">
        <v>1186</v>
      </c>
      <c r="B333" s="28" t="s">
        <v>1187</v>
      </c>
      <c r="C333" s="28" t="s">
        <v>1187</v>
      </c>
      <c r="D333" s="28" t="s">
        <v>1177</v>
      </c>
      <c r="E333" s="28" t="s">
        <v>1177</v>
      </c>
      <c r="F333" s="28" t="s">
        <v>1177</v>
      </c>
      <c r="G333" s="28" t="s">
        <v>1177</v>
      </c>
      <c r="H333" s="26"/>
    </row>
    <row r="334">
      <c r="A334" s="20" t="s">
        <v>1188</v>
      </c>
      <c r="B334" s="21" t="s">
        <v>1177</v>
      </c>
      <c r="C334" s="21" t="s">
        <v>1177</v>
      </c>
      <c r="D334" s="21" t="s">
        <v>1177</v>
      </c>
      <c r="E334" s="21" t="s">
        <v>1177</v>
      </c>
      <c r="F334" s="21" t="s">
        <v>1177</v>
      </c>
      <c r="G334" s="21" t="s">
        <v>1177</v>
      </c>
      <c r="H334" s="26"/>
    </row>
    <row r="335">
      <c r="A335" s="29"/>
      <c r="B335" s="21" t="s">
        <v>1177</v>
      </c>
      <c r="C335" s="21" t="s">
        <v>1177</v>
      </c>
      <c r="D335" s="21" t="s">
        <v>1177</v>
      </c>
      <c r="E335" s="21" t="s">
        <v>1177</v>
      </c>
      <c r="F335" s="21" t="s">
        <v>1177</v>
      </c>
      <c r="G335" s="21" t="s">
        <v>1177</v>
      </c>
      <c r="H335" s="26"/>
    </row>
    <row r="336">
      <c r="A336" s="29"/>
      <c r="B336" s="21" t="s">
        <v>1177</v>
      </c>
      <c r="C336" s="21" t="s">
        <v>1177</v>
      </c>
      <c r="D336" s="21" t="s">
        <v>1177</v>
      </c>
      <c r="E336" s="21" t="s">
        <v>1177</v>
      </c>
      <c r="F336" s="21" t="s">
        <v>1177</v>
      </c>
      <c r="G336" s="21" t="s">
        <v>1177</v>
      </c>
      <c r="H336" s="26"/>
    </row>
    <row r="337">
      <c r="A337" s="24"/>
      <c r="B337" s="21" t="s">
        <v>1177</v>
      </c>
      <c r="C337" s="21" t="s">
        <v>1177</v>
      </c>
      <c r="D337" s="21" t="s">
        <v>1177</v>
      </c>
      <c r="E337" s="21" t="s">
        <v>1177</v>
      </c>
      <c r="F337" s="21" t="s">
        <v>1177</v>
      </c>
      <c r="G337" s="21" t="s">
        <v>1177</v>
      </c>
      <c r="H337" s="30"/>
      <c r="I337" s="14"/>
    </row>
    <row r="338">
      <c r="A338" s="16" t="s">
        <v>1174</v>
      </c>
      <c r="B338" s="17" t="s">
        <v>2244</v>
      </c>
      <c r="C338" s="18"/>
      <c r="D338" s="18"/>
      <c r="E338" s="18"/>
      <c r="F338" s="18"/>
      <c r="G338" s="18"/>
      <c r="H338" s="18"/>
      <c r="I338" s="16"/>
    </row>
    <row r="339" ht="60.0" customHeight="1">
      <c r="A339" s="20" t="s">
        <v>1176</v>
      </c>
      <c r="B339" s="21" t="str">
        <f t="array" ref="B339">iferror(VLOOKUP(INDIRECT(ADDRESS(ROW()+1,COLUMN(), 4)),Dex!$A$2:$C794,3,false),"")</f>
        <v/>
      </c>
      <c r="C339" s="21" t="str">
        <f t="array" ref="C339">iferror(VLOOKUP(INDIRECT(ADDRESS(ROW()+1,COLUMN(), 4)),Dex!$A$2:$C794,3,false),"")</f>
        <v/>
      </c>
      <c r="D339" s="21" t="str">
        <f t="array" ref="D339">iferror(VLOOKUP(INDIRECT(ADDRESS(ROW()+1,COLUMN(), 4)),Dex!$A$2:$C794,3,false),"")</f>
        <v/>
      </c>
      <c r="E339" s="21" t="s">
        <v>1177</v>
      </c>
      <c r="F339" s="21" t="s">
        <v>1177</v>
      </c>
      <c r="G339" s="21" t="s">
        <v>1177</v>
      </c>
      <c r="H339" s="22" t="str">
        <f t="array" ref="H339">iferror(VLOOKUP("TRAINER_PIC_YOUNG_COUPLE",Sprites!$A$1:$B794,2,false),"")</f>
        <v/>
      </c>
      <c r="I339" s="23"/>
    </row>
    <row r="340">
      <c r="A340" s="24"/>
      <c r="B340" s="25" t="s">
        <v>56</v>
      </c>
      <c r="C340" s="25" t="s">
        <v>52</v>
      </c>
      <c r="D340" s="25" t="s">
        <v>219</v>
      </c>
      <c r="E340" s="25" t="s">
        <v>1177</v>
      </c>
      <c r="F340" s="25" t="s">
        <v>1177</v>
      </c>
      <c r="G340" s="25" t="s">
        <v>1177</v>
      </c>
      <c r="H340" s="26"/>
    </row>
    <row r="341">
      <c r="A341" s="16" t="s">
        <v>1178</v>
      </c>
      <c r="B341" s="27" t="s">
        <v>2107</v>
      </c>
      <c r="C341" s="27" t="s">
        <v>2107</v>
      </c>
      <c r="D341" s="27" t="s">
        <v>2208</v>
      </c>
      <c r="E341" s="21" t="s">
        <v>1177</v>
      </c>
      <c r="F341" s="21" t="s">
        <v>1177</v>
      </c>
      <c r="G341" s="21" t="s">
        <v>1177</v>
      </c>
      <c r="H341" s="26"/>
    </row>
    <row r="342">
      <c r="A342" s="16" t="s">
        <v>1181</v>
      </c>
      <c r="B342" s="28" t="s">
        <v>1177</v>
      </c>
      <c r="C342" s="28" t="s">
        <v>1177</v>
      </c>
      <c r="D342" s="28" t="s">
        <v>1177</v>
      </c>
      <c r="E342" s="28" t="s">
        <v>1177</v>
      </c>
      <c r="F342" s="28" t="s">
        <v>1177</v>
      </c>
      <c r="G342" s="28" t="s">
        <v>1177</v>
      </c>
      <c r="H342" s="26"/>
    </row>
    <row r="343">
      <c r="A343" s="16" t="s">
        <v>1182</v>
      </c>
      <c r="B343" s="21" t="s">
        <v>1348</v>
      </c>
      <c r="C343" s="21" t="s">
        <v>1348</v>
      </c>
      <c r="D343" s="21" t="s">
        <v>1463</v>
      </c>
      <c r="E343" s="21" t="s">
        <v>1177</v>
      </c>
      <c r="F343" s="21" t="s">
        <v>1177</v>
      </c>
      <c r="G343" s="21" t="s">
        <v>1177</v>
      </c>
      <c r="H343" s="26"/>
    </row>
    <row r="344">
      <c r="A344" s="16" t="s">
        <v>1186</v>
      </c>
      <c r="B344" s="28" t="s">
        <v>1187</v>
      </c>
      <c r="C344" s="28" t="s">
        <v>1187</v>
      </c>
      <c r="D344" s="28" t="s">
        <v>1187</v>
      </c>
      <c r="E344" s="28" t="s">
        <v>1177</v>
      </c>
      <c r="F344" s="28" t="s">
        <v>1177</v>
      </c>
      <c r="G344" s="28" t="s">
        <v>1177</v>
      </c>
      <c r="H344" s="26"/>
    </row>
    <row r="345">
      <c r="A345" s="20" t="s">
        <v>1188</v>
      </c>
      <c r="B345" s="21" t="s">
        <v>1177</v>
      </c>
      <c r="C345" s="21" t="s">
        <v>1177</v>
      </c>
      <c r="D345" s="21" t="s">
        <v>1177</v>
      </c>
      <c r="E345" s="21" t="s">
        <v>1177</v>
      </c>
      <c r="F345" s="21" t="s">
        <v>1177</v>
      </c>
      <c r="G345" s="21" t="s">
        <v>1177</v>
      </c>
      <c r="H345" s="26"/>
    </row>
    <row r="346">
      <c r="A346" s="29"/>
      <c r="B346" s="21" t="s">
        <v>1177</v>
      </c>
      <c r="C346" s="21" t="s">
        <v>1177</v>
      </c>
      <c r="D346" s="21" t="s">
        <v>1177</v>
      </c>
      <c r="E346" s="21" t="s">
        <v>1177</v>
      </c>
      <c r="F346" s="21" t="s">
        <v>1177</v>
      </c>
      <c r="G346" s="21" t="s">
        <v>1177</v>
      </c>
      <c r="H346" s="26"/>
    </row>
    <row r="347">
      <c r="A347" s="29"/>
      <c r="B347" s="21" t="s">
        <v>1177</v>
      </c>
      <c r="C347" s="21" t="s">
        <v>1177</v>
      </c>
      <c r="D347" s="21" t="s">
        <v>1177</v>
      </c>
      <c r="E347" s="21" t="s">
        <v>1177</v>
      </c>
      <c r="F347" s="21" t="s">
        <v>1177</v>
      </c>
      <c r="G347" s="21" t="s">
        <v>1177</v>
      </c>
      <c r="H347" s="26"/>
    </row>
    <row r="348">
      <c r="A348" s="24"/>
      <c r="B348" s="21" t="s">
        <v>1177</v>
      </c>
      <c r="C348" s="21" t="s">
        <v>1177</v>
      </c>
      <c r="D348" s="21" t="s">
        <v>1177</v>
      </c>
      <c r="E348" s="21" t="s">
        <v>1177</v>
      </c>
      <c r="F348" s="21" t="s">
        <v>1177</v>
      </c>
      <c r="G348" s="21" t="s">
        <v>1177</v>
      </c>
      <c r="H348" s="30"/>
      <c r="I348" s="14"/>
    </row>
    <row r="349">
      <c r="A349" s="16" t="s">
        <v>1174</v>
      </c>
      <c r="B349" s="17" t="s">
        <v>2245</v>
      </c>
      <c r="C349" s="18"/>
      <c r="D349" s="18"/>
      <c r="E349" s="18"/>
      <c r="F349" s="18"/>
      <c r="G349" s="18"/>
      <c r="H349" s="18"/>
      <c r="I349" s="16"/>
    </row>
    <row r="350" ht="60.0" customHeight="1">
      <c r="A350" s="20" t="s">
        <v>1176</v>
      </c>
      <c r="B350" s="21" t="str">
        <f t="array" ref="B350">iferror(VLOOKUP(INDIRECT(ADDRESS(ROW()+1,COLUMN(), 4)),Dex!$A$2:$C794,3,false),"")</f>
        <v/>
      </c>
      <c r="C350" s="21" t="str">
        <f t="array" ref="C350">iferror(VLOOKUP(INDIRECT(ADDRESS(ROW()+1,COLUMN(), 4)),Dex!$A$2:$C794,3,false),"")</f>
        <v/>
      </c>
      <c r="D350" s="21" t="s">
        <v>1177</v>
      </c>
      <c r="E350" s="21" t="s">
        <v>1177</v>
      </c>
      <c r="F350" s="21" t="s">
        <v>1177</v>
      </c>
      <c r="G350" s="21" t="s">
        <v>1177</v>
      </c>
      <c r="H350" s="22" t="str">
        <f t="array" ref="H350">iferror(VLOOKUP("TRAINER_PIC_SWIMMER_F",Sprites!$A$1:$B794,2,false),"")</f>
        <v/>
      </c>
      <c r="I350" s="23"/>
    </row>
    <row r="351">
      <c r="A351" s="24"/>
      <c r="B351" s="25" t="s">
        <v>18</v>
      </c>
      <c r="C351" s="25" t="s">
        <v>418</v>
      </c>
      <c r="D351" s="25" t="s">
        <v>1177</v>
      </c>
      <c r="E351" s="25" t="s">
        <v>1177</v>
      </c>
      <c r="F351" s="25" t="s">
        <v>1177</v>
      </c>
      <c r="G351" s="25" t="s">
        <v>1177</v>
      </c>
      <c r="H351" s="26"/>
    </row>
    <row r="352">
      <c r="A352" s="16" t="s">
        <v>1178</v>
      </c>
      <c r="B352" s="27" t="s">
        <v>2107</v>
      </c>
      <c r="C352" s="27" t="s">
        <v>2107</v>
      </c>
      <c r="D352" s="21" t="s">
        <v>1177</v>
      </c>
      <c r="E352" s="21" t="s">
        <v>1177</v>
      </c>
      <c r="F352" s="21" t="s">
        <v>1177</v>
      </c>
      <c r="G352" s="21" t="s">
        <v>1177</v>
      </c>
      <c r="H352" s="26"/>
    </row>
    <row r="353">
      <c r="A353" s="16" t="s">
        <v>1181</v>
      </c>
      <c r="B353" s="28" t="s">
        <v>1177</v>
      </c>
      <c r="C353" s="28" t="s">
        <v>1177</v>
      </c>
      <c r="D353" s="28" t="s">
        <v>1177</v>
      </c>
      <c r="E353" s="28" t="s">
        <v>1177</v>
      </c>
      <c r="F353" s="28" t="s">
        <v>1177</v>
      </c>
      <c r="G353" s="28" t="s">
        <v>1177</v>
      </c>
      <c r="H353" s="26"/>
    </row>
    <row r="354">
      <c r="A354" s="16" t="s">
        <v>1182</v>
      </c>
      <c r="B354" s="21" t="s">
        <v>1648</v>
      </c>
      <c r="C354" s="21" t="s">
        <v>1266</v>
      </c>
      <c r="D354" s="21" t="s">
        <v>1177</v>
      </c>
      <c r="E354" s="21" t="s">
        <v>1177</v>
      </c>
      <c r="F354" s="21" t="s">
        <v>1177</v>
      </c>
      <c r="G354" s="21" t="s">
        <v>1177</v>
      </c>
      <c r="H354" s="26"/>
    </row>
    <row r="355">
      <c r="A355" s="16" t="s">
        <v>1186</v>
      </c>
      <c r="B355" s="28" t="s">
        <v>1187</v>
      </c>
      <c r="C355" s="28" t="s">
        <v>1187</v>
      </c>
      <c r="D355" s="28" t="s">
        <v>1177</v>
      </c>
      <c r="E355" s="28" t="s">
        <v>1177</v>
      </c>
      <c r="F355" s="28" t="s">
        <v>1177</v>
      </c>
      <c r="G355" s="28" t="s">
        <v>1177</v>
      </c>
      <c r="H355" s="26"/>
    </row>
    <row r="356">
      <c r="A356" s="20" t="s">
        <v>1188</v>
      </c>
      <c r="B356" s="21" t="s">
        <v>1177</v>
      </c>
      <c r="C356" s="21" t="s">
        <v>1177</v>
      </c>
      <c r="D356" s="21" t="s">
        <v>1177</v>
      </c>
      <c r="E356" s="21" t="s">
        <v>1177</v>
      </c>
      <c r="F356" s="21" t="s">
        <v>1177</v>
      </c>
      <c r="G356" s="21" t="s">
        <v>1177</v>
      </c>
      <c r="H356" s="26"/>
    </row>
    <row r="357">
      <c r="A357" s="29"/>
      <c r="B357" s="21" t="s">
        <v>1177</v>
      </c>
      <c r="C357" s="21" t="s">
        <v>1177</v>
      </c>
      <c r="D357" s="21" t="s">
        <v>1177</v>
      </c>
      <c r="E357" s="21" t="s">
        <v>1177</v>
      </c>
      <c r="F357" s="21" t="s">
        <v>1177</v>
      </c>
      <c r="G357" s="21" t="s">
        <v>1177</v>
      </c>
      <c r="H357" s="26"/>
    </row>
    <row r="358">
      <c r="A358" s="29"/>
      <c r="B358" s="21" t="s">
        <v>1177</v>
      </c>
      <c r="C358" s="21" t="s">
        <v>1177</v>
      </c>
      <c r="D358" s="21" t="s">
        <v>1177</v>
      </c>
      <c r="E358" s="21" t="s">
        <v>1177</v>
      </c>
      <c r="F358" s="21" t="s">
        <v>1177</v>
      </c>
      <c r="G358" s="21" t="s">
        <v>1177</v>
      </c>
      <c r="H358" s="26"/>
    </row>
    <row r="359">
      <c r="A359" s="24"/>
      <c r="B359" s="21" t="s">
        <v>1177</v>
      </c>
      <c r="C359" s="21" t="s">
        <v>1177</v>
      </c>
      <c r="D359" s="21" t="s">
        <v>1177</v>
      </c>
      <c r="E359" s="21" t="s">
        <v>1177</v>
      </c>
      <c r="F359" s="21" t="s">
        <v>1177</v>
      </c>
      <c r="G359" s="21" t="s">
        <v>1177</v>
      </c>
      <c r="H359" s="30"/>
      <c r="I359" s="14"/>
    </row>
    <row r="360">
      <c r="A360" s="16" t="s">
        <v>1174</v>
      </c>
      <c r="B360" s="17" t="s">
        <v>2246</v>
      </c>
      <c r="C360" s="18"/>
      <c r="D360" s="18"/>
      <c r="E360" s="18"/>
      <c r="F360" s="18"/>
      <c r="G360" s="18"/>
      <c r="H360" s="18"/>
      <c r="I360" s="16"/>
    </row>
    <row r="361" ht="60.0" customHeight="1">
      <c r="A361" s="20" t="s">
        <v>1176</v>
      </c>
      <c r="B361" s="21" t="str">
        <f t="array" ref="B361">iferror(VLOOKUP(INDIRECT(ADDRESS(ROW()+1,COLUMN(), 4)),Dex!$A$2:$C794,3,false),"")</f>
        <v/>
      </c>
      <c r="C361" s="21" t="str">
        <f t="array" ref="C361">iferror(VLOOKUP(INDIRECT(ADDRESS(ROW()+1,COLUMN(), 4)),Dex!$A$2:$C794,3,false),"")</f>
        <v/>
      </c>
      <c r="D361" s="21" t="s">
        <v>1177</v>
      </c>
      <c r="E361" s="21" t="s">
        <v>1177</v>
      </c>
      <c r="F361" s="21" t="s">
        <v>1177</v>
      </c>
      <c r="G361" s="21" t="s">
        <v>1177</v>
      </c>
      <c r="H361" s="22" t="str">
        <f t="array" ref="H361">iferror(VLOOKUP("TRAINER_PIC_SWIMMER_M",Sprites!$A$1:$B794,2,false),"")</f>
        <v/>
      </c>
      <c r="I361" s="23"/>
    </row>
    <row r="362">
      <c r="A362" s="24"/>
      <c r="B362" s="25" t="s">
        <v>450</v>
      </c>
      <c r="C362" s="25" t="s">
        <v>448</v>
      </c>
      <c r="D362" s="25" t="s">
        <v>1177</v>
      </c>
      <c r="E362" s="25" t="s">
        <v>1177</v>
      </c>
      <c r="F362" s="25" t="s">
        <v>1177</v>
      </c>
      <c r="G362" s="25" t="s">
        <v>1177</v>
      </c>
      <c r="H362" s="26"/>
    </row>
    <row r="363">
      <c r="A363" s="16" t="s">
        <v>1178</v>
      </c>
      <c r="B363" s="27" t="s">
        <v>2107</v>
      </c>
      <c r="C363" s="27" t="s">
        <v>2107</v>
      </c>
      <c r="D363" s="21" t="s">
        <v>1177</v>
      </c>
      <c r="E363" s="21" t="s">
        <v>1177</v>
      </c>
      <c r="F363" s="21" t="s">
        <v>1177</v>
      </c>
      <c r="G363" s="21" t="s">
        <v>1177</v>
      </c>
      <c r="H363" s="26"/>
    </row>
    <row r="364">
      <c r="A364" s="16" t="s">
        <v>1181</v>
      </c>
      <c r="B364" s="28" t="s">
        <v>1177</v>
      </c>
      <c r="C364" s="28" t="s">
        <v>1177</v>
      </c>
      <c r="D364" s="28" t="s">
        <v>1177</v>
      </c>
      <c r="E364" s="28" t="s">
        <v>1177</v>
      </c>
      <c r="F364" s="28" t="s">
        <v>1177</v>
      </c>
      <c r="G364" s="28" t="s">
        <v>1177</v>
      </c>
      <c r="H364" s="26"/>
    </row>
    <row r="365">
      <c r="A365" s="16" t="s">
        <v>1182</v>
      </c>
      <c r="B365" s="21" t="s">
        <v>2156</v>
      </c>
      <c r="C365" s="21" t="s">
        <v>2121</v>
      </c>
      <c r="D365" s="21" t="s">
        <v>1177</v>
      </c>
      <c r="E365" s="21" t="s">
        <v>1177</v>
      </c>
      <c r="F365" s="21" t="s">
        <v>1177</v>
      </c>
      <c r="G365" s="21" t="s">
        <v>1177</v>
      </c>
      <c r="H365" s="26"/>
    </row>
    <row r="366">
      <c r="A366" s="16" t="s">
        <v>1186</v>
      </c>
      <c r="B366" s="28" t="s">
        <v>1187</v>
      </c>
      <c r="C366" s="28" t="s">
        <v>1187</v>
      </c>
      <c r="D366" s="28" t="s">
        <v>1177</v>
      </c>
      <c r="E366" s="28" t="s">
        <v>1177</v>
      </c>
      <c r="F366" s="28" t="s">
        <v>1177</v>
      </c>
      <c r="G366" s="28" t="s">
        <v>1177</v>
      </c>
      <c r="H366" s="26"/>
    </row>
    <row r="367">
      <c r="A367" s="20" t="s">
        <v>1188</v>
      </c>
      <c r="B367" s="21" t="s">
        <v>1177</v>
      </c>
      <c r="C367" s="21" t="s">
        <v>1177</v>
      </c>
      <c r="D367" s="21" t="s">
        <v>1177</v>
      </c>
      <c r="E367" s="21" t="s">
        <v>1177</v>
      </c>
      <c r="F367" s="21" t="s">
        <v>1177</v>
      </c>
      <c r="G367" s="21" t="s">
        <v>1177</v>
      </c>
      <c r="H367" s="26"/>
    </row>
    <row r="368">
      <c r="A368" s="29"/>
      <c r="B368" s="21" t="s">
        <v>1177</v>
      </c>
      <c r="C368" s="21" t="s">
        <v>1177</v>
      </c>
      <c r="D368" s="21" t="s">
        <v>1177</v>
      </c>
      <c r="E368" s="21" t="s">
        <v>1177</v>
      </c>
      <c r="F368" s="21" t="s">
        <v>1177</v>
      </c>
      <c r="G368" s="21" t="s">
        <v>1177</v>
      </c>
      <c r="H368" s="26"/>
    </row>
    <row r="369">
      <c r="A369" s="29"/>
      <c r="B369" s="21" t="s">
        <v>1177</v>
      </c>
      <c r="C369" s="21" t="s">
        <v>1177</v>
      </c>
      <c r="D369" s="21" t="s">
        <v>1177</v>
      </c>
      <c r="E369" s="21" t="s">
        <v>1177</v>
      </c>
      <c r="F369" s="21" t="s">
        <v>1177</v>
      </c>
      <c r="G369" s="21" t="s">
        <v>1177</v>
      </c>
      <c r="H369" s="26"/>
    </row>
    <row r="370">
      <c r="A370" s="24"/>
      <c r="B370" s="21" t="s">
        <v>1177</v>
      </c>
      <c r="C370" s="21" t="s">
        <v>1177</v>
      </c>
      <c r="D370" s="21" t="s">
        <v>1177</v>
      </c>
      <c r="E370" s="21" t="s">
        <v>1177</v>
      </c>
      <c r="F370" s="21" t="s">
        <v>1177</v>
      </c>
      <c r="G370" s="21" t="s">
        <v>1177</v>
      </c>
      <c r="H370" s="30"/>
      <c r="I370" s="14"/>
    </row>
    <row r="371">
      <c r="A371" s="16" t="s">
        <v>1174</v>
      </c>
      <c r="B371" s="17" t="s">
        <v>2247</v>
      </c>
      <c r="C371" s="18"/>
      <c r="D371" s="18"/>
      <c r="E371" s="18"/>
      <c r="F371" s="18"/>
      <c r="G371" s="18"/>
      <c r="H371" s="18"/>
      <c r="I371" s="16"/>
    </row>
    <row r="372" ht="60.0" customHeight="1">
      <c r="A372" s="20" t="s">
        <v>1176</v>
      </c>
      <c r="B372" s="21" t="str">
        <f t="array" ref="B372">iferror(VLOOKUP(INDIRECT(ADDRESS(ROW()+1,COLUMN(), 4)),Dex!$A$2:$C794,3,false),"")</f>
        <v/>
      </c>
      <c r="C372" s="21" t="str">
        <f t="array" ref="C372">iferror(VLOOKUP(INDIRECT(ADDRESS(ROW()+1,COLUMN(), 4)),Dex!$A$2:$C794,3,false),"")</f>
        <v/>
      </c>
      <c r="D372" s="21" t="s">
        <v>1177</v>
      </c>
      <c r="E372" s="21" t="s">
        <v>1177</v>
      </c>
      <c r="F372" s="21" t="s">
        <v>1177</v>
      </c>
      <c r="G372" s="21" t="s">
        <v>1177</v>
      </c>
      <c r="H372" s="22" t="str">
        <f t="array" ref="H372">iferror(VLOOKUP("TRAINER_PIC_TUBER_F",Sprites!$A$1:$B794,2,false),"")</f>
        <v/>
      </c>
      <c r="I372" s="23"/>
    </row>
    <row r="373">
      <c r="A373" s="24"/>
      <c r="B373" s="25" t="s">
        <v>16</v>
      </c>
      <c r="C373" s="25" t="s">
        <v>234</v>
      </c>
      <c r="D373" s="25" t="s">
        <v>1177</v>
      </c>
      <c r="E373" s="25" t="s">
        <v>1177</v>
      </c>
      <c r="F373" s="25" t="s">
        <v>1177</v>
      </c>
      <c r="G373" s="25" t="s">
        <v>1177</v>
      </c>
      <c r="H373" s="26"/>
    </row>
    <row r="374">
      <c r="A374" s="16" t="s">
        <v>1178</v>
      </c>
      <c r="B374" s="27" t="s">
        <v>1179</v>
      </c>
      <c r="C374" s="27" t="s">
        <v>1179</v>
      </c>
      <c r="D374" s="21" t="s">
        <v>1177</v>
      </c>
      <c r="E374" s="21" t="s">
        <v>1177</v>
      </c>
      <c r="F374" s="21" t="s">
        <v>1177</v>
      </c>
      <c r="G374" s="21" t="s">
        <v>1177</v>
      </c>
      <c r="H374" s="26"/>
    </row>
    <row r="375">
      <c r="A375" s="16" t="s">
        <v>1181</v>
      </c>
      <c r="B375" s="28" t="s">
        <v>1177</v>
      </c>
      <c r="C375" s="28" t="s">
        <v>1177</v>
      </c>
      <c r="D375" s="28" t="s">
        <v>1177</v>
      </c>
      <c r="E375" s="28" t="s">
        <v>1177</v>
      </c>
      <c r="F375" s="28" t="s">
        <v>1177</v>
      </c>
      <c r="G375" s="28" t="s">
        <v>1177</v>
      </c>
      <c r="H375" s="26"/>
    </row>
    <row r="376">
      <c r="A376" s="16" t="s">
        <v>1182</v>
      </c>
      <c r="B376" s="21" t="s">
        <v>1648</v>
      </c>
      <c r="C376" s="21" t="s">
        <v>1648</v>
      </c>
      <c r="D376" s="21" t="s">
        <v>1177</v>
      </c>
      <c r="E376" s="21" t="s">
        <v>1177</v>
      </c>
      <c r="F376" s="21" t="s">
        <v>1177</v>
      </c>
      <c r="G376" s="21" t="s">
        <v>1177</v>
      </c>
      <c r="H376" s="26"/>
    </row>
    <row r="377">
      <c r="A377" s="16" t="s">
        <v>1186</v>
      </c>
      <c r="B377" s="28" t="s">
        <v>1187</v>
      </c>
      <c r="C377" s="28" t="s">
        <v>1187</v>
      </c>
      <c r="D377" s="28" t="s">
        <v>1177</v>
      </c>
      <c r="E377" s="28" t="s">
        <v>1177</v>
      </c>
      <c r="F377" s="28" t="s">
        <v>1177</v>
      </c>
      <c r="G377" s="28" t="s">
        <v>1177</v>
      </c>
      <c r="H377" s="26"/>
    </row>
    <row r="378">
      <c r="A378" s="20" t="s">
        <v>1188</v>
      </c>
      <c r="B378" s="21" t="s">
        <v>1177</v>
      </c>
      <c r="C378" s="21" t="s">
        <v>1177</v>
      </c>
      <c r="D378" s="21" t="s">
        <v>1177</v>
      </c>
      <c r="E378" s="21" t="s">
        <v>1177</v>
      </c>
      <c r="F378" s="21" t="s">
        <v>1177</v>
      </c>
      <c r="G378" s="21" t="s">
        <v>1177</v>
      </c>
      <c r="H378" s="26"/>
    </row>
    <row r="379">
      <c r="A379" s="29"/>
      <c r="B379" s="21" t="s">
        <v>1177</v>
      </c>
      <c r="C379" s="21" t="s">
        <v>1177</v>
      </c>
      <c r="D379" s="21" t="s">
        <v>1177</v>
      </c>
      <c r="E379" s="21" t="s">
        <v>1177</v>
      </c>
      <c r="F379" s="21" t="s">
        <v>1177</v>
      </c>
      <c r="G379" s="21" t="s">
        <v>1177</v>
      </c>
      <c r="H379" s="26"/>
    </row>
    <row r="380">
      <c r="A380" s="29"/>
      <c r="B380" s="21" t="s">
        <v>1177</v>
      </c>
      <c r="C380" s="21" t="s">
        <v>1177</v>
      </c>
      <c r="D380" s="21" t="s">
        <v>1177</v>
      </c>
      <c r="E380" s="21" t="s">
        <v>1177</v>
      </c>
      <c r="F380" s="21" t="s">
        <v>1177</v>
      </c>
      <c r="G380" s="21" t="s">
        <v>1177</v>
      </c>
      <c r="H380" s="26"/>
    </row>
    <row r="381">
      <c r="A381" s="24"/>
      <c r="B381" s="21" t="s">
        <v>1177</v>
      </c>
      <c r="C381" s="21" t="s">
        <v>1177</v>
      </c>
      <c r="D381" s="21" t="s">
        <v>1177</v>
      </c>
      <c r="E381" s="21" t="s">
        <v>1177</v>
      </c>
      <c r="F381" s="21" t="s">
        <v>1177</v>
      </c>
      <c r="G381" s="21" t="s">
        <v>1177</v>
      </c>
      <c r="H381" s="30"/>
      <c r="I381" s="14"/>
    </row>
    <row r="382">
      <c r="A382" s="16" t="s">
        <v>1174</v>
      </c>
      <c r="B382" s="17" t="s">
        <v>2248</v>
      </c>
      <c r="C382" s="18"/>
      <c r="D382" s="18"/>
      <c r="E382" s="18"/>
      <c r="F382" s="18"/>
      <c r="G382" s="18"/>
      <c r="H382" s="18"/>
      <c r="I382" s="16"/>
    </row>
    <row r="383" ht="60.0" customHeight="1">
      <c r="A383" s="20" t="s">
        <v>1176</v>
      </c>
      <c r="B383" s="21" t="str">
        <f t="array" ref="B383">iferror(VLOOKUP(INDIRECT(ADDRESS(ROW()+1,COLUMN(), 4)),Dex!$A$2:$C794,3,false),"")</f>
        <v/>
      </c>
      <c r="C383" s="21" t="str">
        <f t="array" ref="C383">iferror(VLOOKUP(INDIRECT(ADDRESS(ROW()+1,COLUMN(), 4)),Dex!$A$2:$C794,3,false),"")</f>
        <v/>
      </c>
      <c r="D383" s="21" t="s">
        <v>1177</v>
      </c>
      <c r="E383" s="21" t="s">
        <v>1177</v>
      </c>
      <c r="F383" s="21" t="s">
        <v>1177</v>
      </c>
      <c r="G383" s="21" t="s">
        <v>1177</v>
      </c>
      <c r="H383" s="22" t="str">
        <f t="array" ref="H383">iferror(VLOOKUP("TRAINER_PIC_TUBER_F",Sprites!$A$1:$B794,2,false),"")</f>
        <v/>
      </c>
      <c r="I383" s="23"/>
    </row>
    <row r="384">
      <c r="A384" s="24"/>
      <c r="B384" s="25" t="s">
        <v>651</v>
      </c>
      <c r="C384" s="25" t="s">
        <v>1046</v>
      </c>
      <c r="D384" s="25" t="s">
        <v>1177</v>
      </c>
      <c r="E384" s="25" t="s">
        <v>1177</v>
      </c>
      <c r="F384" s="25" t="s">
        <v>1177</v>
      </c>
      <c r="G384" s="25" t="s">
        <v>1177</v>
      </c>
      <c r="H384" s="26"/>
    </row>
    <row r="385">
      <c r="A385" s="16" t="s">
        <v>1178</v>
      </c>
      <c r="B385" s="27" t="s">
        <v>1179</v>
      </c>
      <c r="C385" s="27" t="s">
        <v>1179</v>
      </c>
      <c r="D385" s="21" t="s">
        <v>1177</v>
      </c>
      <c r="E385" s="21" t="s">
        <v>1177</v>
      </c>
      <c r="F385" s="21" t="s">
        <v>1177</v>
      </c>
      <c r="G385" s="21" t="s">
        <v>1177</v>
      </c>
      <c r="H385" s="26"/>
    </row>
    <row r="386">
      <c r="A386" s="16" t="s">
        <v>1181</v>
      </c>
      <c r="B386" s="28" t="s">
        <v>1177</v>
      </c>
      <c r="C386" s="28" t="s">
        <v>1177</v>
      </c>
      <c r="D386" s="28" t="s">
        <v>1177</v>
      </c>
      <c r="E386" s="28" t="s">
        <v>1177</v>
      </c>
      <c r="F386" s="28" t="s">
        <v>1177</v>
      </c>
      <c r="G386" s="28" t="s">
        <v>1177</v>
      </c>
      <c r="H386" s="26"/>
    </row>
    <row r="387">
      <c r="A387" s="16" t="s">
        <v>1182</v>
      </c>
      <c r="B387" s="21" t="s">
        <v>1648</v>
      </c>
      <c r="C387" s="21" t="s">
        <v>1648</v>
      </c>
      <c r="D387" s="21" t="s">
        <v>1177</v>
      </c>
      <c r="E387" s="21" t="s">
        <v>1177</v>
      </c>
      <c r="F387" s="21" t="s">
        <v>1177</v>
      </c>
      <c r="G387" s="21" t="s">
        <v>1177</v>
      </c>
      <c r="H387" s="26"/>
    </row>
    <row r="388">
      <c r="A388" s="16" t="s">
        <v>1186</v>
      </c>
      <c r="B388" s="28" t="s">
        <v>1187</v>
      </c>
      <c r="C388" s="28" t="s">
        <v>1187</v>
      </c>
      <c r="D388" s="28" t="s">
        <v>1177</v>
      </c>
      <c r="E388" s="28" t="s">
        <v>1177</v>
      </c>
      <c r="F388" s="28" t="s">
        <v>1177</v>
      </c>
      <c r="G388" s="28" t="s">
        <v>1177</v>
      </c>
      <c r="H388" s="26"/>
    </row>
    <row r="389">
      <c r="A389" s="20" t="s">
        <v>1188</v>
      </c>
      <c r="B389" s="21" t="s">
        <v>1177</v>
      </c>
      <c r="C389" s="21" t="s">
        <v>1177</v>
      </c>
      <c r="D389" s="21" t="s">
        <v>1177</v>
      </c>
      <c r="E389" s="21" t="s">
        <v>1177</v>
      </c>
      <c r="F389" s="21" t="s">
        <v>1177</v>
      </c>
      <c r="G389" s="21" t="s">
        <v>1177</v>
      </c>
      <c r="H389" s="26"/>
    </row>
    <row r="390">
      <c r="A390" s="29"/>
      <c r="B390" s="21" t="s">
        <v>1177</v>
      </c>
      <c r="C390" s="21" t="s">
        <v>1177</v>
      </c>
      <c r="D390" s="21" t="s">
        <v>1177</v>
      </c>
      <c r="E390" s="21" t="s">
        <v>1177</v>
      </c>
      <c r="F390" s="21" t="s">
        <v>1177</v>
      </c>
      <c r="G390" s="21" t="s">
        <v>1177</v>
      </c>
      <c r="H390" s="26"/>
    </row>
    <row r="391">
      <c r="A391" s="29"/>
      <c r="B391" s="21" t="s">
        <v>1177</v>
      </c>
      <c r="C391" s="21" t="s">
        <v>1177</v>
      </c>
      <c r="D391" s="21" t="s">
        <v>1177</v>
      </c>
      <c r="E391" s="21" t="s">
        <v>1177</v>
      </c>
      <c r="F391" s="21" t="s">
        <v>1177</v>
      </c>
      <c r="G391" s="21" t="s">
        <v>1177</v>
      </c>
      <c r="H391" s="26"/>
    </row>
    <row r="392">
      <c r="A392" s="24"/>
      <c r="B392" s="21" t="s">
        <v>1177</v>
      </c>
      <c r="C392" s="21" t="s">
        <v>1177</v>
      </c>
      <c r="D392" s="21" t="s">
        <v>1177</v>
      </c>
      <c r="E392" s="21" t="s">
        <v>1177</v>
      </c>
      <c r="F392" s="21" t="s">
        <v>1177</v>
      </c>
      <c r="G392" s="21" t="s">
        <v>1177</v>
      </c>
      <c r="H392" s="30"/>
      <c r="I392" s="14"/>
    </row>
    <row r="393">
      <c r="A393" s="37"/>
      <c r="B393" s="38" t="s">
        <v>2249</v>
      </c>
      <c r="C393" s="14"/>
      <c r="D393" s="14"/>
      <c r="E393" s="14"/>
      <c r="F393" s="14"/>
      <c r="G393" s="14"/>
      <c r="H393" s="24"/>
      <c r="I393" s="33"/>
    </row>
    <row r="394">
      <c r="A394" s="16" t="s">
        <v>1174</v>
      </c>
      <c r="B394" s="17" t="s">
        <v>2250</v>
      </c>
      <c r="C394" s="18"/>
      <c r="D394" s="18"/>
      <c r="E394" s="18"/>
      <c r="F394" s="18"/>
      <c r="G394" s="18"/>
      <c r="H394" s="18"/>
      <c r="I394" s="16"/>
    </row>
    <row r="395" ht="60.0" customHeight="1">
      <c r="A395" s="20" t="s">
        <v>1176</v>
      </c>
      <c r="B395" s="21" t="str">
        <f t="array" ref="B395">iferror(VLOOKUP(INDIRECT(ADDRESS(ROW()+1,COLUMN(), 4)),Dex!$A$2:$C794,3,false),"")</f>
        <v/>
      </c>
      <c r="C395" s="21" t="str">
        <f t="array" ref="C395">iferror(VLOOKUP(INDIRECT(ADDRESS(ROW()+1,COLUMN(), 4)),Dex!$A$2:$C794,3,false),"")</f>
        <v/>
      </c>
      <c r="D395" s="21" t="str">
        <f t="array" ref="D395">iferror(VLOOKUP(INDIRECT(ADDRESS(ROW()+1,COLUMN(), 4)),Dex!$A$2:$C794,3,false),"")</f>
        <v/>
      </c>
      <c r="E395" s="21" t="s">
        <v>1177</v>
      </c>
      <c r="F395" s="21" t="str">
        <f t="array" ref="F395">iferror(VLOOKUP(INDIRECT(ADDRESS(ROW()+1,COLUMN(), 4)),Dex!$A$2:$C794,3,false),"")</f>
        <v/>
      </c>
      <c r="G395" s="21" t="str">
        <f t="array" ref="G395">iferror(VLOOKUP(INDIRECT(ADDRESS(ROW()+1,COLUMN(), 4)),Dex!$A$2:$C794,3,false),"")</f>
        <v/>
      </c>
      <c r="H395" s="22" t="str">
        <f t="array" ref="H395">iferror(VLOOKUP("TRAINER_PIC_SWIMMER_M",Sprites!$A$1:$B794,2,false),"")</f>
        <v/>
      </c>
      <c r="I395" s="23"/>
    </row>
    <row r="396">
      <c r="A396" s="24"/>
      <c r="B396" s="25" t="s">
        <v>175</v>
      </c>
      <c r="C396" s="25" t="s">
        <v>132</v>
      </c>
      <c r="D396" s="25" t="s">
        <v>442</v>
      </c>
      <c r="E396" s="25" t="s">
        <v>1177</v>
      </c>
      <c r="F396" s="25" t="s">
        <v>193</v>
      </c>
      <c r="G396" s="25" t="s">
        <v>653</v>
      </c>
      <c r="H396" s="26"/>
    </row>
    <row r="397">
      <c r="A397" s="16" t="s">
        <v>1178</v>
      </c>
      <c r="B397" s="27" t="s">
        <v>2200</v>
      </c>
      <c r="C397" s="27" t="s">
        <v>2187</v>
      </c>
      <c r="D397" s="27" t="s">
        <v>2187</v>
      </c>
      <c r="E397" s="21" t="s">
        <v>1177</v>
      </c>
      <c r="F397" s="27" t="s">
        <v>2187</v>
      </c>
      <c r="G397" s="27" t="s">
        <v>2200</v>
      </c>
      <c r="H397" s="26"/>
    </row>
    <row r="398">
      <c r="A398" s="16" t="s">
        <v>1181</v>
      </c>
      <c r="B398" s="28" t="s">
        <v>1247</v>
      </c>
      <c r="C398" s="28" t="s">
        <v>1366</v>
      </c>
      <c r="D398" s="28" t="s">
        <v>1209</v>
      </c>
      <c r="E398" s="28" t="s">
        <v>1177</v>
      </c>
      <c r="F398" s="28" t="s">
        <v>1282</v>
      </c>
      <c r="G398" s="28" t="s">
        <v>1832</v>
      </c>
      <c r="H398" s="26"/>
    </row>
    <row r="399">
      <c r="A399" s="16" t="s">
        <v>1182</v>
      </c>
      <c r="B399" s="21" t="s">
        <v>1669</v>
      </c>
      <c r="C399" s="21" t="s">
        <v>1748</v>
      </c>
      <c r="D399" s="21" t="s">
        <v>2066</v>
      </c>
      <c r="E399" s="21" t="s">
        <v>1177</v>
      </c>
      <c r="F399" s="21" t="s">
        <v>1298</v>
      </c>
      <c r="G399" s="21" t="s">
        <v>1648</v>
      </c>
      <c r="H399" s="26"/>
    </row>
    <row r="400">
      <c r="A400" s="16" t="s">
        <v>1186</v>
      </c>
      <c r="B400" s="28" t="s">
        <v>1235</v>
      </c>
      <c r="C400" s="28" t="s">
        <v>1234</v>
      </c>
      <c r="D400" s="28" t="s">
        <v>1235</v>
      </c>
      <c r="E400" s="28" t="s">
        <v>1177</v>
      </c>
      <c r="F400" s="28" t="s">
        <v>1269</v>
      </c>
      <c r="G400" s="28" t="s">
        <v>1235</v>
      </c>
      <c r="H400" s="26"/>
    </row>
    <row r="401">
      <c r="A401" s="20" t="s">
        <v>1188</v>
      </c>
      <c r="B401" s="21" t="s">
        <v>1834</v>
      </c>
      <c r="C401" s="21" t="s">
        <v>1251</v>
      </c>
      <c r="D401" s="21" t="s">
        <v>1817</v>
      </c>
      <c r="E401" s="21" t="s">
        <v>1177</v>
      </c>
      <c r="F401" s="21" t="s">
        <v>1822</v>
      </c>
      <c r="G401" s="21" t="s">
        <v>1760</v>
      </c>
      <c r="H401" s="26"/>
    </row>
    <row r="402">
      <c r="A402" s="29"/>
      <c r="B402" s="21" t="s">
        <v>1777</v>
      </c>
      <c r="C402" s="21" t="s">
        <v>1835</v>
      </c>
      <c r="D402" s="21" t="s">
        <v>1411</v>
      </c>
      <c r="E402" s="21" t="s">
        <v>1177</v>
      </c>
      <c r="F402" s="21" t="s">
        <v>1834</v>
      </c>
      <c r="G402" s="21" t="s">
        <v>1236</v>
      </c>
      <c r="H402" s="26"/>
    </row>
    <row r="403">
      <c r="A403" s="29"/>
      <c r="B403" s="21" t="s">
        <v>1621</v>
      </c>
      <c r="C403" s="21" t="s">
        <v>1772</v>
      </c>
      <c r="D403" s="21" t="s">
        <v>1469</v>
      </c>
      <c r="E403" s="21" t="s">
        <v>1177</v>
      </c>
      <c r="F403" s="21" t="s">
        <v>1594</v>
      </c>
      <c r="G403" s="21" t="s">
        <v>1777</v>
      </c>
      <c r="H403" s="26"/>
    </row>
    <row r="404">
      <c r="A404" s="24"/>
      <c r="B404" s="21" t="s">
        <v>2251</v>
      </c>
      <c r="C404" s="21" t="s">
        <v>1225</v>
      </c>
      <c r="D404" s="21" t="s">
        <v>1915</v>
      </c>
      <c r="E404" s="21" t="s">
        <v>1177</v>
      </c>
      <c r="F404" s="21" t="s">
        <v>1330</v>
      </c>
      <c r="G404" s="21" t="s">
        <v>1466</v>
      </c>
      <c r="H404" s="30"/>
      <c r="I404" s="14"/>
    </row>
    <row r="405">
      <c r="A405" s="16" t="s">
        <v>1174</v>
      </c>
      <c r="B405" s="17" t="s">
        <v>2252</v>
      </c>
      <c r="C405" s="18"/>
      <c r="D405" s="18"/>
      <c r="E405" s="18"/>
      <c r="F405" s="18"/>
      <c r="G405" s="18"/>
      <c r="H405" s="18"/>
      <c r="I405" s="16"/>
    </row>
    <row r="406" ht="60.0" customHeight="1">
      <c r="A406" s="20" t="s">
        <v>1176</v>
      </c>
      <c r="B406" s="21" t="str">
        <f t="array" ref="B406">iferror(VLOOKUP(INDIRECT(ADDRESS(ROW()+1,COLUMN(), 4)),Dex!$A$2:$C794,3,false),"")</f>
        <v/>
      </c>
      <c r="C406" s="21" t="str">
        <f t="array" ref="C406">iferror(VLOOKUP(INDIRECT(ADDRESS(ROW()+1,COLUMN(), 4)),Dex!$A$2:$C794,3,false),"")</f>
        <v/>
      </c>
      <c r="D406" s="21" t="str">
        <f t="array" ref="D406">iferror(VLOOKUP(INDIRECT(ADDRESS(ROW()+1,COLUMN(), 4)),Dex!$A$2:$C794,3,false),"")</f>
        <v/>
      </c>
      <c r="E406" s="21" t="s">
        <v>1177</v>
      </c>
      <c r="F406" s="21" t="s">
        <v>1177</v>
      </c>
      <c r="G406" s="21" t="s">
        <v>1177</v>
      </c>
      <c r="H406" s="22" t="str">
        <f t="array" ref="H406">iferror(VLOOKUP("TRAINER_PIC_FISHERMAN",Sprites!$A$1:$B794,2,false),"")</f>
        <v/>
      </c>
      <c r="I406" s="23"/>
    </row>
    <row r="407">
      <c r="A407" s="24"/>
      <c r="B407" s="25" t="s">
        <v>177</v>
      </c>
      <c r="C407" s="25" t="s">
        <v>473</v>
      </c>
      <c r="D407" s="25" t="s">
        <v>472</v>
      </c>
      <c r="E407" s="25" t="s">
        <v>1177</v>
      </c>
      <c r="F407" s="25" t="s">
        <v>1177</v>
      </c>
      <c r="G407" s="25" t="s">
        <v>1177</v>
      </c>
      <c r="H407" s="26"/>
    </row>
    <row r="408">
      <c r="A408" s="16" t="s">
        <v>1178</v>
      </c>
      <c r="B408" s="27" t="s">
        <v>2253</v>
      </c>
      <c r="C408" s="27" t="s">
        <v>2200</v>
      </c>
      <c r="D408" s="27" t="s">
        <v>2200</v>
      </c>
      <c r="E408" s="21" t="s">
        <v>1177</v>
      </c>
      <c r="F408" s="21" t="s">
        <v>1177</v>
      </c>
      <c r="G408" s="21" t="s">
        <v>1177</v>
      </c>
      <c r="H408" s="26"/>
    </row>
    <row r="409">
      <c r="A409" s="16" t="s">
        <v>1181</v>
      </c>
      <c r="B409" s="28" t="s">
        <v>1898</v>
      </c>
      <c r="C409" s="28" t="s">
        <v>1333</v>
      </c>
      <c r="D409" s="28" t="s">
        <v>2201</v>
      </c>
      <c r="E409" s="28" t="s">
        <v>1177</v>
      </c>
      <c r="F409" s="28" t="s">
        <v>1177</v>
      </c>
      <c r="G409" s="28" t="s">
        <v>1177</v>
      </c>
      <c r="H409" s="26"/>
    </row>
    <row r="410">
      <c r="A410" s="16" t="s">
        <v>1182</v>
      </c>
      <c r="B410" s="21" t="s">
        <v>1811</v>
      </c>
      <c r="C410" s="21" t="s">
        <v>1212</v>
      </c>
      <c r="D410" s="21" t="s">
        <v>1614</v>
      </c>
      <c r="E410" s="21" t="s">
        <v>1177</v>
      </c>
      <c r="F410" s="21" t="s">
        <v>1177</v>
      </c>
      <c r="G410" s="21" t="s">
        <v>1177</v>
      </c>
      <c r="H410" s="26"/>
    </row>
    <row r="411">
      <c r="A411" s="16" t="s">
        <v>1186</v>
      </c>
      <c r="B411" s="28" t="s">
        <v>1284</v>
      </c>
      <c r="C411" s="28" t="s">
        <v>1284</v>
      </c>
      <c r="D411" s="28" t="s">
        <v>1235</v>
      </c>
      <c r="E411" s="28" t="s">
        <v>1177</v>
      </c>
      <c r="F411" s="28" t="s">
        <v>1177</v>
      </c>
      <c r="G411" s="28" t="s">
        <v>1177</v>
      </c>
      <c r="H411" s="26"/>
    </row>
    <row r="412">
      <c r="A412" s="20" t="s">
        <v>1188</v>
      </c>
      <c r="B412" s="21" t="s">
        <v>1251</v>
      </c>
      <c r="C412" s="21" t="s">
        <v>1617</v>
      </c>
      <c r="D412" s="21" t="s">
        <v>1817</v>
      </c>
      <c r="E412" s="21" t="s">
        <v>1177</v>
      </c>
      <c r="F412" s="21" t="s">
        <v>1177</v>
      </c>
      <c r="G412" s="21" t="s">
        <v>1177</v>
      </c>
      <c r="H412" s="26"/>
    </row>
    <row r="413">
      <c r="A413" s="29"/>
      <c r="B413" s="21" t="s">
        <v>1731</v>
      </c>
      <c r="C413" s="21" t="s">
        <v>1468</v>
      </c>
      <c r="D413" s="21" t="s">
        <v>1594</v>
      </c>
      <c r="E413" s="21" t="s">
        <v>1177</v>
      </c>
      <c r="F413" s="21" t="s">
        <v>1177</v>
      </c>
      <c r="G413" s="21" t="s">
        <v>1177</v>
      </c>
      <c r="H413" s="26"/>
    </row>
    <row r="414">
      <c r="A414" s="29"/>
      <c r="B414" s="21" t="s">
        <v>1879</v>
      </c>
      <c r="C414" s="21" t="s">
        <v>1731</v>
      </c>
      <c r="D414" s="21" t="s">
        <v>1330</v>
      </c>
      <c r="E414" s="21" t="s">
        <v>1177</v>
      </c>
      <c r="F414" s="21" t="s">
        <v>1177</v>
      </c>
      <c r="G414" s="21" t="s">
        <v>1177</v>
      </c>
      <c r="H414" s="26"/>
    </row>
    <row r="415">
      <c r="A415" s="24"/>
      <c r="B415" s="21" t="s">
        <v>1880</v>
      </c>
      <c r="C415" s="21" t="s">
        <v>2019</v>
      </c>
      <c r="D415" s="21" t="s">
        <v>2019</v>
      </c>
      <c r="E415" s="21" t="s">
        <v>1177</v>
      </c>
      <c r="F415" s="21" t="s">
        <v>1177</v>
      </c>
      <c r="G415" s="21" t="s">
        <v>1177</v>
      </c>
      <c r="H415" s="30"/>
      <c r="I415" s="14"/>
    </row>
    <row r="416">
      <c r="A416" s="16" t="s">
        <v>1174</v>
      </c>
      <c r="B416" s="17" t="s">
        <v>2254</v>
      </c>
      <c r="C416" s="18"/>
      <c r="D416" s="18"/>
      <c r="E416" s="18"/>
      <c r="F416" s="18"/>
      <c r="G416" s="18"/>
      <c r="H416" s="18"/>
      <c r="I416" s="16"/>
    </row>
    <row r="417" ht="60.0" customHeight="1">
      <c r="A417" s="20" t="s">
        <v>1176</v>
      </c>
      <c r="B417" s="21" t="str">
        <f t="array" ref="B417">iferror(VLOOKUP(INDIRECT(ADDRESS(ROW()+1,COLUMN(), 4)),Dex!$A$2:$C794,3,false),"")</f>
        <v/>
      </c>
      <c r="C417" s="21" t="str">
        <f t="array" ref="C417">iferror(VLOOKUP(INDIRECT(ADDRESS(ROW()+1,COLUMN(), 4)),Dex!$A$2:$C794,3,false),"")</f>
        <v/>
      </c>
      <c r="D417" s="21" t="str">
        <f t="array" ref="D417">iferror(VLOOKUP(INDIRECT(ADDRESS(ROW()+1,COLUMN(), 4)),Dex!$A$2:$C794,3,false),"")</f>
        <v/>
      </c>
      <c r="E417" s="21" t="s">
        <v>1177</v>
      </c>
      <c r="F417" s="21" t="s">
        <v>1177</v>
      </c>
      <c r="G417" s="21" t="s">
        <v>1177</v>
      </c>
      <c r="H417" s="22" t="str">
        <f t="array" ref="H417">iferror(VLOOKUP("TRAINER_PIC_FISHERMAN",Sprites!$A$1:$B794,2,false),"")</f>
        <v/>
      </c>
      <c r="I417" s="23"/>
    </row>
    <row r="418">
      <c r="A418" s="24"/>
      <c r="B418" s="25" t="s">
        <v>372</v>
      </c>
      <c r="C418" s="25" t="s">
        <v>703</v>
      </c>
      <c r="D418" s="25" t="s">
        <v>773</v>
      </c>
      <c r="E418" s="25" t="s">
        <v>1177</v>
      </c>
      <c r="F418" s="25" t="s">
        <v>1177</v>
      </c>
      <c r="G418" s="25" t="s">
        <v>1177</v>
      </c>
      <c r="H418" s="26"/>
    </row>
    <row r="419">
      <c r="A419" s="16" t="s">
        <v>1178</v>
      </c>
      <c r="B419" s="27" t="s">
        <v>2255</v>
      </c>
      <c r="C419" s="27" t="s">
        <v>2200</v>
      </c>
      <c r="D419" s="27" t="s">
        <v>2200</v>
      </c>
      <c r="E419" s="21" t="s">
        <v>1177</v>
      </c>
      <c r="F419" s="21" t="s">
        <v>1177</v>
      </c>
      <c r="G419" s="21" t="s">
        <v>1177</v>
      </c>
      <c r="H419" s="26"/>
    </row>
    <row r="420">
      <c r="A420" s="16" t="s">
        <v>1181</v>
      </c>
      <c r="B420" s="28" t="s">
        <v>1247</v>
      </c>
      <c r="C420" s="28" t="s">
        <v>1246</v>
      </c>
      <c r="D420" s="28" t="s">
        <v>1209</v>
      </c>
      <c r="E420" s="28" t="s">
        <v>1177</v>
      </c>
      <c r="F420" s="28" t="s">
        <v>1177</v>
      </c>
      <c r="G420" s="28" t="s">
        <v>1177</v>
      </c>
      <c r="H420" s="26"/>
    </row>
    <row r="421">
      <c r="A421" s="16" t="s">
        <v>1182</v>
      </c>
      <c r="B421" s="21" t="s">
        <v>2097</v>
      </c>
      <c r="C421" s="21" t="s">
        <v>2082</v>
      </c>
      <c r="D421" s="21" t="s">
        <v>1212</v>
      </c>
      <c r="E421" s="21" t="s">
        <v>1177</v>
      </c>
      <c r="F421" s="21" t="s">
        <v>1177</v>
      </c>
      <c r="G421" s="21" t="s">
        <v>1177</v>
      </c>
      <c r="H421" s="26"/>
    </row>
    <row r="422">
      <c r="A422" s="16" t="s">
        <v>1186</v>
      </c>
      <c r="B422" s="28" t="s">
        <v>1447</v>
      </c>
      <c r="C422" s="28" t="s">
        <v>1235</v>
      </c>
      <c r="D422" s="28" t="s">
        <v>1248</v>
      </c>
      <c r="E422" s="28" t="s">
        <v>1177</v>
      </c>
      <c r="F422" s="28" t="s">
        <v>1177</v>
      </c>
      <c r="G422" s="28" t="s">
        <v>1177</v>
      </c>
      <c r="H422" s="26"/>
    </row>
    <row r="423">
      <c r="A423" s="20" t="s">
        <v>1188</v>
      </c>
      <c r="B423" s="21" t="s">
        <v>1822</v>
      </c>
      <c r="C423" s="21" t="s">
        <v>1760</v>
      </c>
      <c r="D423" s="21" t="s">
        <v>2068</v>
      </c>
      <c r="E423" s="21" t="s">
        <v>1177</v>
      </c>
      <c r="F423" s="21" t="s">
        <v>1177</v>
      </c>
      <c r="G423" s="21" t="s">
        <v>1177</v>
      </c>
      <c r="H423" s="26"/>
    </row>
    <row r="424">
      <c r="A424" s="29"/>
      <c r="B424" s="21" t="s">
        <v>1886</v>
      </c>
      <c r="C424" s="21" t="s">
        <v>2098</v>
      </c>
      <c r="D424" s="21" t="s">
        <v>1760</v>
      </c>
      <c r="E424" s="21" t="s">
        <v>1177</v>
      </c>
      <c r="F424" s="21" t="s">
        <v>1177</v>
      </c>
      <c r="G424" s="21" t="s">
        <v>1177</v>
      </c>
      <c r="H424" s="26"/>
    </row>
    <row r="425">
      <c r="A425" s="29"/>
      <c r="B425" s="21" t="s">
        <v>1307</v>
      </c>
      <c r="C425" s="21" t="s">
        <v>1177</v>
      </c>
      <c r="D425" s="21" t="s">
        <v>1759</v>
      </c>
      <c r="E425" s="21" t="s">
        <v>1177</v>
      </c>
      <c r="F425" s="21" t="s">
        <v>1177</v>
      </c>
      <c r="G425" s="21" t="s">
        <v>1177</v>
      </c>
      <c r="H425" s="26"/>
    </row>
    <row r="426">
      <c r="A426" s="24"/>
      <c r="B426" s="21" t="s">
        <v>2022</v>
      </c>
      <c r="C426" s="21" t="s">
        <v>1177</v>
      </c>
      <c r="D426" s="21" t="s">
        <v>1641</v>
      </c>
      <c r="E426" s="21" t="s">
        <v>1177</v>
      </c>
      <c r="F426" s="21" t="s">
        <v>1177</v>
      </c>
      <c r="G426" s="21" t="s">
        <v>1177</v>
      </c>
      <c r="H426" s="30"/>
      <c r="I426" s="14"/>
    </row>
    <row r="427">
      <c r="A427" s="16" t="s">
        <v>1174</v>
      </c>
      <c r="B427" s="17" t="s">
        <v>2256</v>
      </c>
      <c r="C427" s="18"/>
      <c r="D427" s="18"/>
      <c r="E427" s="18"/>
      <c r="F427" s="18"/>
      <c r="G427" s="18"/>
      <c r="H427" s="18"/>
      <c r="I427" s="16"/>
    </row>
    <row r="428" ht="60.0" customHeight="1">
      <c r="A428" s="20" t="s">
        <v>1176</v>
      </c>
      <c r="B428" s="21" t="str">
        <f t="array" ref="B428">iferror(VLOOKUP(INDIRECT(ADDRESS(ROW()+1,COLUMN(), 4)),Dex!$A$2:$C794,3,false),"")</f>
        <v/>
      </c>
      <c r="C428" s="21" t="str">
        <f t="array" ref="C428">iferror(VLOOKUP(INDIRECT(ADDRESS(ROW()+1,COLUMN(), 4)),Dex!$A$2:$C794,3,false),"")</f>
        <v/>
      </c>
      <c r="D428" s="21" t="str">
        <f t="array" ref="D428">iferror(VLOOKUP(INDIRECT(ADDRESS(ROW()+1,COLUMN(), 4)),Dex!$A$2:$C794,3,false),"")</f>
        <v/>
      </c>
      <c r="E428" s="21" t="s">
        <v>1177</v>
      </c>
      <c r="F428" s="21" t="s">
        <v>1177</v>
      </c>
      <c r="G428" s="21" t="s">
        <v>1177</v>
      </c>
      <c r="H428" s="22" t="str">
        <f t="array" ref="H428">iferror(VLOOKUP("TRAINER_PIC_GUITARIST",Sprites!$A$1:$B794,2,false),"")</f>
        <v/>
      </c>
      <c r="I428" s="23"/>
    </row>
    <row r="429">
      <c r="A429" s="24"/>
      <c r="B429" s="25" t="s">
        <v>1040</v>
      </c>
      <c r="C429" s="25" t="s">
        <v>1087</v>
      </c>
      <c r="D429" s="25" t="s">
        <v>370</v>
      </c>
      <c r="E429" s="25" t="s">
        <v>1177</v>
      </c>
      <c r="F429" s="25" t="s">
        <v>1177</v>
      </c>
      <c r="G429" s="25" t="s">
        <v>1177</v>
      </c>
      <c r="H429" s="26"/>
    </row>
    <row r="430">
      <c r="A430" s="16" t="s">
        <v>1178</v>
      </c>
      <c r="B430" s="27" t="s">
        <v>2200</v>
      </c>
      <c r="C430" s="27" t="s">
        <v>2253</v>
      </c>
      <c r="D430" s="27" t="s">
        <v>2200</v>
      </c>
      <c r="E430" s="21" t="s">
        <v>1177</v>
      </c>
      <c r="F430" s="21" t="s">
        <v>1177</v>
      </c>
      <c r="G430" s="21" t="s">
        <v>1177</v>
      </c>
      <c r="H430" s="26"/>
    </row>
    <row r="431">
      <c r="A431" s="16" t="s">
        <v>1181</v>
      </c>
      <c r="B431" s="28" t="s">
        <v>1246</v>
      </c>
      <c r="C431" s="28" t="s">
        <v>1346</v>
      </c>
      <c r="D431" s="28" t="s">
        <v>1434</v>
      </c>
      <c r="E431" s="28" t="s">
        <v>1177</v>
      </c>
      <c r="F431" s="28" t="s">
        <v>1177</v>
      </c>
      <c r="G431" s="28" t="s">
        <v>1177</v>
      </c>
      <c r="H431" s="26"/>
    </row>
    <row r="432">
      <c r="A432" s="16" t="s">
        <v>1182</v>
      </c>
      <c r="B432" s="21" t="s">
        <v>1979</v>
      </c>
      <c r="C432" s="21" t="s">
        <v>1850</v>
      </c>
      <c r="D432" s="21" t="s">
        <v>1419</v>
      </c>
      <c r="E432" s="21" t="s">
        <v>1177</v>
      </c>
      <c r="F432" s="21" t="s">
        <v>1177</v>
      </c>
      <c r="G432" s="21" t="s">
        <v>1177</v>
      </c>
      <c r="H432" s="26"/>
    </row>
    <row r="433">
      <c r="A433" s="16" t="s">
        <v>1186</v>
      </c>
      <c r="B433" s="28" t="s">
        <v>1235</v>
      </c>
      <c r="C433" s="28" t="s">
        <v>1284</v>
      </c>
      <c r="D433" s="28" t="s">
        <v>1235</v>
      </c>
      <c r="E433" s="28" t="s">
        <v>1177</v>
      </c>
      <c r="F433" s="28" t="s">
        <v>1177</v>
      </c>
      <c r="G433" s="28" t="s">
        <v>1177</v>
      </c>
      <c r="H433" s="26"/>
    </row>
    <row r="434">
      <c r="A434" s="20" t="s">
        <v>1188</v>
      </c>
      <c r="B434" s="21" t="s">
        <v>1646</v>
      </c>
      <c r="C434" s="21" t="s">
        <v>1853</v>
      </c>
      <c r="D434" s="21" t="s">
        <v>1776</v>
      </c>
      <c r="E434" s="21" t="s">
        <v>1177</v>
      </c>
      <c r="F434" s="21" t="s">
        <v>1177</v>
      </c>
      <c r="G434" s="21" t="s">
        <v>1177</v>
      </c>
      <c r="H434" s="26"/>
    </row>
    <row r="435">
      <c r="A435" s="29"/>
      <c r="B435" s="21" t="s">
        <v>1965</v>
      </c>
      <c r="C435" s="21" t="s">
        <v>1899</v>
      </c>
      <c r="D435" s="21" t="s">
        <v>1432</v>
      </c>
      <c r="E435" s="21" t="s">
        <v>1177</v>
      </c>
      <c r="F435" s="21" t="s">
        <v>1177</v>
      </c>
      <c r="G435" s="21" t="s">
        <v>1177</v>
      </c>
      <c r="H435" s="26"/>
    </row>
    <row r="436">
      <c r="A436" s="29"/>
      <c r="B436" s="21" t="s">
        <v>1886</v>
      </c>
      <c r="C436" s="21" t="s">
        <v>1470</v>
      </c>
      <c r="D436" s="21" t="s">
        <v>1836</v>
      </c>
      <c r="E436" s="21" t="s">
        <v>1177</v>
      </c>
      <c r="F436" s="21" t="s">
        <v>1177</v>
      </c>
      <c r="G436" s="21" t="s">
        <v>1177</v>
      </c>
      <c r="H436" s="26"/>
    </row>
    <row r="437">
      <c r="A437" s="24"/>
      <c r="B437" s="21" t="s">
        <v>1177</v>
      </c>
      <c r="C437" s="21" t="s">
        <v>1959</v>
      </c>
      <c r="D437" s="21" t="s">
        <v>1389</v>
      </c>
      <c r="E437" s="21" t="s">
        <v>1177</v>
      </c>
      <c r="F437" s="21" t="s">
        <v>1177</v>
      </c>
      <c r="G437" s="21" t="s">
        <v>1177</v>
      </c>
      <c r="H437" s="30"/>
      <c r="I437" s="14"/>
    </row>
    <row r="438">
      <c r="A438" s="16" t="s">
        <v>1174</v>
      </c>
      <c r="B438" s="17" t="s">
        <v>2257</v>
      </c>
      <c r="C438" s="18"/>
      <c r="D438" s="18"/>
      <c r="E438" s="18"/>
      <c r="F438" s="18"/>
      <c r="G438" s="18"/>
      <c r="H438" s="18"/>
      <c r="I438" s="16"/>
    </row>
    <row r="439" ht="60.0" customHeight="1">
      <c r="A439" s="20" t="s">
        <v>1176</v>
      </c>
      <c r="B439" s="21" t="str">
        <f t="array" ref="B439">iferror(VLOOKUP(INDIRECT(ADDRESS(ROW()+1,COLUMN(), 4)),Dex!$A$2:$C794,3,false),"")</f>
        <v/>
      </c>
      <c r="C439" s="21" t="str">
        <f t="array" ref="C439">iferror(VLOOKUP(INDIRECT(ADDRESS(ROW()+1,COLUMN(), 4)),Dex!$A$2:$C794,3,false),"")</f>
        <v/>
      </c>
      <c r="D439" s="21" t="s">
        <v>1177</v>
      </c>
      <c r="E439" s="21" t="str">
        <f t="array" ref="E439">iferror(VLOOKUP(INDIRECT(ADDRESS(ROW()+1,COLUMN(), 4)),Dex!$A$2:$C794,3,false),"")</f>
        <v/>
      </c>
      <c r="F439" s="21" t="str">
        <f t="array" ref="F439">iferror(VLOOKUP(INDIRECT(ADDRESS(ROW()+1,COLUMN(), 4)),Dex!$A$2:$C794,3,false),"")</f>
        <v/>
      </c>
      <c r="G439" s="21" t="s">
        <v>1177</v>
      </c>
      <c r="H439" s="22" t="str">
        <f t="array" ref="H439">iferror(VLOOKUP("TRAINER_PIC_BIRD_KEEPER",Sprites!$A$1:$B794,2,false),"")</f>
        <v/>
      </c>
      <c r="I439" s="23"/>
    </row>
    <row r="440">
      <c r="A440" s="24"/>
      <c r="B440" s="25" t="s">
        <v>925</v>
      </c>
      <c r="C440" s="25" t="s">
        <v>431</v>
      </c>
      <c r="D440" s="25" t="s">
        <v>1177</v>
      </c>
      <c r="E440" s="25" t="s">
        <v>38</v>
      </c>
      <c r="F440" s="25" t="s">
        <v>548</v>
      </c>
      <c r="G440" s="25" t="s">
        <v>1177</v>
      </c>
      <c r="H440" s="26"/>
    </row>
    <row r="441">
      <c r="A441" s="16" t="s">
        <v>1178</v>
      </c>
      <c r="B441" s="27" t="s">
        <v>2253</v>
      </c>
      <c r="C441" s="27" t="s">
        <v>2253</v>
      </c>
      <c r="D441" s="21" t="s">
        <v>1177</v>
      </c>
      <c r="E441" s="27" t="s">
        <v>2255</v>
      </c>
      <c r="F441" s="27" t="s">
        <v>2253</v>
      </c>
      <c r="G441" s="21" t="s">
        <v>1177</v>
      </c>
      <c r="H441" s="26"/>
    </row>
    <row r="442">
      <c r="A442" s="16" t="s">
        <v>1181</v>
      </c>
      <c r="B442" s="28" t="s">
        <v>2179</v>
      </c>
      <c r="C442" s="28" t="s">
        <v>1581</v>
      </c>
      <c r="D442" s="28" t="s">
        <v>1177</v>
      </c>
      <c r="E442" s="28" t="s">
        <v>1571</v>
      </c>
      <c r="F442" s="28" t="s">
        <v>1571</v>
      </c>
      <c r="G442" s="28" t="s">
        <v>1177</v>
      </c>
      <c r="H442" s="26"/>
    </row>
    <row r="443">
      <c r="A443" s="16" t="s">
        <v>1182</v>
      </c>
      <c r="B443" s="21" t="s">
        <v>1368</v>
      </c>
      <c r="C443" s="21" t="s">
        <v>1368</v>
      </c>
      <c r="D443" s="21" t="s">
        <v>1177</v>
      </c>
      <c r="E443" s="21" t="s">
        <v>1573</v>
      </c>
      <c r="F443" s="21" t="s">
        <v>1797</v>
      </c>
      <c r="G443" s="21" t="s">
        <v>1177</v>
      </c>
      <c r="H443" s="26"/>
    </row>
    <row r="444">
      <c r="A444" s="16" t="s">
        <v>1186</v>
      </c>
      <c r="B444" s="28" t="s">
        <v>1284</v>
      </c>
      <c r="C444" s="28" t="s">
        <v>1248</v>
      </c>
      <c r="D444" s="28" t="s">
        <v>1177</v>
      </c>
      <c r="E444" s="28" t="s">
        <v>1235</v>
      </c>
      <c r="F444" s="28" t="s">
        <v>1235</v>
      </c>
      <c r="G444" s="28" t="s">
        <v>1177</v>
      </c>
      <c r="H444" s="26"/>
    </row>
    <row r="445">
      <c r="A445" s="20" t="s">
        <v>1188</v>
      </c>
      <c r="B445" s="21" t="s">
        <v>1724</v>
      </c>
      <c r="C445" s="21" t="s">
        <v>1677</v>
      </c>
      <c r="D445" s="21" t="s">
        <v>1177</v>
      </c>
      <c r="E445" s="21" t="s">
        <v>1805</v>
      </c>
      <c r="F445" s="21" t="s">
        <v>1776</v>
      </c>
      <c r="G445" s="21" t="s">
        <v>1177</v>
      </c>
      <c r="H445" s="26"/>
    </row>
    <row r="446">
      <c r="A446" s="29"/>
      <c r="B446" s="21" t="s">
        <v>1650</v>
      </c>
      <c r="C446" s="21" t="s">
        <v>1712</v>
      </c>
      <c r="D446" s="21" t="s">
        <v>1177</v>
      </c>
      <c r="E446" s="21" t="s">
        <v>1776</v>
      </c>
      <c r="F446" s="21" t="s">
        <v>1577</v>
      </c>
      <c r="G446" s="21" t="s">
        <v>1177</v>
      </c>
      <c r="H446" s="26"/>
    </row>
    <row r="447">
      <c r="A447" s="29"/>
      <c r="B447" s="21" t="s">
        <v>1608</v>
      </c>
      <c r="C447" s="21" t="s">
        <v>1915</v>
      </c>
      <c r="D447" s="21" t="s">
        <v>1177</v>
      </c>
      <c r="E447" s="21" t="s">
        <v>1772</v>
      </c>
      <c r="F447" s="21" t="s">
        <v>1471</v>
      </c>
      <c r="G447" s="21" t="s">
        <v>1177</v>
      </c>
      <c r="H447" s="26"/>
    </row>
    <row r="448">
      <c r="A448" s="24"/>
      <c r="B448" s="21" t="s">
        <v>1371</v>
      </c>
      <c r="C448" s="21" t="s">
        <v>1377</v>
      </c>
      <c r="D448" s="21" t="s">
        <v>1177</v>
      </c>
      <c r="E448" s="21" t="s">
        <v>1600</v>
      </c>
      <c r="F448" s="21" t="s">
        <v>1472</v>
      </c>
      <c r="G448" s="21" t="s">
        <v>1177</v>
      </c>
      <c r="H448" s="30"/>
      <c r="I448" s="14"/>
    </row>
    <row r="449">
      <c r="A449" s="37"/>
      <c r="B449" s="38" t="s">
        <v>2258</v>
      </c>
      <c r="C449" s="14"/>
      <c r="D449" s="14"/>
      <c r="E449" s="14"/>
      <c r="F449" s="14"/>
      <c r="G449" s="14"/>
      <c r="H449" s="24"/>
      <c r="I449" s="41"/>
    </row>
    <row r="450">
      <c r="A450" s="16" t="s">
        <v>1174</v>
      </c>
      <c r="B450" s="17" t="s">
        <v>2259</v>
      </c>
      <c r="C450" s="18"/>
      <c r="D450" s="18"/>
      <c r="E450" s="18"/>
      <c r="F450" s="18"/>
      <c r="G450" s="18"/>
      <c r="H450" s="18"/>
      <c r="I450" s="16"/>
    </row>
    <row r="451" ht="60.0" customHeight="1">
      <c r="A451" s="20" t="s">
        <v>1176</v>
      </c>
      <c r="B451" s="21" t="str">
        <f t="array" ref="B451">iferror(VLOOKUP(INDIRECT(ADDRESS(ROW()+1,COLUMN(), 4)),Dex!$A$2:$C794,3,false),"")</f>
        <v/>
      </c>
      <c r="C451" s="21" t="str">
        <f t="array" ref="C451">iferror(VLOOKUP(INDIRECT(ADDRESS(ROW()+1,COLUMN(), 4)),Dex!$A$2:$C794,3,false),"")</f>
        <v/>
      </c>
      <c r="D451" s="21" t="str">
        <f t="array" ref="D451">iferror(VLOOKUP(INDIRECT(ADDRESS(ROW()+1,COLUMN(), 4)),Dex!$A$2:$C794,3,false),"")</f>
        <v/>
      </c>
      <c r="E451" s="21" t="str">
        <f t="array" ref="E451">iferror(VLOOKUP(INDIRECT(ADDRESS(ROW()+1,COLUMN(), 4)),Dex!$A$2:$C794,3,false),"")</f>
        <v/>
      </c>
      <c r="F451" s="21" t="s">
        <v>1177</v>
      </c>
      <c r="G451" s="21" t="s">
        <v>1177</v>
      </c>
      <c r="H451" s="22" t="str">
        <f t="array" ref="H451">iferror(VLOOKUP("TRAINER_PIC_BUG_MANIAC",Sprites!$A$1:$B794,2,false),"")</f>
        <v/>
      </c>
      <c r="I451" s="23"/>
    </row>
    <row r="452">
      <c r="A452" s="24"/>
      <c r="B452" s="25" t="s">
        <v>748</v>
      </c>
      <c r="C452" s="25" t="s">
        <v>71</v>
      </c>
      <c r="D452" s="25" t="s">
        <v>951</v>
      </c>
      <c r="E452" s="25" t="s">
        <v>207</v>
      </c>
      <c r="F452" s="25" t="s">
        <v>1177</v>
      </c>
      <c r="G452" s="25" t="s">
        <v>1177</v>
      </c>
      <c r="H452" s="26"/>
    </row>
    <row r="453">
      <c r="A453" s="16" t="s">
        <v>1178</v>
      </c>
      <c r="B453" s="27" t="s">
        <v>2253</v>
      </c>
      <c r="C453" s="27" t="s">
        <v>2255</v>
      </c>
      <c r="D453" s="27" t="s">
        <v>2255</v>
      </c>
      <c r="E453" s="27" t="s">
        <v>2187</v>
      </c>
      <c r="F453" s="21" t="s">
        <v>1177</v>
      </c>
      <c r="G453" s="21" t="s">
        <v>1177</v>
      </c>
      <c r="H453" s="26"/>
    </row>
    <row r="454">
      <c r="A454" s="16" t="s">
        <v>1181</v>
      </c>
      <c r="B454" s="28" t="s">
        <v>1838</v>
      </c>
      <c r="C454" s="28" t="s">
        <v>1582</v>
      </c>
      <c r="D454" s="28" t="s">
        <v>1633</v>
      </c>
      <c r="E454" s="28" t="s">
        <v>1832</v>
      </c>
      <c r="F454" s="28" t="s">
        <v>1177</v>
      </c>
      <c r="G454" s="28" t="s">
        <v>1177</v>
      </c>
      <c r="H454" s="26"/>
    </row>
    <row r="455">
      <c r="A455" s="16" t="s">
        <v>1182</v>
      </c>
      <c r="B455" s="21" t="s">
        <v>1231</v>
      </c>
      <c r="C455" s="21" t="s">
        <v>1931</v>
      </c>
      <c r="D455" s="21" t="s">
        <v>2260</v>
      </c>
      <c r="E455" s="21" t="s">
        <v>1212</v>
      </c>
      <c r="F455" s="21" t="s">
        <v>1177</v>
      </c>
      <c r="G455" s="21" t="s">
        <v>1177</v>
      </c>
      <c r="H455" s="26"/>
    </row>
    <row r="456">
      <c r="A456" s="16" t="s">
        <v>1186</v>
      </c>
      <c r="B456" s="28" t="s">
        <v>1234</v>
      </c>
      <c r="C456" s="28" t="s">
        <v>1248</v>
      </c>
      <c r="D456" s="28" t="s">
        <v>1256</v>
      </c>
      <c r="E456" s="28" t="s">
        <v>1235</v>
      </c>
      <c r="F456" s="28" t="s">
        <v>1177</v>
      </c>
      <c r="G456" s="28" t="s">
        <v>1177</v>
      </c>
      <c r="H456" s="26"/>
    </row>
    <row r="457">
      <c r="A457" s="20" t="s">
        <v>1188</v>
      </c>
      <c r="B457" s="21" t="s">
        <v>1777</v>
      </c>
      <c r="C457" s="21" t="s">
        <v>1575</v>
      </c>
      <c r="D457" s="21" t="s">
        <v>1815</v>
      </c>
      <c r="E457" s="21" t="s">
        <v>1678</v>
      </c>
      <c r="F457" s="21" t="s">
        <v>1177</v>
      </c>
      <c r="G457" s="21" t="s">
        <v>1177</v>
      </c>
      <c r="H457" s="26"/>
    </row>
    <row r="458">
      <c r="A458" s="29"/>
      <c r="B458" s="21" t="s">
        <v>1874</v>
      </c>
      <c r="C458" s="21" t="s">
        <v>1307</v>
      </c>
      <c r="D458" s="21" t="s">
        <v>2112</v>
      </c>
      <c r="E458" s="21" t="s">
        <v>1760</v>
      </c>
      <c r="F458" s="21" t="s">
        <v>1177</v>
      </c>
      <c r="G458" s="21" t="s">
        <v>1177</v>
      </c>
      <c r="H458" s="26"/>
    </row>
    <row r="459">
      <c r="A459" s="29"/>
      <c r="B459" s="21" t="s">
        <v>1683</v>
      </c>
      <c r="C459" s="21" t="s">
        <v>1679</v>
      </c>
      <c r="D459" s="21" t="s">
        <v>1441</v>
      </c>
      <c r="E459" s="21" t="s">
        <v>1236</v>
      </c>
      <c r="F459" s="21" t="s">
        <v>1177</v>
      </c>
      <c r="G459" s="21" t="s">
        <v>1177</v>
      </c>
      <c r="H459" s="26"/>
    </row>
    <row r="460">
      <c r="A460" s="24"/>
      <c r="B460" s="21" t="s">
        <v>2141</v>
      </c>
      <c r="C460" s="21" t="s">
        <v>1441</v>
      </c>
      <c r="D460" s="21" t="s">
        <v>1623</v>
      </c>
      <c r="E460" s="21" t="s">
        <v>1575</v>
      </c>
      <c r="F460" s="21" t="s">
        <v>1177</v>
      </c>
      <c r="G460" s="21" t="s">
        <v>1177</v>
      </c>
      <c r="H460" s="30"/>
      <c r="I460" s="14"/>
    </row>
    <row r="461">
      <c r="A461" s="16" t="s">
        <v>1174</v>
      </c>
      <c r="B461" s="17" t="s">
        <v>2261</v>
      </c>
      <c r="C461" s="18"/>
      <c r="D461" s="18"/>
      <c r="E461" s="18"/>
      <c r="F461" s="18"/>
      <c r="G461" s="18"/>
      <c r="H461" s="18"/>
      <c r="I461" s="16"/>
    </row>
    <row r="462" ht="60.0" customHeight="1">
      <c r="A462" s="20" t="s">
        <v>1176</v>
      </c>
      <c r="B462" s="21" t="str">
        <f t="array" ref="B462">iferror(VLOOKUP(INDIRECT(ADDRESS(ROW()+1,COLUMN(), 4)),Dex!$A$2:$C794,3,false),"")</f>
        <v/>
      </c>
      <c r="C462" s="21" t="str">
        <f t="array" ref="C462">iferror(VLOOKUP(INDIRECT(ADDRESS(ROW()+1,COLUMN(), 4)),Dex!$A$2:$C794,3,false),"")</f>
        <v/>
      </c>
      <c r="D462" s="21" t="str">
        <f t="array" ref="D462">iferror(VLOOKUP(INDIRECT(ADDRESS(ROW()+1,COLUMN(), 4)),Dex!$A$2:$C794,3,false),"")</f>
        <v/>
      </c>
      <c r="E462" s="21" t="s">
        <v>1177</v>
      </c>
      <c r="F462" s="21" t="s">
        <v>1177</v>
      </c>
      <c r="G462" s="21" t="s">
        <v>1177</v>
      </c>
      <c r="H462" s="22" t="str">
        <f t="array" ref="H462">iferror(VLOOKUP("TRAINER_PIC_BUG_CATCHER",Sprites!$A$1:$B794,2,false),"")</f>
        <v/>
      </c>
      <c r="I462" s="23"/>
    </row>
    <row r="463">
      <c r="A463" s="24"/>
      <c r="B463" s="25" t="s">
        <v>295</v>
      </c>
      <c r="C463" s="25" t="s">
        <v>531</v>
      </c>
      <c r="D463" s="25" t="s">
        <v>413</v>
      </c>
      <c r="E463" s="25" t="s">
        <v>1177</v>
      </c>
      <c r="F463" s="25" t="s">
        <v>1177</v>
      </c>
      <c r="G463" s="25" t="s">
        <v>1177</v>
      </c>
      <c r="H463" s="26"/>
    </row>
    <row r="464">
      <c r="A464" s="16" t="s">
        <v>1178</v>
      </c>
      <c r="B464" s="27" t="s">
        <v>2255</v>
      </c>
      <c r="C464" s="27" t="s">
        <v>2262</v>
      </c>
      <c r="D464" s="27" t="s">
        <v>2255</v>
      </c>
      <c r="E464" s="21" t="s">
        <v>1177</v>
      </c>
      <c r="F464" s="21" t="s">
        <v>1177</v>
      </c>
      <c r="G464" s="21" t="s">
        <v>1177</v>
      </c>
      <c r="H464" s="26"/>
    </row>
    <row r="465">
      <c r="A465" s="16" t="s">
        <v>1181</v>
      </c>
      <c r="B465" s="28" t="s">
        <v>1703</v>
      </c>
      <c r="C465" s="28" t="s">
        <v>1282</v>
      </c>
      <c r="D465" s="28" t="s">
        <v>1341</v>
      </c>
      <c r="E465" s="28" t="s">
        <v>1177</v>
      </c>
      <c r="F465" s="28" t="s">
        <v>1177</v>
      </c>
      <c r="G465" s="28" t="s">
        <v>1177</v>
      </c>
      <c r="H465" s="26"/>
    </row>
    <row r="466">
      <c r="A466" s="16" t="s">
        <v>1182</v>
      </c>
      <c r="B466" s="21" t="s">
        <v>1199</v>
      </c>
      <c r="C466" s="21" t="s">
        <v>1820</v>
      </c>
      <c r="D466" s="21" t="s">
        <v>1820</v>
      </c>
      <c r="E466" s="21" t="s">
        <v>1177</v>
      </c>
      <c r="F466" s="21" t="s">
        <v>1177</v>
      </c>
      <c r="G466" s="21" t="s">
        <v>1177</v>
      </c>
      <c r="H466" s="26"/>
    </row>
    <row r="467">
      <c r="A467" s="16" t="s">
        <v>1186</v>
      </c>
      <c r="B467" s="28" t="s">
        <v>1257</v>
      </c>
      <c r="C467" s="28" t="s">
        <v>1300</v>
      </c>
      <c r="D467" s="28" t="s">
        <v>1256</v>
      </c>
      <c r="E467" s="28" t="s">
        <v>1177</v>
      </c>
      <c r="F467" s="28" t="s">
        <v>1177</v>
      </c>
      <c r="G467" s="28" t="s">
        <v>1177</v>
      </c>
      <c r="H467" s="26"/>
    </row>
    <row r="468">
      <c r="A468" s="20" t="s">
        <v>1188</v>
      </c>
      <c r="B468" s="21" t="s">
        <v>1360</v>
      </c>
      <c r="C468" s="21" t="s">
        <v>1650</v>
      </c>
      <c r="D468" s="21" t="s">
        <v>1650</v>
      </c>
      <c r="E468" s="21" t="s">
        <v>1177</v>
      </c>
      <c r="F468" s="21" t="s">
        <v>1177</v>
      </c>
      <c r="G468" s="21" t="s">
        <v>1177</v>
      </c>
      <c r="H468" s="26"/>
    </row>
    <row r="469">
      <c r="A469" s="29"/>
      <c r="B469" s="21" t="s">
        <v>2063</v>
      </c>
      <c r="C469" s="21" t="s">
        <v>1238</v>
      </c>
      <c r="D469" s="21" t="s">
        <v>1177</v>
      </c>
      <c r="E469" s="21" t="s">
        <v>1177</v>
      </c>
      <c r="F469" s="21" t="s">
        <v>1177</v>
      </c>
      <c r="G469" s="21" t="s">
        <v>1177</v>
      </c>
      <c r="H469" s="26"/>
    </row>
    <row r="470">
      <c r="A470" s="29"/>
      <c r="B470" s="21" t="s">
        <v>1310</v>
      </c>
      <c r="C470" s="21" t="s">
        <v>1285</v>
      </c>
      <c r="D470" s="21" t="s">
        <v>1177</v>
      </c>
      <c r="E470" s="21" t="s">
        <v>1177</v>
      </c>
      <c r="F470" s="21" t="s">
        <v>1177</v>
      </c>
      <c r="G470" s="21" t="s">
        <v>1177</v>
      </c>
      <c r="H470" s="26"/>
    </row>
    <row r="471">
      <c r="A471" s="24"/>
      <c r="B471" s="21" t="s">
        <v>1177</v>
      </c>
      <c r="C471" s="21" t="s">
        <v>1374</v>
      </c>
      <c r="D471" s="21" t="s">
        <v>1177</v>
      </c>
      <c r="E471" s="21" t="s">
        <v>1177</v>
      </c>
      <c r="F471" s="21" t="s">
        <v>1177</v>
      </c>
      <c r="G471" s="21" t="s">
        <v>1177</v>
      </c>
      <c r="H471" s="30"/>
      <c r="I471" s="14"/>
    </row>
    <row r="472">
      <c r="A472" s="16" t="s">
        <v>1174</v>
      </c>
      <c r="B472" s="17" t="s">
        <v>2263</v>
      </c>
      <c r="C472" s="18"/>
      <c r="D472" s="18"/>
      <c r="E472" s="18"/>
      <c r="F472" s="18"/>
      <c r="G472" s="18"/>
      <c r="H472" s="18"/>
      <c r="I472" s="16"/>
    </row>
    <row r="473" ht="60.0" customHeight="1">
      <c r="A473" s="20" t="s">
        <v>1176</v>
      </c>
      <c r="B473" s="21" t="str">
        <f t="array" ref="B473">iferror(VLOOKUP(INDIRECT(ADDRESS(ROW()+1,COLUMN(), 4)),Dex!$A$2:$C794,3,false),"")</f>
        <v/>
      </c>
      <c r="C473" s="21" t="str">
        <f t="array" ref="C473">iferror(VLOOKUP(INDIRECT(ADDRESS(ROW()+1,COLUMN(), 4)),Dex!$A$2:$C794,3,false),"")</f>
        <v/>
      </c>
      <c r="D473" s="21" t="str">
        <f t="array" ref="D473">iferror(VLOOKUP(INDIRECT(ADDRESS(ROW()+1,COLUMN(), 4)),Dex!$A$2:$C794,3,false),"")</f>
        <v/>
      </c>
      <c r="E473" s="21" t="s">
        <v>1177</v>
      </c>
      <c r="F473" s="21" t="s">
        <v>1177</v>
      </c>
      <c r="G473" s="21" t="s">
        <v>1177</v>
      </c>
      <c r="H473" s="22" t="str">
        <f t="array" ref="H473">iferror(VLOOKUP("TRAINER_PIC_FISHERMAN",Sprites!$A$1:$B794,2,false),"")</f>
        <v/>
      </c>
      <c r="I473" s="23"/>
    </row>
    <row r="474">
      <c r="A474" s="24"/>
      <c r="B474" s="25" t="s">
        <v>475</v>
      </c>
      <c r="C474" s="25" t="s">
        <v>475</v>
      </c>
      <c r="D474" s="25" t="s">
        <v>475</v>
      </c>
      <c r="E474" s="25" t="s">
        <v>1177</v>
      </c>
      <c r="F474" s="25" t="s">
        <v>1177</v>
      </c>
      <c r="G474" s="25" t="s">
        <v>1177</v>
      </c>
      <c r="H474" s="26"/>
    </row>
    <row r="475">
      <c r="A475" s="16" t="s">
        <v>1178</v>
      </c>
      <c r="B475" s="27" t="s">
        <v>2208</v>
      </c>
      <c r="C475" s="27" t="s">
        <v>2264</v>
      </c>
      <c r="D475" s="27" t="s">
        <v>2265</v>
      </c>
      <c r="E475" s="21" t="s">
        <v>1177</v>
      </c>
      <c r="F475" s="21" t="s">
        <v>1177</v>
      </c>
      <c r="G475" s="21" t="s">
        <v>1177</v>
      </c>
      <c r="H475" s="26"/>
    </row>
    <row r="476">
      <c r="A476" s="16" t="s">
        <v>1181</v>
      </c>
      <c r="B476" s="28" t="s">
        <v>1281</v>
      </c>
      <c r="C476" s="28" t="s">
        <v>1281</v>
      </c>
      <c r="D476" s="28" t="s">
        <v>1281</v>
      </c>
      <c r="E476" s="28" t="s">
        <v>1177</v>
      </c>
      <c r="F476" s="28" t="s">
        <v>1177</v>
      </c>
      <c r="G476" s="28" t="s">
        <v>1177</v>
      </c>
      <c r="H476" s="26"/>
    </row>
    <row r="477">
      <c r="A477" s="16" t="s">
        <v>1182</v>
      </c>
      <c r="B477" s="21" t="s">
        <v>1212</v>
      </c>
      <c r="C477" s="21" t="s">
        <v>1212</v>
      </c>
      <c r="D477" s="21" t="s">
        <v>1212</v>
      </c>
      <c r="E477" s="21" t="s">
        <v>1177</v>
      </c>
      <c r="F477" s="21" t="s">
        <v>1177</v>
      </c>
      <c r="G477" s="21" t="s">
        <v>1177</v>
      </c>
      <c r="H477" s="26"/>
    </row>
    <row r="478">
      <c r="A478" s="16" t="s">
        <v>1186</v>
      </c>
      <c r="B478" s="28" t="s">
        <v>1256</v>
      </c>
      <c r="C478" s="28" t="s">
        <v>1256</v>
      </c>
      <c r="D478" s="28" t="s">
        <v>1256</v>
      </c>
      <c r="E478" s="28" t="s">
        <v>1177</v>
      </c>
      <c r="F478" s="28" t="s">
        <v>1177</v>
      </c>
      <c r="G478" s="28" t="s">
        <v>1177</v>
      </c>
      <c r="H478" s="26"/>
    </row>
    <row r="479">
      <c r="A479" s="20" t="s">
        <v>1188</v>
      </c>
      <c r="B479" s="21" t="s">
        <v>1251</v>
      </c>
      <c r="C479" s="21" t="s">
        <v>1251</v>
      </c>
      <c r="D479" s="21" t="s">
        <v>1251</v>
      </c>
      <c r="E479" s="21" t="s">
        <v>1177</v>
      </c>
      <c r="F479" s="21" t="s">
        <v>1177</v>
      </c>
      <c r="G479" s="21" t="s">
        <v>1177</v>
      </c>
      <c r="H479" s="26"/>
    </row>
    <row r="480">
      <c r="A480" s="29"/>
      <c r="B480" s="21" t="s">
        <v>2266</v>
      </c>
      <c r="C480" s="21" t="s">
        <v>2266</v>
      </c>
      <c r="D480" s="21" t="s">
        <v>1177</v>
      </c>
      <c r="E480" s="21" t="s">
        <v>1177</v>
      </c>
      <c r="F480" s="21" t="s">
        <v>1177</v>
      </c>
      <c r="G480" s="21" t="s">
        <v>1177</v>
      </c>
      <c r="H480" s="26"/>
    </row>
    <row r="481">
      <c r="A481" s="29"/>
      <c r="B481" s="21" t="s">
        <v>1177</v>
      </c>
      <c r="C481" s="21" t="s">
        <v>1177</v>
      </c>
      <c r="D481" s="21" t="s">
        <v>1177</v>
      </c>
      <c r="E481" s="21" t="s">
        <v>1177</v>
      </c>
      <c r="F481" s="21" t="s">
        <v>1177</v>
      </c>
      <c r="G481" s="21" t="s">
        <v>1177</v>
      </c>
      <c r="H481" s="26"/>
    </row>
    <row r="482">
      <c r="A482" s="24"/>
      <c r="B482" s="21" t="s">
        <v>1177</v>
      </c>
      <c r="C482" s="21" t="s">
        <v>1177</v>
      </c>
      <c r="D482" s="21" t="s">
        <v>1177</v>
      </c>
      <c r="E482" s="21" t="s">
        <v>1177</v>
      </c>
      <c r="F482" s="21" t="s">
        <v>1177</v>
      </c>
      <c r="G482" s="21" t="s">
        <v>1177</v>
      </c>
      <c r="H482" s="30"/>
      <c r="I482" s="14"/>
    </row>
    <row r="483">
      <c r="A483" s="16" t="s">
        <v>1174</v>
      </c>
      <c r="B483" s="17" t="s">
        <v>2267</v>
      </c>
      <c r="C483" s="18"/>
      <c r="D483" s="18"/>
      <c r="E483" s="18"/>
      <c r="F483" s="18"/>
      <c r="G483" s="18"/>
      <c r="H483" s="18"/>
      <c r="I483" s="16"/>
    </row>
    <row r="484" ht="60.0" customHeight="1">
      <c r="A484" s="20" t="s">
        <v>1176</v>
      </c>
      <c r="B484" s="21" t="str">
        <f t="array" ref="B484">iferror(VLOOKUP(INDIRECT(ADDRESS(ROW()+1,COLUMN(), 4)),Dex!$A$2:$C794,3,false),"")</f>
        <v/>
      </c>
      <c r="C484" s="21" t="str">
        <f t="array" ref="C484">iferror(VLOOKUP(INDIRECT(ADDRESS(ROW()+1,COLUMN(), 4)),Dex!$A$2:$C794,3,false),"")</f>
        <v/>
      </c>
      <c r="D484" s="21" t="str">
        <f t="array" ref="D484">iferror(VLOOKUP(INDIRECT(ADDRESS(ROW()+1,COLUMN(), 4)),Dex!$A$2:$C794,3,false),"")</f>
        <v/>
      </c>
      <c r="E484" s="21" t="str">
        <f t="array" ref="E484">iferror(VLOOKUP(INDIRECT(ADDRESS(ROW()+1,COLUMN(), 4)),Dex!$A$2:$C794,3,false),"")</f>
        <v/>
      </c>
      <c r="F484" s="21" t="s">
        <v>1177</v>
      </c>
      <c r="G484" s="21" t="s">
        <v>1177</v>
      </c>
      <c r="H484" s="22" t="str">
        <f t="array" ref="H484">iferror(VLOOKUP("TRAINER_PIC_POKEMON_RANGER_M",Sprites!$A$1:$B794,2,false),"")</f>
        <v/>
      </c>
      <c r="I484" s="23"/>
    </row>
    <row r="485">
      <c r="A485" s="24"/>
      <c r="B485" s="25" t="s">
        <v>316</v>
      </c>
      <c r="C485" s="25" t="s">
        <v>452</v>
      </c>
      <c r="D485" s="25" t="s">
        <v>869</v>
      </c>
      <c r="E485" s="25" t="s">
        <v>865</v>
      </c>
      <c r="F485" s="25" t="s">
        <v>1177</v>
      </c>
      <c r="G485" s="25" t="s">
        <v>1177</v>
      </c>
      <c r="H485" s="26"/>
    </row>
    <row r="486">
      <c r="A486" s="16" t="s">
        <v>1178</v>
      </c>
      <c r="B486" s="27" t="s">
        <v>2200</v>
      </c>
      <c r="C486" s="27" t="s">
        <v>2253</v>
      </c>
      <c r="D486" s="27" t="s">
        <v>2253</v>
      </c>
      <c r="E486" s="27" t="s">
        <v>2253</v>
      </c>
      <c r="F486" s="21" t="s">
        <v>1177</v>
      </c>
      <c r="G486" s="21" t="s">
        <v>1177</v>
      </c>
      <c r="H486" s="26"/>
    </row>
    <row r="487">
      <c r="A487" s="16" t="s">
        <v>1181</v>
      </c>
      <c r="B487" s="28" t="s">
        <v>1209</v>
      </c>
      <c r="C487" s="28" t="s">
        <v>1295</v>
      </c>
      <c r="D487" s="28" t="s">
        <v>1460</v>
      </c>
      <c r="E487" s="28" t="s">
        <v>1572</v>
      </c>
      <c r="F487" s="28" t="s">
        <v>1177</v>
      </c>
      <c r="G487" s="28" t="s">
        <v>1177</v>
      </c>
      <c r="H487" s="26"/>
    </row>
    <row r="488">
      <c r="A488" s="16" t="s">
        <v>1182</v>
      </c>
      <c r="B488" s="21" t="s">
        <v>1212</v>
      </c>
      <c r="C488" s="21" t="s">
        <v>2094</v>
      </c>
      <c r="D488" s="21" t="s">
        <v>1931</v>
      </c>
      <c r="E488" s="21" t="s">
        <v>2082</v>
      </c>
      <c r="F488" s="21" t="s">
        <v>1177</v>
      </c>
      <c r="G488" s="21" t="s">
        <v>1177</v>
      </c>
      <c r="H488" s="26"/>
    </row>
    <row r="489">
      <c r="A489" s="16" t="s">
        <v>1186</v>
      </c>
      <c r="B489" s="28" t="s">
        <v>1465</v>
      </c>
      <c r="C489" s="28" t="s">
        <v>1234</v>
      </c>
      <c r="D489" s="28" t="s">
        <v>1284</v>
      </c>
      <c r="E489" s="28" t="s">
        <v>1447</v>
      </c>
      <c r="F489" s="28" t="s">
        <v>1177</v>
      </c>
      <c r="G489" s="28" t="s">
        <v>1177</v>
      </c>
      <c r="H489" s="26"/>
    </row>
    <row r="490">
      <c r="A490" s="20" t="s">
        <v>1188</v>
      </c>
      <c r="B490" s="21" t="s">
        <v>1760</v>
      </c>
      <c r="C490" s="21" t="s">
        <v>1695</v>
      </c>
      <c r="D490" s="21" t="s">
        <v>1663</v>
      </c>
      <c r="E490" s="21" t="s">
        <v>2268</v>
      </c>
      <c r="F490" s="21" t="s">
        <v>1177</v>
      </c>
      <c r="G490" s="21" t="s">
        <v>1177</v>
      </c>
      <c r="H490" s="26"/>
    </row>
    <row r="491">
      <c r="A491" s="29"/>
      <c r="B491" s="21" t="s">
        <v>1828</v>
      </c>
      <c r="C491" s="21" t="s">
        <v>2098</v>
      </c>
      <c r="D491" s="21" t="s">
        <v>1828</v>
      </c>
      <c r="E491" s="21" t="s">
        <v>2198</v>
      </c>
      <c r="F491" s="21" t="s">
        <v>1177</v>
      </c>
      <c r="G491" s="21" t="s">
        <v>1177</v>
      </c>
      <c r="H491" s="26"/>
    </row>
    <row r="492">
      <c r="A492" s="29"/>
      <c r="B492" s="21" t="s">
        <v>1987</v>
      </c>
      <c r="C492" s="21" t="s">
        <v>1311</v>
      </c>
      <c r="D492" s="21" t="s">
        <v>2022</v>
      </c>
      <c r="E492" s="21" t="s">
        <v>1251</v>
      </c>
      <c r="F492" s="21" t="s">
        <v>1177</v>
      </c>
      <c r="G492" s="21" t="s">
        <v>1177</v>
      </c>
      <c r="H492" s="26"/>
    </row>
    <row r="493">
      <c r="A493" s="24"/>
      <c r="B493" s="21" t="s">
        <v>1822</v>
      </c>
      <c r="C493" s="21" t="s">
        <v>1398</v>
      </c>
      <c r="D493" s="21" t="s">
        <v>1652</v>
      </c>
      <c r="E493" s="21" t="s">
        <v>2098</v>
      </c>
      <c r="F493" s="21" t="s">
        <v>1177</v>
      </c>
      <c r="G493" s="21" t="s">
        <v>1177</v>
      </c>
      <c r="H493" s="30"/>
      <c r="I493" s="14"/>
    </row>
    <row r="494">
      <c r="A494" s="16" t="s">
        <v>1174</v>
      </c>
      <c r="B494" s="17" t="s">
        <v>2269</v>
      </c>
      <c r="C494" s="18"/>
      <c r="D494" s="18"/>
      <c r="E494" s="18"/>
      <c r="F494" s="18"/>
      <c r="G494" s="18"/>
      <c r="H494" s="18"/>
      <c r="I494" s="16"/>
    </row>
    <row r="495" ht="60.0" customHeight="1">
      <c r="A495" s="20" t="s">
        <v>1176</v>
      </c>
      <c r="B495" s="21" t="str">
        <f t="array" ref="B495">iferror(VLOOKUP(INDIRECT(ADDRESS(ROW()+1,COLUMN(), 4)),Dex!$A$2:$C794,3,false),"")</f>
        <v/>
      </c>
      <c r="C495" s="21" t="str">
        <f t="array" ref="C495">iferror(VLOOKUP(INDIRECT(ADDRESS(ROW()+1,COLUMN(), 4)),Dex!$A$2:$C794,3,false),"")</f>
        <v/>
      </c>
      <c r="D495" s="21" t="str">
        <f t="array" ref="D495">iferror(VLOOKUP(INDIRECT(ADDRESS(ROW()+1,COLUMN(), 4)),Dex!$A$2:$C794,3,false),"")</f>
        <v/>
      </c>
      <c r="E495" s="21" t="s">
        <v>1177</v>
      </c>
      <c r="F495" s="21" t="s">
        <v>1177</v>
      </c>
      <c r="G495" s="21" t="s">
        <v>1177</v>
      </c>
      <c r="H495" s="22" t="str">
        <f t="array" ref="H495">iferror(VLOOKUP("TRAINER_PIC_BUG_CATCHER",Sprites!$A$1:$B794,2,false),"")</f>
        <v/>
      </c>
      <c r="I495" s="23"/>
    </row>
    <row r="496">
      <c r="A496" s="24"/>
      <c r="B496" s="25" t="s">
        <v>755</v>
      </c>
      <c r="C496" s="25" t="s">
        <v>1118</v>
      </c>
      <c r="D496" s="25" t="s">
        <v>27</v>
      </c>
      <c r="E496" s="25" t="s">
        <v>1177</v>
      </c>
      <c r="F496" s="25" t="s">
        <v>1177</v>
      </c>
      <c r="G496" s="25" t="s">
        <v>1177</v>
      </c>
      <c r="H496" s="26"/>
    </row>
    <row r="497">
      <c r="A497" s="16" t="s">
        <v>1178</v>
      </c>
      <c r="B497" s="27" t="s">
        <v>2262</v>
      </c>
      <c r="C497" s="27" t="s">
        <v>2255</v>
      </c>
      <c r="D497" s="27" t="s">
        <v>2270</v>
      </c>
      <c r="E497" s="21" t="s">
        <v>1177</v>
      </c>
      <c r="F497" s="21" t="s">
        <v>1177</v>
      </c>
      <c r="G497" s="21" t="s">
        <v>1177</v>
      </c>
      <c r="H497" s="26"/>
    </row>
    <row r="498">
      <c r="A498" s="16" t="s">
        <v>1181</v>
      </c>
      <c r="B498" s="28" t="s">
        <v>1832</v>
      </c>
      <c r="C498" s="28" t="s">
        <v>1295</v>
      </c>
      <c r="D498" s="28" t="s">
        <v>1571</v>
      </c>
      <c r="E498" s="28" t="s">
        <v>1177</v>
      </c>
      <c r="F498" s="28" t="s">
        <v>1177</v>
      </c>
      <c r="G498" s="28" t="s">
        <v>1177</v>
      </c>
      <c r="H498" s="26"/>
    </row>
    <row r="499">
      <c r="A499" s="16" t="s">
        <v>1182</v>
      </c>
      <c r="B499" s="21" t="s">
        <v>1211</v>
      </c>
      <c r="C499" s="21" t="s">
        <v>2271</v>
      </c>
      <c r="D499" s="21" t="s">
        <v>1573</v>
      </c>
      <c r="E499" s="21" t="s">
        <v>1177</v>
      </c>
      <c r="F499" s="21" t="s">
        <v>1177</v>
      </c>
      <c r="G499" s="21" t="s">
        <v>1177</v>
      </c>
      <c r="H499" s="26"/>
    </row>
    <row r="500">
      <c r="A500" s="16" t="s">
        <v>1186</v>
      </c>
      <c r="B500" s="28" t="s">
        <v>1284</v>
      </c>
      <c r="C500" s="28" t="s">
        <v>1284</v>
      </c>
      <c r="D500" s="28" t="s">
        <v>1235</v>
      </c>
      <c r="E500" s="28" t="s">
        <v>1177</v>
      </c>
      <c r="F500" s="28" t="s">
        <v>1177</v>
      </c>
      <c r="G500" s="28" t="s">
        <v>1177</v>
      </c>
      <c r="H500" s="26"/>
    </row>
    <row r="501">
      <c r="A501" s="20" t="s">
        <v>1188</v>
      </c>
      <c r="B501" s="21" t="s">
        <v>1663</v>
      </c>
      <c r="C501" s="21" t="s">
        <v>1468</v>
      </c>
      <c r="D501" s="21" t="s">
        <v>1586</v>
      </c>
      <c r="E501" s="21" t="s">
        <v>1177</v>
      </c>
      <c r="F501" s="21" t="s">
        <v>1177</v>
      </c>
      <c r="G501" s="21" t="s">
        <v>1177</v>
      </c>
      <c r="H501" s="26"/>
    </row>
    <row r="502">
      <c r="A502" s="29"/>
      <c r="B502" s="21" t="s">
        <v>1650</v>
      </c>
      <c r="C502" s="21" t="s">
        <v>1822</v>
      </c>
      <c r="D502" s="21" t="s">
        <v>1772</v>
      </c>
      <c r="E502" s="21" t="s">
        <v>1177</v>
      </c>
      <c r="F502" s="21" t="s">
        <v>1177</v>
      </c>
      <c r="G502" s="21" t="s">
        <v>1177</v>
      </c>
      <c r="H502" s="26"/>
    </row>
    <row r="503">
      <c r="A503" s="29"/>
      <c r="B503" s="21" t="s">
        <v>2272</v>
      </c>
      <c r="C503" s="21" t="s">
        <v>2022</v>
      </c>
      <c r="D503" s="21" t="s">
        <v>1307</v>
      </c>
      <c r="E503" s="21" t="s">
        <v>1177</v>
      </c>
      <c r="F503" s="21" t="s">
        <v>1177</v>
      </c>
      <c r="G503" s="21" t="s">
        <v>1177</v>
      </c>
      <c r="H503" s="26"/>
    </row>
    <row r="504">
      <c r="A504" s="24"/>
      <c r="B504" s="21" t="s">
        <v>1310</v>
      </c>
      <c r="C504" s="21" t="s">
        <v>1959</v>
      </c>
      <c r="D504" s="21" t="s">
        <v>1600</v>
      </c>
      <c r="E504" s="21" t="s">
        <v>1177</v>
      </c>
      <c r="F504" s="21" t="s">
        <v>1177</v>
      </c>
      <c r="G504" s="21" t="s">
        <v>1177</v>
      </c>
      <c r="H504" s="30"/>
      <c r="I504" s="14"/>
    </row>
    <row r="505">
      <c r="A505" s="16" t="s">
        <v>1174</v>
      </c>
      <c r="B505" s="17" t="s">
        <v>2273</v>
      </c>
      <c r="C505" s="18"/>
      <c r="D505" s="18"/>
      <c r="E505" s="18"/>
      <c r="F505" s="18"/>
      <c r="G505" s="18"/>
      <c r="H505" s="18"/>
      <c r="I505" s="16"/>
    </row>
    <row r="506" ht="60.0" customHeight="1">
      <c r="A506" s="20" t="s">
        <v>1176</v>
      </c>
      <c r="B506" s="21" t="str">
        <f t="array" ref="B506">iferror(VLOOKUP(INDIRECT(ADDRESS(ROW()+1,COLUMN(), 4)),Dex!$A$2:$C794,3,false),"")</f>
        <v/>
      </c>
      <c r="C506" s="21" t="str">
        <f t="array" ref="C506">iferror(VLOOKUP(INDIRECT(ADDRESS(ROW()+1,COLUMN(), 4)),Dex!$A$2:$C794,3,false),"")</f>
        <v/>
      </c>
      <c r="D506" s="21" t="str">
        <f t="array" ref="D506">iferror(VLOOKUP(INDIRECT(ADDRESS(ROW()+1,COLUMN(), 4)),Dex!$A$2:$C794,3,false),"")</f>
        <v/>
      </c>
      <c r="E506" s="21" t="s">
        <v>1177</v>
      </c>
      <c r="F506" s="21" t="s">
        <v>1177</v>
      </c>
      <c r="G506" s="21" t="s">
        <v>1177</v>
      </c>
      <c r="H506" s="22" t="str">
        <f t="array" ref="H506">iferror(VLOOKUP("TRAINER_PIC_BUG_MANIAC",Sprites!$A$1:$B794,2,false),"")</f>
        <v/>
      </c>
      <c r="I506" s="23"/>
    </row>
    <row r="507">
      <c r="A507" s="24"/>
      <c r="B507" s="25" t="s">
        <v>530</v>
      </c>
      <c r="C507" s="25" t="s">
        <v>529</v>
      </c>
      <c r="D507" s="25" t="s">
        <v>528</v>
      </c>
      <c r="E507" s="25" t="s">
        <v>1177</v>
      </c>
      <c r="F507" s="25" t="s">
        <v>1177</v>
      </c>
      <c r="G507" s="25" t="s">
        <v>1177</v>
      </c>
      <c r="H507" s="26"/>
    </row>
    <row r="508">
      <c r="A508" s="16" t="s">
        <v>1178</v>
      </c>
      <c r="B508" s="27" t="s">
        <v>2208</v>
      </c>
      <c r="C508" s="27" t="s">
        <v>2208</v>
      </c>
      <c r="D508" s="27" t="s">
        <v>2208</v>
      </c>
      <c r="E508" s="21" t="s">
        <v>1177</v>
      </c>
      <c r="F508" s="21" t="s">
        <v>1177</v>
      </c>
      <c r="G508" s="21" t="s">
        <v>1177</v>
      </c>
      <c r="H508" s="26"/>
    </row>
    <row r="509">
      <c r="A509" s="16" t="s">
        <v>1181</v>
      </c>
      <c r="B509" s="28" t="s">
        <v>1572</v>
      </c>
      <c r="C509" s="28" t="s">
        <v>1295</v>
      </c>
      <c r="D509" s="28" t="s">
        <v>2036</v>
      </c>
      <c r="E509" s="28" t="s">
        <v>1177</v>
      </c>
      <c r="F509" s="28" t="s">
        <v>1177</v>
      </c>
      <c r="G509" s="28" t="s">
        <v>1177</v>
      </c>
      <c r="H509" s="26"/>
    </row>
    <row r="510">
      <c r="A510" s="16" t="s">
        <v>1182</v>
      </c>
      <c r="B510" s="21" t="s">
        <v>1445</v>
      </c>
      <c r="C510" s="21" t="s">
        <v>1445</v>
      </c>
      <c r="D510" s="21" t="s">
        <v>1445</v>
      </c>
      <c r="E510" s="21" t="s">
        <v>1177</v>
      </c>
      <c r="F510" s="21" t="s">
        <v>1177</v>
      </c>
      <c r="G510" s="21" t="s">
        <v>1177</v>
      </c>
      <c r="H510" s="26"/>
    </row>
    <row r="511">
      <c r="A511" s="16" t="s">
        <v>1186</v>
      </c>
      <c r="B511" s="28" t="s">
        <v>1256</v>
      </c>
      <c r="C511" s="28" t="s">
        <v>1446</v>
      </c>
      <c r="D511" s="28" t="s">
        <v>1248</v>
      </c>
      <c r="E511" s="28" t="s">
        <v>1177</v>
      </c>
      <c r="F511" s="28" t="s">
        <v>1177</v>
      </c>
      <c r="G511" s="28" t="s">
        <v>1177</v>
      </c>
      <c r="H511" s="26"/>
    </row>
    <row r="512">
      <c r="A512" s="20" t="s">
        <v>1188</v>
      </c>
      <c r="B512" s="21" t="s">
        <v>1823</v>
      </c>
      <c r="C512" s="21" t="s">
        <v>1607</v>
      </c>
      <c r="D512" s="21" t="s">
        <v>1677</v>
      </c>
      <c r="E512" s="21" t="s">
        <v>1177</v>
      </c>
      <c r="F512" s="21" t="s">
        <v>1177</v>
      </c>
      <c r="G512" s="21" t="s">
        <v>1177</v>
      </c>
      <c r="H512" s="26"/>
    </row>
    <row r="513">
      <c r="A513" s="29"/>
      <c r="B513" s="21" t="s">
        <v>1650</v>
      </c>
      <c r="C513" s="21" t="s">
        <v>1374</v>
      </c>
      <c r="D513" s="21" t="s">
        <v>1303</v>
      </c>
      <c r="E513" s="21" t="s">
        <v>1177</v>
      </c>
      <c r="F513" s="21" t="s">
        <v>1177</v>
      </c>
      <c r="G513" s="21" t="s">
        <v>1177</v>
      </c>
      <c r="H513" s="26"/>
    </row>
    <row r="514">
      <c r="A514" s="29"/>
      <c r="B514" s="21" t="s">
        <v>1731</v>
      </c>
      <c r="C514" s="21" t="s">
        <v>1389</v>
      </c>
      <c r="D514" s="21" t="s">
        <v>1374</v>
      </c>
      <c r="E514" s="21" t="s">
        <v>1177</v>
      </c>
      <c r="F514" s="21" t="s">
        <v>1177</v>
      </c>
      <c r="G514" s="21" t="s">
        <v>1177</v>
      </c>
      <c r="H514" s="26"/>
    </row>
    <row r="515">
      <c r="A515" s="24"/>
      <c r="B515" s="21" t="s">
        <v>1285</v>
      </c>
      <c r="C515" s="21" t="s">
        <v>2141</v>
      </c>
      <c r="D515" s="21" t="s">
        <v>2274</v>
      </c>
      <c r="E515" s="21" t="s">
        <v>1177</v>
      </c>
      <c r="F515" s="21" t="s">
        <v>1177</v>
      </c>
      <c r="G515" s="21" t="s">
        <v>1177</v>
      </c>
      <c r="H515" s="30"/>
      <c r="I515" s="14"/>
    </row>
    <row r="516">
      <c r="A516" s="16" t="s">
        <v>1174</v>
      </c>
      <c r="B516" s="17" t="s">
        <v>2275</v>
      </c>
      <c r="C516" s="18"/>
      <c r="D516" s="18"/>
      <c r="E516" s="18"/>
      <c r="F516" s="18"/>
      <c r="G516" s="18"/>
      <c r="H516" s="18"/>
      <c r="I516" s="16"/>
    </row>
    <row r="517" ht="60.0" customHeight="1">
      <c r="A517" s="20" t="s">
        <v>1176</v>
      </c>
      <c r="B517" s="21" t="str">
        <f t="array" ref="B517">iferror(VLOOKUP(INDIRECT(ADDRESS(ROW()+1,COLUMN(), 4)),Dex!$A$2:$C794,3,false),"")</f>
        <v/>
      </c>
      <c r="C517" s="21" t="str">
        <f t="array" ref="C517">iferror(VLOOKUP(INDIRECT(ADDRESS(ROW()+1,COLUMN(), 4)),Dex!$A$2:$C794,3,false),"")</f>
        <v/>
      </c>
      <c r="D517" s="21" t="str">
        <f t="array" ref="D517">iferror(VLOOKUP(INDIRECT(ADDRESS(ROW()+1,COLUMN(), 4)),Dex!$A$2:$C794,3,false),"")</f>
        <v/>
      </c>
      <c r="E517" s="21" t="str">
        <f t="array" ref="E517">iferror(VLOOKUP(INDIRECT(ADDRESS(ROW()+1,COLUMN(), 4)),Dex!$A$2:$C794,3,false),"")</f>
        <v/>
      </c>
      <c r="F517" s="21" t="s">
        <v>1177</v>
      </c>
      <c r="G517" s="21" t="s">
        <v>1177</v>
      </c>
      <c r="H517" s="22" t="str">
        <f t="array" ref="H517">iferror(VLOOKUP("TRAINER_PIC_EXPERT_M",Sprites!$A$1:$B794,2,false),"")</f>
        <v/>
      </c>
      <c r="I517" s="23"/>
    </row>
    <row r="518">
      <c r="A518" s="24"/>
      <c r="B518" s="25" t="s">
        <v>365</v>
      </c>
      <c r="C518" s="25" t="s">
        <v>991</v>
      </c>
      <c r="D518" s="25" t="s">
        <v>342</v>
      </c>
      <c r="E518" s="25" t="s">
        <v>681</v>
      </c>
      <c r="F518" s="25" t="s">
        <v>1177</v>
      </c>
      <c r="G518" s="25" t="s">
        <v>1177</v>
      </c>
      <c r="H518" s="26"/>
    </row>
    <row r="519">
      <c r="A519" s="16" t="s">
        <v>1178</v>
      </c>
      <c r="B519" s="27" t="s">
        <v>2253</v>
      </c>
      <c r="C519" s="27" t="s">
        <v>2253</v>
      </c>
      <c r="D519" s="27" t="s">
        <v>2255</v>
      </c>
      <c r="E519" s="27" t="s">
        <v>2255</v>
      </c>
      <c r="F519" s="21" t="s">
        <v>1177</v>
      </c>
      <c r="G519" s="21" t="s">
        <v>1177</v>
      </c>
      <c r="H519" s="26"/>
    </row>
    <row r="520">
      <c r="A520" s="16" t="s">
        <v>1181</v>
      </c>
      <c r="B520" s="28" t="s">
        <v>1247</v>
      </c>
      <c r="C520" s="28" t="s">
        <v>2042</v>
      </c>
      <c r="D520" s="28" t="s">
        <v>2276</v>
      </c>
      <c r="E520" s="28" t="s">
        <v>1571</v>
      </c>
      <c r="F520" s="28" t="s">
        <v>1177</v>
      </c>
      <c r="G520" s="28" t="s">
        <v>1177</v>
      </c>
      <c r="H520" s="26"/>
    </row>
    <row r="521">
      <c r="A521" s="16" t="s">
        <v>1182</v>
      </c>
      <c r="B521" s="21" t="s">
        <v>1212</v>
      </c>
      <c r="C521" s="21" t="s">
        <v>1231</v>
      </c>
      <c r="D521" s="21" t="s">
        <v>1222</v>
      </c>
      <c r="E521" s="21" t="s">
        <v>1690</v>
      </c>
      <c r="F521" s="21" t="s">
        <v>1177</v>
      </c>
      <c r="G521" s="21" t="s">
        <v>1177</v>
      </c>
      <c r="H521" s="26"/>
    </row>
    <row r="522">
      <c r="A522" s="16" t="s">
        <v>1186</v>
      </c>
      <c r="B522" s="28" t="s">
        <v>1447</v>
      </c>
      <c r="C522" s="28" t="s">
        <v>1406</v>
      </c>
      <c r="D522" s="28" t="s">
        <v>1248</v>
      </c>
      <c r="E522" s="28" t="s">
        <v>1248</v>
      </c>
      <c r="F522" s="28" t="s">
        <v>1177</v>
      </c>
      <c r="G522" s="28" t="s">
        <v>1177</v>
      </c>
      <c r="H522" s="26"/>
    </row>
    <row r="523">
      <c r="A523" s="20" t="s">
        <v>1188</v>
      </c>
      <c r="B523" s="21" t="s">
        <v>1371</v>
      </c>
      <c r="C523" s="21" t="s">
        <v>1712</v>
      </c>
      <c r="D523" s="21" t="s">
        <v>1816</v>
      </c>
      <c r="E523" s="21" t="s">
        <v>1779</v>
      </c>
      <c r="F523" s="21" t="s">
        <v>1177</v>
      </c>
      <c r="G523" s="21" t="s">
        <v>1177</v>
      </c>
      <c r="H523" s="26"/>
    </row>
    <row r="524">
      <c r="A524" s="29"/>
      <c r="B524" s="21" t="s">
        <v>2022</v>
      </c>
      <c r="C524" s="21" t="s">
        <v>1830</v>
      </c>
      <c r="D524" s="21" t="s">
        <v>1677</v>
      </c>
      <c r="E524" s="21" t="s">
        <v>1607</v>
      </c>
      <c r="F524" s="21" t="s">
        <v>1177</v>
      </c>
      <c r="G524" s="21" t="s">
        <v>1177</v>
      </c>
      <c r="H524" s="26"/>
    </row>
    <row r="525">
      <c r="A525" s="29"/>
      <c r="B525" s="21" t="s">
        <v>1252</v>
      </c>
      <c r="C525" s="21" t="s">
        <v>1758</v>
      </c>
      <c r="D525" s="21" t="s">
        <v>2277</v>
      </c>
      <c r="E525" s="21" t="s">
        <v>1438</v>
      </c>
      <c r="F525" s="21" t="s">
        <v>1177</v>
      </c>
      <c r="G525" s="21" t="s">
        <v>1177</v>
      </c>
      <c r="H525" s="26"/>
    </row>
    <row r="526">
      <c r="A526" s="24"/>
      <c r="B526" s="21" t="s">
        <v>1896</v>
      </c>
      <c r="C526" s="21" t="s">
        <v>1761</v>
      </c>
      <c r="D526" s="21" t="s">
        <v>1641</v>
      </c>
      <c r="E526" s="21" t="s">
        <v>1685</v>
      </c>
      <c r="F526" s="21" t="s">
        <v>1177</v>
      </c>
      <c r="G526" s="21" t="s">
        <v>1177</v>
      </c>
      <c r="H526" s="30"/>
      <c r="I526" s="14"/>
    </row>
    <row r="527">
      <c r="A527" s="16" t="s">
        <v>1174</v>
      </c>
      <c r="B527" s="17" t="s">
        <v>2278</v>
      </c>
      <c r="C527" s="18"/>
      <c r="D527" s="18"/>
      <c r="E527" s="18"/>
      <c r="F527" s="18"/>
      <c r="G527" s="18"/>
      <c r="H527" s="18"/>
      <c r="I527" s="16"/>
    </row>
    <row r="528" ht="60.0" customHeight="1">
      <c r="A528" s="20" t="s">
        <v>1176</v>
      </c>
      <c r="B528" s="21" t="str">
        <f t="array" ref="B528">iferror(VLOOKUP(INDIRECT(ADDRESS(ROW()+1,COLUMN(), 4)),Dex!$A$2:$C794,3,false),"")</f>
        <v/>
      </c>
      <c r="C528" s="21" t="str">
        <f t="array" ref="C528">iferror(VLOOKUP(INDIRECT(ADDRESS(ROW()+1,COLUMN(), 4)),Dex!$A$2:$C794,3,false),"")</f>
        <v/>
      </c>
      <c r="D528" s="21" t="str">
        <f t="array" ref="D528">iferror(VLOOKUP(INDIRECT(ADDRESS(ROW()+1,COLUMN(), 4)),Dex!$A$2:$C794,3,false),"")</f>
        <v/>
      </c>
      <c r="E528" s="21" t="str">
        <f t="array" ref="E528">iferror(VLOOKUP(INDIRECT(ADDRESS(ROW()+1,COLUMN(), 4)),Dex!$A$2:$C794,3,false),"")</f>
        <v/>
      </c>
      <c r="F528" s="21" t="s">
        <v>1177</v>
      </c>
      <c r="G528" s="21" t="s">
        <v>1177</v>
      </c>
      <c r="H528" s="22" t="str">
        <f t="array" ref="H528">iferror(VLOOKUP("TRAINER_PIC_POKEMON_RANGER_F",Sprites!$A$1:$B794,2,false),"")</f>
        <v/>
      </c>
      <c r="I528" s="23"/>
    </row>
    <row r="529">
      <c r="A529" s="24"/>
      <c r="B529" s="25" t="s">
        <v>180</v>
      </c>
      <c r="C529" s="25" t="s">
        <v>356</v>
      </c>
      <c r="D529" s="25" t="s">
        <v>910</v>
      </c>
      <c r="E529" s="25" t="s">
        <v>874</v>
      </c>
      <c r="F529" s="25" t="s">
        <v>1177</v>
      </c>
      <c r="G529" s="25" t="s">
        <v>1177</v>
      </c>
      <c r="H529" s="26"/>
    </row>
    <row r="530">
      <c r="A530" s="16" t="s">
        <v>1178</v>
      </c>
      <c r="B530" s="27" t="s">
        <v>2270</v>
      </c>
      <c r="C530" s="27" t="s">
        <v>2253</v>
      </c>
      <c r="D530" s="27" t="s">
        <v>2253</v>
      </c>
      <c r="E530" s="27" t="s">
        <v>2255</v>
      </c>
      <c r="F530" s="21" t="s">
        <v>1177</v>
      </c>
      <c r="G530" s="21" t="s">
        <v>1177</v>
      </c>
      <c r="H530" s="26"/>
    </row>
    <row r="531">
      <c r="A531" s="16" t="s">
        <v>1181</v>
      </c>
      <c r="B531" s="28" t="s">
        <v>1898</v>
      </c>
      <c r="C531" s="28" t="s">
        <v>1366</v>
      </c>
      <c r="D531" s="28" t="s">
        <v>2139</v>
      </c>
      <c r="E531" s="28" t="s">
        <v>1962</v>
      </c>
      <c r="F531" s="28" t="s">
        <v>1177</v>
      </c>
      <c r="G531" s="28" t="s">
        <v>1177</v>
      </c>
      <c r="H531" s="26"/>
    </row>
    <row r="532">
      <c r="A532" s="16" t="s">
        <v>1182</v>
      </c>
      <c r="B532" s="21" t="s">
        <v>1184</v>
      </c>
      <c r="C532" s="21" t="s">
        <v>1626</v>
      </c>
      <c r="D532" s="21" t="s">
        <v>1821</v>
      </c>
      <c r="E532" s="21" t="s">
        <v>2279</v>
      </c>
      <c r="F532" s="21" t="s">
        <v>1177</v>
      </c>
      <c r="G532" s="21" t="s">
        <v>1177</v>
      </c>
      <c r="H532" s="26"/>
    </row>
    <row r="533">
      <c r="A533" s="16" t="s">
        <v>1186</v>
      </c>
      <c r="B533" s="28" t="s">
        <v>1284</v>
      </c>
      <c r="C533" s="28" t="s">
        <v>1248</v>
      </c>
      <c r="D533" s="28" t="s">
        <v>1235</v>
      </c>
      <c r="E533" s="28" t="s">
        <v>1465</v>
      </c>
      <c r="F533" s="28" t="s">
        <v>1177</v>
      </c>
      <c r="G533" s="28" t="s">
        <v>1177</v>
      </c>
      <c r="H533" s="26"/>
    </row>
    <row r="534">
      <c r="A534" s="20" t="s">
        <v>1188</v>
      </c>
      <c r="B534" s="21" t="s">
        <v>1835</v>
      </c>
      <c r="C534" s="21" t="s">
        <v>1672</v>
      </c>
      <c r="D534" s="21" t="s">
        <v>2192</v>
      </c>
      <c r="E534" s="21" t="s">
        <v>1778</v>
      </c>
      <c r="F534" s="21" t="s">
        <v>1177</v>
      </c>
      <c r="G534" s="21" t="s">
        <v>1177</v>
      </c>
      <c r="H534" s="26"/>
    </row>
    <row r="535">
      <c r="A535" s="29"/>
      <c r="B535" s="21" t="s">
        <v>1311</v>
      </c>
      <c r="C535" s="21" t="s">
        <v>1411</v>
      </c>
      <c r="D535" s="21" t="s">
        <v>1816</v>
      </c>
      <c r="E535" s="21" t="s">
        <v>1839</v>
      </c>
      <c r="F535" s="21" t="s">
        <v>1177</v>
      </c>
      <c r="G535" s="21" t="s">
        <v>1177</v>
      </c>
      <c r="H535" s="26"/>
    </row>
    <row r="536">
      <c r="A536" s="29"/>
      <c r="B536" s="21" t="s">
        <v>1879</v>
      </c>
      <c r="C536" s="21" t="s">
        <v>1967</v>
      </c>
      <c r="D536" s="21" t="s">
        <v>1471</v>
      </c>
      <c r="E536" s="21" t="s">
        <v>2022</v>
      </c>
      <c r="F536" s="21" t="s">
        <v>1177</v>
      </c>
      <c r="G536" s="21" t="s">
        <v>1177</v>
      </c>
      <c r="H536" s="26"/>
    </row>
    <row r="537">
      <c r="A537" s="24"/>
      <c r="B537" s="21" t="s">
        <v>1880</v>
      </c>
      <c r="C537" s="21" t="s">
        <v>1306</v>
      </c>
      <c r="D537" s="21" t="s">
        <v>1641</v>
      </c>
      <c r="E537" s="21" t="s">
        <v>1192</v>
      </c>
      <c r="F537" s="21" t="s">
        <v>1177</v>
      </c>
      <c r="G537" s="21" t="s">
        <v>1177</v>
      </c>
      <c r="H537" s="30"/>
      <c r="I537" s="14"/>
    </row>
    <row r="538">
      <c r="A538" s="16" t="s">
        <v>1174</v>
      </c>
      <c r="B538" s="17" t="s">
        <v>2280</v>
      </c>
      <c r="C538" s="18"/>
      <c r="D538" s="18"/>
      <c r="E538" s="18"/>
      <c r="F538" s="18"/>
      <c r="G538" s="18"/>
      <c r="H538" s="18"/>
      <c r="I538" s="16"/>
    </row>
    <row r="539" ht="60.0" customHeight="1">
      <c r="A539" s="20" t="s">
        <v>1176</v>
      </c>
      <c r="B539" s="21" t="str">
        <f t="array" ref="B539">iferror(VLOOKUP(INDIRECT(ADDRESS(ROW()+1,COLUMN(), 4)),Dex!$A$2:$C794,3,false),"")</f>
        <v/>
      </c>
      <c r="C539" s="21" t="str">
        <f t="array" ref="C539">iferror(VLOOKUP(INDIRECT(ADDRESS(ROW()+1,COLUMN(), 4)),Dex!$A$2:$C794,3,false),"")</f>
        <v/>
      </c>
      <c r="D539" s="21" t="str">
        <f t="array" ref="D539">iferror(VLOOKUP(INDIRECT(ADDRESS(ROW()+1,COLUMN(), 4)),Dex!$A$2:$C794,3,false),"")</f>
        <v/>
      </c>
      <c r="E539" s="21" t="s">
        <v>1177</v>
      </c>
      <c r="F539" s="21" t="s">
        <v>1177</v>
      </c>
      <c r="G539" s="21" t="s">
        <v>1177</v>
      </c>
      <c r="H539" s="22" t="str">
        <f t="array" ref="H539">iferror(VLOOKUP("TRAINER_PIC_POKEMON_RANGER_M",Sprites!$A$1:$B794,2,false),"")</f>
        <v/>
      </c>
      <c r="I539" s="23"/>
    </row>
    <row r="540">
      <c r="A540" s="24"/>
      <c r="B540" s="25" t="s">
        <v>1124</v>
      </c>
      <c r="C540" s="25" t="s">
        <v>541</v>
      </c>
      <c r="D540" s="25" t="s">
        <v>148</v>
      </c>
      <c r="E540" s="25" t="s">
        <v>1177</v>
      </c>
      <c r="F540" s="25" t="s">
        <v>1177</v>
      </c>
      <c r="G540" s="25" t="s">
        <v>1177</v>
      </c>
      <c r="H540" s="26"/>
    </row>
    <row r="541">
      <c r="A541" s="16" t="s">
        <v>1178</v>
      </c>
      <c r="B541" s="27" t="s">
        <v>2262</v>
      </c>
      <c r="C541" s="27" t="s">
        <v>2255</v>
      </c>
      <c r="D541" s="27" t="s">
        <v>2255</v>
      </c>
      <c r="E541" s="21" t="s">
        <v>1177</v>
      </c>
      <c r="F541" s="21" t="s">
        <v>1177</v>
      </c>
      <c r="G541" s="21" t="s">
        <v>1177</v>
      </c>
      <c r="H541" s="26"/>
    </row>
    <row r="542">
      <c r="A542" s="16" t="s">
        <v>1181</v>
      </c>
      <c r="B542" s="28" t="s">
        <v>1702</v>
      </c>
      <c r="C542" s="28" t="s">
        <v>1345</v>
      </c>
      <c r="D542" s="28" t="s">
        <v>1838</v>
      </c>
      <c r="E542" s="28" t="s">
        <v>1177</v>
      </c>
      <c r="F542" s="28" t="s">
        <v>1177</v>
      </c>
      <c r="G542" s="28" t="s">
        <v>1177</v>
      </c>
      <c r="H542" s="26"/>
    </row>
    <row r="543">
      <c r="A543" s="16" t="s">
        <v>1182</v>
      </c>
      <c r="B543" s="21" t="s">
        <v>2281</v>
      </c>
      <c r="C543" s="21" t="s">
        <v>1461</v>
      </c>
      <c r="D543" s="21" t="s">
        <v>1654</v>
      </c>
      <c r="E543" s="21" t="s">
        <v>1177</v>
      </c>
      <c r="F543" s="21" t="s">
        <v>1177</v>
      </c>
      <c r="G543" s="21" t="s">
        <v>1177</v>
      </c>
      <c r="H543" s="26"/>
    </row>
    <row r="544">
      <c r="A544" s="16" t="s">
        <v>1186</v>
      </c>
      <c r="B544" s="28" t="s">
        <v>1235</v>
      </c>
      <c r="C544" s="28" t="s">
        <v>1235</v>
      </c>
      <c r="D544" s="28" t="s">
        <v>1235</v>
      </c>
      <c r="E544" s="28" t="s">
        <v>1177</v>
      </c>
      <c r="F544" s="28" t="s">
        <v>1177</v>
      </c>
      <c r="G544" s="28" t="s">
        <v>1177</v>
      </c>
      <c r="H544" s="26"/>
    </row>
    <row r="545">
      <c r="A545" s="20" t="s">
        <v>1188</v>
      </c>
      <c r="B545" s="21" t="s">
        <v>2282</v>
      </c>
      <c r="C545" s="21" t="s">
        <v>1775</v>
      </c>
      <c r="D545" s="21" t="s">
        <v>1943</v>
      </c>
      <c r="E545" s="21" t="s">
        <v>1177</v>
      </c>
      <c r="F545" s="21" t="s">
        <v>1177</v>
      </c>
      <c r="G545" s="21" t="s">
        <v>1177</v>
      </c>
      <c r="H545" s="26"/>
    </row>
    <row r="546">
      <c r="A546" s="29"/>
      <c r="B546" s="21" t="s">
        <v>1630</v>
      </c>
      <c r="C546" s="21" t="s">
        <v>1759</v>
      </c>
      <c r="D546" s="21" t="s">
        <v>1779</v>
      </c>
      <c r="E546" s="21" t="s">
        <v>1177</v>
      </c>
      <c r="F546" s="21" t="s">
        <v>1177</v>
      </c>
      <c r="G546" s="21" t="s">
        <v>1177</v>
      </c>
      <c r="H546" s="26"/>
    </row>
    <row r="547">
      <c r="A547" s="29"/>
      <c r="B547" s="21" t="s">
        <v>1411</v>
      </c>
      <c r="C547" s="21" t="s">
        <v>1302</v>
      </c>
      <c r="D547" s="21" t="s">
        <v>1586</v>
      </c>
      <c r="E547" s="21" t="s">
        <v>1177</v>
      </c>
      <c r="F547" s="21" t="s">
        <v>1177</v>
      </c>
      <c r="G547" s="21" t="s">
        <v>1177</v>
      </c>
      <c r="H547" s="26"/>
    </row>
    <row r="548">
      <c r="A548" s="24"/>
      <c r="B548" s="21" t="s">
        <v>1376</v>
      </c>
      <c r="C548" s="21" t="s">
        <v>1225</v>
      </c>
      <c r="D548" s="21" t="s">
        <v>1307</v>
      </c>
      <c r="E548" s="21" t="s">
        <v>1177</v>
      </c>
      <c r="F548" s="21" t="s">
        <v>1177</v>
      </c>
      <c r="G548" s="21" t="s">
        <v>1177</v>
      </c>
      <c r="H548" s="30"/>
      <c r="I548" s="14"/>
    </row>
    <row r="549">
      <c r="A549" s="16" t="s">
        <v>1174</v>
      </c>
      <c r="B549" s="17" t="s">
        <v>2283</v>
      </c>
      <c r="C549" s="18"/>
      <c r="D549" s="18"/>
      <c r="E549" s="18"/>
      <c r="F549" s="18"/>
      <c r="G549" s="18"/>
      <c r="H549" s="18"/>
      <c r="I549" s="16"/>
    </row>
    <row r="550" ht="60.0" customHeight="1">
      <c r="A550" s="20" t="s">
        <v>1176</v>
      </c>
      <c r="B550" s="21" t="str">
        <f t="array" ref="B550">iferror(VLOOKUP(INDIRECT(ADDRESS(ROW()+1,COLUMN(), 4)),Dex!$A$2:$C794,3,false),"")</f>
        <v/>
      </c>
      <c r="C550" s="21" t="str">
        <f t="array" ref="C550">iferror(VLOOKUP(INDIRECT(ADDRESS(ROW()+1,COLUMN(), 4)),Dex!$A$2:$C794,3,false),"")</f>
        <v/>
      </c>
      <c r="D550" s="21" t="str">
        <f t="array" ref="D550">iferror(VLOOKUP(INDIRECT(ADDRESS(ROW()+1,COLUMN(), 4)),Dex!$A$2:$C794,3,false),"")</f>
        <v/>
      </c>
      <c r="E550" s="21" t="s">
        <v>1177</v>
      </c>
      <c r="F550" s="21" t="s">
        <v>1177</v>
      </c>
      <c r="G550" s="21" t="s">
        <v>1177</v>
      </c>
      <c r="H550" s="22" t="str">
        <f t="array" ref="H550">iferror(VLOOKUP("TRAINER_PIC_BUG_CATCHER",Sprites!$A$1:$B794,2,false),"")</f>
        <v/>
      </c>
      <c r="I550" s="23"/>
    </row>
    <row r="551">
      <c r="A551" s="24"/>
      <c r="B551" s="25" t="s">
        <v>360</v>
      </c>
      <c r="C551" s="25" t="s">
        <v>947</v>
      </c>
      <c r="D551" s="25" t="s">
        <v>293</v>
      </c>
      <c r="E551" s="25" t="s">
        <v>1177</v>
      </c>
      <c r="F551" s="25" t="s">
        <v>1177</v>
      </c>
      <c r="G551" s="25" t="s">
        <v>1177</v>
      </c>
      <c r="H551" s="26"/>
    </row>
    <row r="552">
      <c r="A552" s="16" t="s">
        <v>1178</v>
      </c>
      <c r="B552" s="27" t="s">
        <v>2270</v>
      </c>
      <c r="C552" s="27" t="s">
        <v>2262</v>
      </c>
      <c r="D552" s="27" t="s">
        <v>2262</v>
      </c>
      <c r="E552" s="21" t="s">
        <v>1177</v>
      </c>
      <c r="F552" s="21" t="s">
        <v>1177</v>
      </c>
      <c r="G552" s="21" t="s">
        <v>1177</v>
      </c>
      <c r="H552" s="26"/>
    </row>
    <row r="553">
      <c r="A553" s="16" t="s">
        <v>1181</v>
      </c>
      <c r="B553" s="28" t="s">
        <v>1247</v>
      </c>
      <c r="C553" s="28" t="s">
        <v>1295</v>
      </c>
      <c r="D553" s="28" t="s">
        <v>2284</v>
      </c>
      <c r="E553" s="28" t="s">
        <v>1177</v>
      </c>
      <c r="F553" s="28" t="s">
        <v>1177</v>
      </c>
      <c r="G553" s="28" t="s">
        <v>1177</v>
      </c>
      <c r="H553" s="26"/>
    </row>
    <row r="554">
      <c r="A554" s="16" t="s">
        <v>1182</v>
      </c>
      <c r="B554" s="21" t="s">
        <v>1198</v>
      </c>
      <c r="C554" s="21" t="s">
        <v>2223</v>
      </c>
      <c r="D554" s="21" t="s">
        <v>1461</v>
      </c>
      <c r="E554" s="21" t="s">
        <v>1177</v>
      </c>
      <c r="F554" s="21" t="s">
        <v>1177</v>
      </c>
      <c r="G554" s="21" t="s">
        <v>1177</v>
      </c>
      <c r="H554" s="26"/>
    </row>
    <row r="555">
      <c r="A555" s="16" t="s">
        <v>1186</v>
      </c>
      <c r="B555" s="28" t="s">
        <v>1284</v>
      </c>
      <c r="C555" s="28" t="s">
        <v>1234</v>
      </c>
      <c r="D555" s="28" t="s">
        <v>1248</v>
      </c>
      <c r="E555" s="28" t="s">
        <v>1177</v>
      </c>
      <c r="F555" s="28" t="s">
        <v>1177</v>
      </c>
      <c r="G555" s="28" t="s">
        <v>1177</v>
      </c>
      <c r="H555" s="26"/>
    </row>
    <row r="556">
      <c r="A556" s="20" t="s">
        <v>1188</v>
      </c>
      <c r="B556" s="21" t="s">
        <v>1650</v>
      </c>
      <c r="C556" s="21" t="s">
        <v>1695</v>
      </c>
      <c r="D556" s="21" t="s">
        <v>1426</v>
      </c>
      <c r="E556" s="21" t="s">
        <v>1177</v>
      </c>
      <c r="F556" s="21" t="s">
        <v>1177</v>
      </c>
      <c r="G556" s="21" t="s">
        <v>1177</v>
      </c>
      <c r="H556" s="26"/>
    </row>
    <row r="557">
      <c r="A557" s="29"/>
      <c r="B557" s="21" t="s">
        <v>1619</v>
      </c>
      <c r="C557" s="21" t="s">
        <v>1204</v>
      </c>
      <c r="D557" s="21" t="s">
        <v>1415</v>
      </c>
      <c r="E557" s="21" t="s">
        <v>1177</v>
      </c>
      <c r="F557" s="21" t="s">
        <v>1177</v>
      </c>
      <c r="G557" s="21" t="s">
        <v>1177</v>
      </c>
      <c r="H557" s="26"/>
    </row>
    <row r="558">
      <c r="A558" s="29"/>
      <c r="B558" s="21" t="s">
        <v>1657</v>
      </c>
      <c r="C558" s="21" t="s">
        <v>1389</v>
      </c>
      <c r="D558" s="21" t="s">
        <v>1377</v>
      </c>
      <c r="E558" s="21" t="s">
        <v>1177</v>
      </c>
      <c r="F558" s="21" t="s">
        <v>1177</v>
      </c>
      <c r="G558" s="21" t="s">
        <v>1177</v>
      </c>
      <c r="H558" s="26"/>
    </row>
    <row r="559">
      <c r="A559" s="24"/>
      <c r="B559" s="21" t="s">
        <v>1277</v>
      </c>
      <c r="C559" s="21" t="s">
        <v>2095</v>
      </c>
      <c r="D559" s="21" t="s">
        <v>1641</v>
      </c>
      <c r="E559" s="21" t="s">
        <v>1177</v>
      </c>
      <c r="F559" s="21" t="s">
        <v>1177</v>
      </c>
      <c r="G559" s="21" t="s">
        <v>1177</v>
      </c>
      <c r="H559" s="30"/>
      <c r="I559" s="14"/>
    </row>
    <row r="560">
      <c r="A560" s="16" t="s">
        <v>1174</v>
      </c>
      <c r="B560" s="17" t="s">
        <v>2285</v>
      </c>
      <c r="C560" s="18"/>
      <c r="D560" s="18"/>
      <c r="E560" s="18"/>
      <c r="F560" s="18"/>
      <c r="G560" s="18"/>
      <c r="H560" s="18"/>
      <c r="I560" s="16"/>
    </row>
    <row r="561" ht="60.0" customHeight="1">
      <c r="A561" s="20" t="s">
        <v>1176</v>
      </c>
      <c r="B561" s="21" t="str">
        <f t="array" ref="B561">iferror(VLOOKUP(INDIRECT(ADDRESS(ROW()+1,COLUMN(), 4)),Dex!$A$2:$C794,3,false),"")</f>
        <v/>
      </c>
      <c r="C561" s="21" t="str">
        <f t="array" ref="C561">iferror(VLOOKUP(INDIRECT(ADDRESS(ROW()+1,COLUMN(), 4)),Dex!$A$2:$C794,3,false),"")</f>
        <v/>
      </c>
      <c r="D561" s="21" t="s">
        <v>1177</v>
      </c>
      <c r="E561" s="21" t="str">
        <f t="array" ref="E561">iferror(VLOOKUP(INDIRECT(ADDRESS(ROW()+1,COLUMN(), 4)),Dex!$A$2:$C794,3,false),"")</f>
        <v/>
      </c>
      <c r="F561" s="21" t="str">
        <f t="array" ref="F561">iferror(VLOOKUP(INDIRECT(ADDRESS(ROW()+1,COLUMN(), 4)),Dex!$A$2:$C794,3,false),"")</f>
        <v/>
      </c>
      <c r="G561" s="21" t="s">
        <v>1177</v>
      </c>
      <c r="H561" s="22" t="str">
        <f t="array" ref="H561">iferror(VLOOKUP("TRAINER_PIC_PSYCHIC_M",Sprites!$A$1:$B794,2,false),"")</f>
        <v/>
      </c>
      <c r="I561" s="23"/>
    </row>
    <row r="562">
      <c r="A562" s="24"/>
      <c r="B562" s="25" t="s">
        <v>368</v>
      </c>
      <c r="C562" s="25" t="s">
        <v>421</v>
      </c>
      <c r="D562" s="25" t="s">
        <v>1177</v>
      </c>
      <c r="E562" s="25" t="s">
        <v>960</v>
      </c>
      <c r="F562" s="25" t="s">
        <v>375</v>
      </c>
      <c r="G562" s="25" t="s">
        <v>1177</v>
      </c>
      <c r="H562" s="26"/>
    </row>
    <row r="563">
      <c r="A563" s="16" t="s">
        <v>1178</v>
      </c>
      <c r="B563" s="27" t="s">
        <v>2262</v>
      </c>
      <c r="C563" s="27" t="s">
        <v>2262</v>
      </c>
      <c r="D563" s="21" t="s">
        <v>1177</v>
      </c>
      <c r="E563" s="27" t="s">
        <v>2262</v>
      </c>
      <c r="F563" s="27" t="s">
        <v>2262</v>
      </c>
      <c r="G563" s="21" t="s">
        <v>1177</v>
      </c>
      <c r="H563" s="26"/>
    </row>
    <row r="564">
      <c r="A564" s="16" t="s">
        <v>1181</v>
      </c>
      <c r="B564" s="28" t="s">
        <v>1345</v>
      </c>
      <c r="C564" s="28" t="s">
        <v>1882</v>
      </c>
      <c r="D564" s="28" t="s">
        <v>1177</v>
      </c>
      <c r="E564" s="28" t="s">
        <v>2145</v>
      </c>
      <c r="F564" s="28" t="s">
        <v>2151</v>
      </c>
      <c r="G564" s="28" t="s">
        <v>1177</v>
      </c>
      <c r="H564" s="26"/>
    </row>
    <row r="565">
      <c r="A565" s="16" t="s">
        <v>1182</v>
      </c>
      <c r="B565" s="21" t="s">
        <v>1768</v>
      </c>
      <c r="C565" s="21" t="s">
        <v>2066</v>
      </c>
      <c r="D565" s="21" t="s">
        <v>1177</v>
      </c>
      <c r="E565" s="21" t="s">
        <v>2286</v>
      </c>
      <c r="F565" s="21" t="s">
        <v>2286</v>
      </c>
      <c r="G565" s="21" t="s">
        <v>1177</v>
      </c>
      <c r="H565" s="26"/>
    </row>
    <row r="566">
      <c r="A566" s="16" t="s">
        <v>1186</v>
      </c>
      <c r="B566" s="28" t="s">
        <v>1447</v>
      </c>
      <c r="C566" s="28" t="s">
        <v>1447</v>
      </c>
      <c r="D566" s="28" t="s">
        <v>1177</v>
      </c>
      <c r="E566" s="28" t="s">
        <v>1447</v>
      </c>
      <c r="F566" s="28" t="s">
        <v>1447</v>
      </c>
      <c r="G566" s="28" t="s">
        <v>1177</v>
      </c>
      <c r="H566" s="26"/>
    </row>
    <row r="567">
      <c r="A567" s="20" t="s">
        <v>1188</v>
      </c>
      <c r="B567" s="21" t="s">
        <v>1830</v>
      </c>
      <c r="C567" s="21" t="s">
        <v>2287</v>
      </c>
      <c r="D567" s="21" t="s">
        <v>1177</v>
      </c>
      <c r="E567" s="21" t="s">
        <v>1731</v>
      </c>
      <c r="F567" s="21" t="s">
        <v>1731</v>
      </c>
      <c r="G567" s="21" t="s">
        <v>1177</v>
      </c>
      <c r="H567" s="26"/>
    </row>
    <row r="568">
      <c r="A568" s="29"/>
      <c r="B568" s="21" t="s">
        <v>1225</v>
      </c>
      <c r="C568" s="21" t="s">
        <v>1617</v>
      </c>
      <c r="D568" s="21" t="s">
        <v>1177</v>
      </c>
      <c r="E568" s="21" t="s">
        <v>1878</v>
      </c>
      <c r="F568" s="21" t="s">
        <v>1605</v>
      </c>
      <c r="G568" s="21" t="s">
        <v>1177</v>
      </c>
      <c r="H568" s="26"/>
    </row>
    <row r="569">
      <c r="A569" s="29"/>
      <c r="B569" s="21" t="s">
        <v>1177</v>
      </c>
      <c r="C569" s="21" t="s">
        <v>1830</v>
      </c>
      <c r="D569" s="21" t="s">
        <v>1177</v>
      </c>
      <c r="E569" s="21" t="s">
        <v>1663</v>
      </c>
      <c r="F569" s="21" t="s">
        <v>1371</v>
      </c>
      <c r="G569" s="21" t="s">
        <v>1177</v>
      </c>
      <c r="H569" s="26"/>
    </row>
    <row r="570">
      <c r="A570" s="24"/>
      <c r="B570" s="21" t="s">
        <v>1177</v>
      </c>
      <c r="C570" s="21" t="s">
        <v>1177</v>
      </c>
      <c r="D570" s="21" t="s">
        <v>1177</v>
      </c>
      <c r="E570" s="21" t="s">
        <v>1954</v>
      </c>
      <c r="F570" s="21" t="s">
        <v>1954</v>
      </c>
      <c r="G570" s="21" t="s">
        <v>1177</v>
      </c>
      <c r="H570" s="30"/>
      <c r="I570" s="14"/>
    </row>
    <row r="571">
      <c r="A571" s="16" t="s">
        <v>1174</v>
      </c>
      <c r="B571" s="17" t="s">
        <v>2288</v>
      </c>
      <c r="C571" s="18"/>
      <c r="D571" s="18"/>
      <c r="E571" s="18"/>
      <c r="F571" s="18"/>
      <c r="G571" s="18"/>
      <c r="H571" s="18"/>
      <c r="I571" s="16"/>
    </row>
    <row r="572" ht="60.0" customHeight="1">
      <c r="A572" s="20" t="s">
        <v>1176</v>
      </c>
      <c r="B572" s="21" t="str">
        <f t="array" ref="B572">iferror(VLOOKUP(INDIRECT(ADDRESS(ROW()+1,COLUMN(), 4)),Dex!$A$2:$C794,3,false),"")</f>
        <v/>
      </c>
      <c r="C572" s="21" t="str">
        <f t="array" ref="C572">iferror(VLOOKUP(INDIRECT(ADDRESS(ROW()+1,COLUMN(), 4)),Dex!$A$2:$C794,3,false),"")</f>
        <v/>
      </c>
      <c r="D572" s="21" t="str">
        <f t="array" ref="D572">iferror(VLOOKUP(INDIRECT(ADDRESS(ROW()+1,COLUMN(), 4)),Dex!$A$2:$C794,3,false),"")</f>
        <v/>
      </c>
      <c r="E572" s="21" t="str">
        <f t="array" ref="E572">iferror(VLOOKUP(INDIRECT(ADDRESS(ROW()+1,COLUMN(), 4)),Dex!$A$2:$C794,3,false),"")</f>
        <v/>
      </c>
      <c r="F572" s="21" t="s">
        <v>1177</v>
      </c>
      <c r="G572" s="21" t="s">
        <v>1177</v>
      </c>
      <c r="H572" s="22" t="str">
        <f t="array" ref="H572">iferror(VLOOKUP("TRAINER_PIC_BIRD_KEEPER",Sprites!$A$1:$B794,2,false),"")</f>
        <v/>
      </c>
      <c r="I572" s="23"/>
    </row>
    <row r="573">
      <c r="A573" s="24"/>
      <c r="B573" s="25" t="s">
        <v>312</v>
      </c>
      <c r="C573" s="25" t="s">
        <v>311</v>
      </c>
      <c r="D573" s="25" t="s">
        <v>1076</v>
      </c>
      <c r="E573" s="25" t="s">
        <v>41</v>
      </c>
      <c r="F573" s="25" t="s">
        <v>1177</v>
      </c>
      <c r="G573" s="25" t="s">
        <v>1177</v>
      </c>
      <c r="H573" s="26"/>
    </row>
    <row r="574">
      <c r="A574" s="16" t="s">
        <v>1178</v>
      </c>
      <c r="B574" s="27" t="s">
        <v>2270</v>
      </c>
      <c r="C574" s="27" t="s">
        <v>2253</v>
      </c>
      <c r="D574" s="27" t="s">
        <v>2255</v>
      </c>
      <c r="E574" s="27" t="s">
        <v>2255</v>
      </c>
      <c r="F574" s="21" t="s">
        <v>1177</v>
      </c>
      <c r="G574" s="21" t="s">
        <v>1177</v>
      </c>
      <c r="H574" s="26"/>
    </row>
    <row r="575">
      <c r="A575" s="16" t="s">
        <v>1181</v>
      </c>
      <c r="B575" s="28" t="s">
        <v>1703</v>
      </c>
      <c r="C575" s="28" t="s">
        <v>2289</v>
      </c>
      <c r="D575" s="28" t="s">
        <v>2290</v>
      </c>
      <c r="E575" s="28" t="s">
        <v>1859</v>
      </c>
      <c r="F575" s="28" t="s">
        <v>1177</v>
      </c>
      <c r="G575" s="28" t="s">
        <v>1177</v>
      </c>
      <c r="H575" s="26"/>
    </row>
    <row r="576">
      <c r="A576" s="16" t="s">
        <v>1182</v>
      </c>
      <c r="B576" s="21" t="s">
        <v>1199</v>
      </c>
      <c r="C576" s="21" t="s">
        <v>1212</v>
      </c>
      <c r="D576" s="21" t="s">
        <v>2291</v>
      </c>
      <c r="E576" s="21" t="s">
        <v>1669</v>
      </c>
      <c r="F576" s="21" t="s">
        <v>1177</v>
      </c>
      <c r="G576" s="21" t="s">
        <v>1177</v>
      </c>
      <c r="H576" s="26"/>
    </row>
    <row r="577">
      <c r="A577" s="16" t="s">
        <v>1186</v>
      </c>
      <c r="B577" s="28" t="s">
        <v>1235</v>
      </c>
      <c r="C577" s="28" t="s">
        <v>1256</v>
      </c>
      <c r="D577" s="28" t="s">
        <v>1235</v>
      </c>
      <c r="E577" s="28" t="s">
        <v>1269</v>
      </c>
      <c r="F577" s="28" t="s">
        <v>1177</v>
      </c>
      <c r="G577" s="28" t="s">
        <v>1177</v>
      </c>
      <c r="H577" s="26"/>
    </row>
    <row r="578">
      <c r="A578" s="20" t="s">
        <v>1188</v>
      </c>
      <c r="B578" s="21" t="s">
        <v>1776</v>
      </c>
      <c r="C578" s="21" t="s">
        <v>1822</v>
      </c>
      <c r="D578" s="21" t="s">
        <v>2039</v>
      </c>
      <c r="E578" s="21" t="s">
        <v>1663</v>
      </c>
      <c r="F578" s="21" t="s">
        <v>1177</v>
      </c>
      <c r="G578" s="21" t="s">
        <v>1177</v>
      </c>
      <c r="H578" s="26"/>
    </row>
    <row r="579">
      <c r="A579" s="29"/>
      <c r="B579" s="21" t="s">
        <v>2292</v>
      </c>
      <c r="C579" s="21" t="s">
        <v>1695</v>
      </c>
      <c r="D579" s="21" t="s">
        <v>2073</v>
      </c>
      <c r="E579" s="21" t="s">
        <v>2293</v>
      </c>
      <c r="F579" s="21" t="s">
        <v>1177</v>
      </c>
      <c r="G579" s="21" t="s">
        <v>1177</v>
      </c>
      <c r="H579" s="26"/>
    </row>
    <row r="580">
      <c r="A580" s="29"/>
      <c r="B580" s="21" t="s">
        <v>2026</v>
      </c>
      <c r="C580" s="21" t="s">
        <v>1470</v>
      </c>
      <c r="D580" s="21" t="s">
        <v>1915</v>
      </c>
      <c r="E580" s="21" t="s">
        <v>1617</v>
      </c>
      <c r="F580" s="21" t="s">
        <v>1177</v>
      </c>
      <c r="G580" s="21" t="s">
        <v>1177</v>
      </c>
      <c r="H580" s="26"/>
    </row>
    <row r="581">
      <c r="A581" s="24"/>
      <c r="B581" s="21" t="s">
        <v>1705</v>
      </c>
      <c r="C581" s="21" t="s">
        <v>1377</v>
      </c>
      <c r="D581" s="21" t="s">
        <v>1959</v>
      </c>
      <c r="E581" s="21" t="s">
        <v>1307</v>
      </c>
      <c r="F581" s="21" t="s">
        <v>1177</v>
      </c>
      <c r="G581" s="21" t="s">
        <v>1177</v>
      </c>
      <c r="H581" s="30"/>
      <c r="I581" s="14"/>
    </row>
    <row r="582">
      <c r="A582" s="16" t="s">
        <v>1174</v>
      </c>
      <c r="B582" s="17" t="s">
        <v>2294</v>
      </c>
      <c r="C582" s="18"/>
      <c r="D582" s="18"/>
      <c r="E582" s="18"/>
      <c r="F582" s="18"/>
      <c r="G582" s="18"/>
      <c r="H582" s="18"/>
      <c r="I582" s="16"/>
    </row>
    <row r="583" ht="60.0" customHeight="1">
      <c r="A583" s="20" t="s">
        <v>1176</v>
      </c>
      <c r="B583" s="21" t="str">
        <f t="array" ref="B583">iferror(VLOOKUP(INDIRECT(ADDRESS(ROW()+1,COLUMN(), 4)),Dex!$A$2:$C794,3,false),"")</f>
        <v/>
      </c>
      <c r="C583" s="21" t="str">
        <f t="array" ref="C583">iferror(VLOOKUP(INDIRECT(ADDRESS(ROW()+1,COLUMN(), 4)),Dex!$A$2:$C794,3,false),"")</f>
        <v/>
      </c>
      <c r="D583" s="21" t="str">
        <f t="array" ref="D583">iferror(VLOOKUP(INDIRECT(ADDRESS(ROW()+1,COLUMN(), 4)),Dex!$A$2:$C794,3,false),"")</f>
        <v/>
      </c>
      <c r="E583" s="21" t="str">
        <f t="array" ref="E583">iferror(VLOOKUP(INDIRECT(ADDRESS(ROW()+1,COLUMN(), 4)),Dex!$A$2:$C794,3,false),"")</f>
        <v/>
      </c>
      <c r="F583" s="21" t="str">
        <f t="array" ref="F583">iferror(VLOOKUP(INDIRECT(ADDRESS(ROW()+1,COLUMN(), 4)),Dex!$A$2:$C794,3,false),"")</f>
        <v/>
      </c>
      <c r="G583" s="21" t="s">
        <v>1177</v>
      </c>
      <c r="H583" s="22" t="str">
        <f t="array" ref="H583">iferror(VLOOKUP("TRAINER_PIC_PARASOL_LADY",Sprites!$A$1:$B794,2,false),"")</f>
        <v/>
      </c>
      <c r="I583" s="23"/>
    </row>
    <row r="584">
      <c r="A584" s="24"/>
      <c r="B584" s="25" t="s">
        <v>1085</v>
      </c>
      <c r="C584" s="25" t="s">
        <v>522</v>
      </c>
      <c r="D584" s="25" t="s">
        <v>608</v>
      </c>
      <c r="E584" s="25" t="s">
        <v>183</v>
      </c>
      <c r="F584" s="25" t="s">
        <v>881</v>
      </c>
      <c r="G584" s="25" t="s">
        <v>1177</v>
      </c>
      <c r="H584" s="26"/>
    </row>
    <row r="585">
      <c r="A585" s="16" t="s">
        <v>1178</v>
      </c>
      <c r="B585" s="27" t="s">
        <v>2253</v>
      </c>
      <c r="C585" s="27" t="s">
        <v>2253</v>
      </c>
      <c r="D585" s="27" t="s">
        <v>2253</v>
      </c>
      <c r="E585" s="27" t="s">
        <v>2255</v>
      </c>
      <c r="F585" s="27" t="s">
        <v>2253</v>
      </c>
      <c r="G585" s="21" t="s">
        <v>1177</v>
      </c>
      <c r="H585" s="26"/>
    </row>
    <row r="586">
      <c r="A586" s="16" t="s">
        <v>1181</v>
      </c>
      <c r="B586" s="28" t="s">
        <v>1281</v>
      </c>
      <c r="C586" s="28" t="s">
        <v>1346</v>
      </c>
      <c r="D586" s="28" t="s">
        <v>1209</v>
      </c>
      <c r="E586" s="28" t="s">
        <v>1882</v>
      </c>
      <c r="F586" s="28" t="s">
        <v>1295</v>
      </c>
      <c r="G586" s="28" t="s">
        <v>1177</v>
      </c>
      <c r="H586" s="26"/>
    </row>
    <row r="587">
      <c r="A587" s="16" t="s">
        <v>1182</v>
      </c>
      <c r="B587" s="21" t="s">
        <v>1212</v>
      </c>
      <c r="C587" s="21" t="s">
        <v>1461</v>
      </c>
      <c r="D587" s="21" t="s">
        <v>1368</v>
      </c>
      <c r="E587" s="21" t="s">
        <v>1931</v>
      </c>
      <c r="F587" s="21" t="s">
        <v>1317</v>
      </c>
      <c r="G587" s="21" t="s">
        <v>1177</v>
      </c>
      <c r="H587" s="26"/>
    </row>
    <row r="588">
      <c r="A588" s="16" t="s">
        <v>1186</v>
      </c>
      <c r="B588" s="28" t="s">
        <v>1248</v>
      </c>
      <c r="C588" s="28" t="s">
        <v>1284</v>
      </c>
      <c r="D588" s="28" t="s">
        <v>1284</v>
      </c>
      <c r="E588" s="28" t="s">
        <v>1284</v>
      </c>
      <c r="F588" s="28" t="s">
        <v>1446</v>
      </c>
      <c r="G588" s="28" t="s">
        <v>1177</v>
      </c>
      <c r="H588" s="26"/>
    </row>
    <row r="589">
      <c r="A589" s="20" t="s">
        <v>1188</v>
      </c>
      <c r="B589" s="21" t="s">
        <v>1760</v>
      </c>
      <c r="C589" s="21" t="s">
        <v>1373</v>
      </c>
      <c r="D589" s="21" t="s">
        <v>1251</v>
      </c>
      <c r="E589" s="21" t="s">
        <v>1731</v>
      </c>
      <c r="F589" s="21" t="s">
        <v>1712</v>
      </c>
      <c r="G589" s="21" t="s">
        <v>1177</v>
      </c>
      <c r="H589" s="26"/>
    </row>
    <row r="590">
      <c r="A590" s="29"/>
      <c r="B590" s="21" t="s">
        <v>2098</v>
      </c>
      <c r="C590" s="21" t="s">
        <v>1652</v>
      </c>
      <c r="D590" s="21" t="s">
        <v>1663</v>
      </c>
      <c r="E590" s="21" t="s">
        <v>1835</v>
      </c>
      <c r="F590" s="21" t="s">
        <v>1817</v>
      </c>
      <c r="G590" s="21" t="s">
        <v>1177</v>
      </c>
      <c r="H590" s="26"/>
    </row>
    <row r="591">
      <c r="A591" s="29"/>
      <c r="B591" s="21" t="s">
        <v>1874</v>
      </c>
      <c r="C591" s="21" t="s">
        <v>2022</v>
      </c>
      <c r="D591" s="21" t="s">
        <v>2295</v>
      </c>
      <c r="E591" s="21" t="s">
        <v>1322</v>
      </c>
      <c r="F591" s="21" t="s">
        <v>1761</v>
      </c>
      <c r="G591" s="21" t="s">
        <v>1177</v>
      </c>
      <c r="H591" s="26"/>
    </row>
    <row r="592">
      <c r="A592" s="24"/>
      <c r="B592" s="21" t="s">
        <v>1741</v>
      </c>
      <c r="C592" s="21" t="s">
        <v>1622</v>
      </c>
      <c r="D592" s="21" t="s">
        <v>1590</v>
      </c>
      <c r="E592" s="21" t="s">
        <v>1959</v>
      </c>
      <c r="F592" s="21" t="s">
        <v>1473</v>
      </c>
      <c r="G592" s="21" t="s">
        <v>1177</v>
      </c>
      <c r="H592" s="30"/>
      <c r="I592" s="14"/>
    </row>
    <row r="593">
      <c r="A593" s="37"/>
      <c r="B593" s="38" t="s">
        <v>2296</v>
      </c>
      <c r="C593" s="14"/>
      <c r="D593" s="14"/>
      <c r="E593" s="14"/>
      <c r="F593" s="14"/>
      <c r="G593" s="14"/>
      <c r="H593" s="24"/>
      <c r="I593" s="33"/>
    </row>
    <row r="594">
      <c r="A594" s="16" t="s">
        <v>1174</v>
      </c>
      <c r="B594" s="17" t="s">
        <v>2297</v>
      </c>
      <c r="C594" s="18"/>
      <c r="D594" s="18"/>
      <c r="E594" s="18"/>
      <c r="F594" s="18"/>
      <c r="G594" s="18"/>
      <c r="H594" s="18"/>
      <c r="I594" s="16"/>
    </row>
    <row r="595" ht="60.0" customHeight="1">
      <c r="A595" s="20" t="s">
        <v>1176</v>
      </c>
      <c r="B595" s="21" t="str">
        <f t="array" ref="B595">iferror(VLOOKUP(INDIRECT(ADDRESS(ROW()+1,COLUMN(), 4)),Dex!$A$2:$C794,3,false),"")</f>
        <v/>
      </c>
      <c r="C595" s="21" t="str">
        <f t="array" ref="C595">iferror(VLOOKUP(INDIRECT(ADDRESS(ROW()+1,COLUMN(), 4)),Dex!$A$2:$C794,3,false),"")</f>
        <v/>
      </c>
      <c r="D595" s="21" t="str">
        <f t="array" ref="D595">iferror(VLOOKUP(INDIRECT(ADDRESS(ROW()+1,COLUMN(), 4)),Dex!$A$2:$C794,3,false),"")</f>
        <v/>
      </c>
      <c r="E595" s="21" t="str">
        <f t="array" ref="E595">iferror(VLOOKUP(INDIRECT(ADDRESS(ROW()+1,COLUMN(), 4)),Dex!$A$2:$C794,3,false),"")</f>
        <v/>
      </c>
      <c r="F595" s="21" t="str">
        <f t="array" ref="F595">iferror(VLOOKUP(INDIRECT(ADDRESS(ROW()+1,COLUMN(), 4)),Dex!$A$2:$C794,3,false),"")</f>
        <v/>
      </c>
      <c r="G595" s="21" t="s">
        <v>1177</v>
      </c>
      <c r="H595" s="22" t="str">
        <f t="array" ref="H595">iferror(VLOOKUP("TRAINER_PIC_AQUA_GRUNT_F",Sprites!$A$1:$B794,2,false),"")</f>
        <v/>
      </c>
      <c r="I595" s="23"/>
    </row>
    <row r="596">
      <c r="A596" s="24"/>
      <c r="B596" s="25" t="s">
        <v>863</v>
      </c>
      <c r="C596" s="25" t="s">
        <v>380</v>
      </c>
      <c r="D596" s="25" t="s">
        <v>861</v>
      </c>
      <c r="E596" s="25" t="s">
        <v>697</v>
      </c>
      <c r="F596" s="25" t="s">
        <v>177</v>
      </c>
      <c r="G596" s="25" t="s">
        <v>1177</v>
      </c>
      <c r="H596" s="26"/>
    </row>
    <row r="597">
      <c r="A597" s="16" t="s">
        <v>1178</v>
      </c>
      <c r="B597" s="27" t="s">
        <v>2253</v>
      </c>
      <c r="C597" s="27" t="s">
        <v>2253</v>
      </c>
      <c r="D597" s="27" t="s">
        <v>2262</v>
      </c>
      <c r="E597" s="27" t="s">
        <v>2262</v>
      </c>
      <c r="F597" s="27" t="s">
        <v>2262</v>
      </c>
      <c r="G597" s="21" t="s">
        <v>1177</v>
      </c>
      <c r="H597" s="26"/>
    </row>
    <row r="598">
      <c r="A598" s="16" t="s">
        <v>1181</v>
      </c>
      <c r="B598" s="28" t="s">
        <v>1582</v>
      </c>
      <c r="C598" s="28" t="s">
        <v>1582</v>
      </c>
      <c r="D598" s="28" t="s">
        <v>1796</v>
      </c>
      <c r="E598" s="28" t="s">
        <v>2002</v>
      </c>
      <c r="F598" s="28" t="s">
        <v>1460</v>
      </c>
      <c r="G598" s="28" t="s">
        <v>1177</v>
      </c>
      <c r="H598" s="26"/>
    </row>
    <row r="599">
      <c r="A599" s="16" t="s">
        <v>1182</v>
      </c>
      <c r="B599" s="21" t="s">
        <v>1926</v>
      </c>
      <c r="C599" s="21" t="s">
        <v>1461</v>
      </c>
      <c r="D599" s="21" t="s">
        <v>1950</v>
      </c>
      <c r="E599" s="21" t="s">
        <v>1233</v>
      </c>
      <c r="F599" s="21" t="s">
        <v>1811</v>
      </c>
      <c r="G599" s="21" t="s">
        <v>1177</v>
      </c>
      <c r="H599" s="26"/>
    </row>
    <row r="600">
      <c r="A600" s="16" t="s">
        <v>1186</v>
      </c>
      <c r="B600" s="28" t="s">
        <v>1248</v>
      </c>
      <c r="C600" s="28" t="s">
        <v>1248</v>
      </c>
      <c r="D600" s="28" t="s">
        <v>1248</v>
      </c>
      <c r="E600" s="28" t="s">
        <v>1248</v>
      </c>
      <c r="F600" s="28" t="s">
        <v>1284</v>
      </c>
      <c r="G600" s="28" t="s">
        <v>1177</v>
      </c>
      <c r="H600" s="26"/>
    </row>
    <row r="601">
      <c r="A601" s="20" t="s">
        <v>1188</v>
      </c>
      <c r="B601" s="21" t="s">
        <v>1678</v>
      </c>
      <c r="C601" s="21" t="s">
        <v>1324</v>
      </c>
      <c r="D601" s="21" t="s">
        <v>1577</v>
      </c>
      <c r="E601" s="21" t="s">
        <v>1202</v>
      </c>
      <c r="F601" s="21" t="s">
        <v>1731</v>
      </c>
      <c r="G601" s="21" t="s">
        <v>1177</v>
      </c>
      <c r="H601" s="26"/>
    </row>
    <row r="602">
      <c r="A602" s="29"/>
      <c r="B602" s="21" t="s">
        <v>1760</v>
      </c>
      <c r="C602" s="21" t="s">
        <v>1273</v>
      </c>
      <c r="D602" s="21" t="s">
        <v>1714</v>
      </c>
      <c r="E602" s="21" t="s">
        <v>1438</v>
      </c>
      <c r="F602" s="21" t="s">
        <v>1617</v>
      </c>
      <c r="G602" s="21" t="s">
        <v>1177</v>
      </c>
      <c r="H602" s="26"/>
    </row>
    <row r="603">
      <c r="A603" s="29"/>
      <c r="B603" s="21" t="s">
        <v>1327</v>
      </c>
      <c r="C603" s="21" t="s">
        <v>1360</v>
      </c>
      <c r="D603" s="21" t="s">
        <v>1472</v>
      </c>
      <c r="E603" s="21" t="s">
        <v>2298</v>
      </c>
      <c r="F603" s="21" t="s">
        <v>1724</v>
      </c>
      <c r="G603" s="21" t="s">
        <v>1177</v>
      </c>
      <c r="H603" s="26"/>
    </row>
    <row r="604">
      <c r="A604" s="24"/>
      <c r="B604" s="21" t="s">
        <v>1705</v>
      </c>
      <c r="C604" s="21" t="s">
        <v>1441</v>
      </c>
      <c r="D604" s="21" t="s">
        <v>1311</v>
      </c>
      <c r="E604" s="21" t="s">
        <v>1641</v>
      </c>
      <c r="F604" s="21" t="s">
        <v>1468</v>
      </c>
      <c r="G604" s="21" t="s">
        <v>1177</v>
      </c>
      <c r="H604" s="30"/>
      <c r="I604" s="14"/>
    </row>
    <row r="605">
      <c r="A605" s="16" t="s">
        <v>1174</v>
      </c>
      <c r="B605" s="17" t="s">
        <v>2299</v>
      </c>
      <c r="C605" s="18"/>
      <c r="D605" s="18"/>
      <c r="E605" s="18"/>
      <c r="F605" s="18"/>
      <c r="G605" s="18"/>
      <c r="H605" s="18"/>
      <c r="I605" s="16"/>
    </row>
    <row r="606" ht="60.0" customHeight="1">
      <c r="A606" s="20" t="s">
        <v>1176</v>
      </c>
      <c r="B606" s="21" t="str">
        <f t="array" ref="B606">iferror(VLOOKUP(INDIRECT(ADDRESS(ROW()+1,COLUMN(), 4)),Dex!$A$2:$C794,3,false),"")</f>
        <v/>
      </c>
      <c r="C606" s="39" t="str">
        <f t="array" ref="C606">iferror(VLOOKUP(INDIRECT(ADDRESS(ROW()+1,COLUMN(), 4)),Dex!$A$2:$C794,3,false),"")</f>
        <v/>
      </c>
      <c r="D606" s="21" t="str">
        <f t="array" ref="D606">iferror(VLOOKUP(INDIRECT(ADDRESS(ROW()+1,COLUMN(), 4)),Dex!$A$2:$C794,3,false),"")</f>
        <v/>
      </c>
      <c r="E606" s="21" t="str">
        <f t="array" ref="E606">iferror(VLOOKUP(INDIRECT(ADDRESS(ROW()+1,COLUMN(), 4)),Dex!$A$2:$C794,3,false),"")</f>
        <v/>
      </c>
      <c r="F606" s="21" t="str">
        <f t="array" ref="F606">iferror(VLOOKUP(INDIRECT(ADDRESS(ROW()+1,COLUMN(), 4)),Dex!$A$2:$C794,3,false),"")</f>
        <v/>
      </c>
      <c r="G606" s="21" t="s">
        <v>1177</v>
      </c>
      <c r="H606" s="22" t="str">
        <f t="array" ref="H606">iferror(VLOOKUP("TRAINER_PIC_AQUA_GRUNT_M",Sprites!$A$1:$B794,2,false),"")</f>
        <v/>
      </c>
      <c r="I606" s="23"/>
    </row>
    <row r="607">
      <c r="A607" s="24"/>
      <c r="B607" s="25" t="s">
        <v>995</v>
      </c>
      <c r="C607" s="25" t="s">
        <v>757</v>
      </c>
      <c r="D607" s="25" t="s">
        <v>155</v>
      </c>
      <c r="E607" s="25" t="s">
        <v>205</v>
      </c>
      <c r="F607" s="25" t="s">
        <v>470</v>
      </c>
      <c r="G607" s="25" t="s">
        <v>1177</v>
      </c>
      <c r="H607" s="26"/>
    </row>
    <row r="608">
      <c r="A608" s="16" t="s">
        <v>1178</v>
      </c>
      <c r="B608" s="27" t="s">
        <v>2253</v>
      </c>
      <c r="C608" s="27" t="s">
        <v>2255</v>
      </c>
      <c r="D608" s="27" t="s">
        <v>2253</v>
      </c>
      <c r="E608" s="27" t="s">
        <v>2255</v>
      </c>
      <c r="F608" s="27" t="s">
        <v>2262</v>
      </c>
      <c r="G608" s="21" t="s">
        <v>1177</v>
      </c>
      <c r="H608" s="26"/>
    </row>
    <row r="609">
      <c r="A609" s="16" t="s">
        <v>1181</v>
      </c>
      <c r="B609" s="28" t="s">
        <v>2300</v>
      </c>
      <c r="C609" s="28" t="s">
        <v>1796</v>
      </c>
      <c r="D609" s="28" t="s">
        <v>1796</v>
      </c>
      <c r="E609" s="28" t="s">
        <v>1582</v>
      </c>
      <c r="F609" s="28" t="s">
        <v>1295</v>
      </c>
      <c r="G609" s="28" t="s">
        <v>1177</v>
      </c>
      <c r="H609" s="26"/>
    </row>
    <row r="610">
      <c r="A610" s="16" t="s">
        <v>1182</v>
      </c>
      <c r="B610" s="21" t="s">
        <v>2109</v>
      </c>
      <c r="C610" s="21" t="s">
        <v>1946</v>
      </c>
      <c r="D610" s="21" t="s">
        <v>1369</v>
      </c>
      <c r="E610" s="21" t="s">
        <v>1212</v>
      </c>
      <c r="F610" s="21" t="s">
        <v>2066</v>
      </c>
      <c r="G610" s="21" t="s">
        <v>1177</v>
      </c>
      <c r="H610" s="26"/>
    </row>
    <row r="611">
      <c r="A611" s="16" t="s">
        <v>1186</v>
      </c>
      <c r="B611" s="28" t="s">
        <v>1256</v>
      </c>
      <c r="C611" s="28" t="s">
        <v>1248</v>
      </c>
      <c r="D611" s="28" t="s">
        <v>1754</v>
      </c>
      <c r="E611" s="28" t="s">
        <v>1256</v>
      </c>
      <c r="F611" s="28" t="s">
        <v>1234</v>
      </c>
      <c r="G611" s="28" t="s">
        <v>1177</v>
      </c>
      <c r="H611" s="26"/>
    </row>
    <row r="612">
      <c r="A612" s="20" t="s">
        <v>1188</v>
      </c>
      <c r="B612" s="21" t="s">
        <v>1828</v>
      </c>
      <c r="C612" s="21" t="s">
        <v>1983</v>
      </c>
      <c r="D612" s="21" t="s">
        <v>1731</v>
      </c>
      <c r="E612" s="21" t="s">
        <v>1617</v>
      </c>
      <c r="F612" s="21" t="s">
        <v>1760</v>
      </c>
      <c r="G612" s="21" t="s">
        <v>1177</v>
      </c>
      <c r="H612" s="26"/>
    </row>
    <row r="613">
      <c r="A613" s="29"/>
      <c r="B613" s="21" t="s">
        <v>1822</v>
      </c>
      <c r="C613" s="21" t="s">
        <v>1607</v>
      </c>
      <c r="D613" s="21" t="s">
        <v>1371</v>
      </c>
      <c r="E613" s="21" t="s">
        <v>1713</v>
      </c>
      <c r="F613" s="21" t="s">
        <v>1835</v>
      </c>
      <c r="G613" s="21" t="s">
        <v>1177</v>
      </c>
      <c r="H613" s="26"/>
    </row>
    <row r="614">
      <c r="A614" s="29"/>
      <c r="B614" s="21" t="s">
        <v>1617</v>
      </c>
      <c r="C614" s="21" t="s">
        <v>1830</v>
      </c>
      <c r="D614" s="21" t="s">
        <v>1830</v>
      </c>
      <c r="E614" s="21" t="s">
        <v>1618</v>
      </c>
      <c r="F614" s="21" t="s">
        <v>1804</v>
      </c>
      <c r="G614" s="21" t="s">
        <v>1177</v>
      </c>
      <c r="H614" s="26"/>
    </row>
    <row r="615">
      <c r="A615" s="24"/>
      <c r="B615" s="21" t="s">
        <v>1377</v>
      </c>
      <c r="C615" s="21" t="s">
        <v>1301</v>
      </c>
      <c r="D615" s="21" t="s">
        <v>1759</v>
      </c>
      <c r="E615" s="21" t="s">
        <v>1338</v>
      </c>
      <c r="F615" s="21" t="s">
        <v>1761</v>
      </c>
      <c r="G615" s="21" t="s">
        <v>1177</v>
      </c>
      <c r="H615" s="30"/>
      <c r="I615" s="14"/>
    </row>
    <row r="616">
      <c r="A616" s="16" t="s">
        <v>1174</v>
      </c>
      <c r="B616" s="17" t="s">
        <v>2301</v>
      </c>
      <c r="C616" s="18"/>
      <c r="D616" s="18"/>
      <c r="E616" s="18"/>
      <c r="F616" s="18"/>
      <c r="G616" s="18"/>
      <c r="H616" s="18"/>
      <c r="I616" s="16"/>
    </row>
    <row r="617" ht="60.0" customHeight="1">
      <c r="A617" s="20" t="s">
        <v>1176</v>
      </c>
      <c r="B617" s="21" t="str">
        <f t="array" ref="B617">iferror(VLOOKUP(INDIRECT(ADDRESS(ROW()+1,COLUMN(), 4)),Dex!$A$2:$C794,3,false),"")</f>
        <v/>
      </c>
      <c r="C617" s="21" t="str">
        <f t="array" ref="C617">iferror(VLOOKUP(INDIRECT(ADDRESS(ROW()+1,COLUMN(), 4)),Dex!$A$2:$C794,3,false),"")</f>
        <v/>
      </c>
      <c r="D617" s="21" t="str">
        <f t="array" ref="D617">iferror(VLOOKUP(INDIRECT(ADDRESS(ROW()+1,COLUMN(), 4)),Dex!$A$2:$C794,3,false),"")</f>
        <v/>
      </c>
      <c r="E617" s="21" t="str">
        <f t="array" ref="E617">iferror(VLOOKUP(INDIRECT(ADDRESS(ROW()+1,COLUMN(), 4)),Dex!$A$2:$C794,3,false),"")</f>
        <v/>
      </c>
      <c r="F617" s="21" t="s">
        <v>1177</v>
      </c>
      <c r="G617" s="21" t="s">
        <v>1177</v>
      </c>
      <c r="H617" s="22" t="str">
        <f t="array" ref="H617">iferror(VLOOKUP("TRAINER_PIC_AQUA_GRUNT_M",Sprites!$A$1:$B794,2,false),"")</f>
        <v/>
      </c>
      <c r="I617" s="23"/>
    </row>
    <row r="618">
      <c r="A618" s="24"/>
      <c r="B618" s="25" t="s">
        <v>596</v>
      </c>
      <c r="C618" s="25" t="s">
        <v>121</v>
      </c>
      <c r="D618" s="25" t="s">
        <v>771</v>
      </c>
      <c r="E618" s="25" t="s">
        <v>583</v>
      </c>
      <c r="F618" s="25" t="s">
        <v>1177</v>
      </c>
      <c r="G618" s="25" t="s">
        <v>1177</v>
      </c>
      <c r="H618" s="26"/>
    </row>
    <row r="619">
      <c r="A619" s="16" t="s">
        <v>1178</v>
      </c>
      <c r="B619" s="27" t="s">
        <v>2270</v>
      </c>
      <c r="C619" s="27" t="s">
        <v>2255</v>
      </c>
      <c r="D619" s="27" t="s">
        <v>2255</v>
      </c>
      <c r="E619" s="27" t="s">
        <v>2262</v>
      </c>
      <c r="F619" s="21" t="s">
        <v>1177</v>
      </c>
      <c r="G619" s="21" t="s">
        <v>1177</v>
      </c>
      <c r="H619" s="26"/>
    </row>
    <row r="620">
      <c r="A620" s="16" t="s">
        <v>1181</v>
      </c>
      <c r="B620" s="28" t="s">
        <v>1643</v>
      </c>
      <c r="C620" s="28" t="s">
        <v>1796</v>
      </c>
      <c r="D620" s="28" t="s">
        <v>1962</v>
      </c>
      <c r="E620" s="28" t="s">
        <v>2139</v>
      </c>
      <c r="F620" s="28" t="s">
        <v>1177</v>
      </c>
      <c r="G620" s="28" t="s">
        <v>1177</v>
      </c>
      <c r="H620" s="26"/>
    </row>
    <row r="621">
      <c r="A621" s="16" t="s">
        <v>1182</v>
      </c>
      <c r="B621" s="21" t="s">
        <v>1860</v>
      </c>
      <c r="C621" s="21" t="s">
        <v>1799</v>
      </c>
      <c r="D621" s="21" t="s">
        <v>1211</v>
      </c>
      <c r="E621" s="21" t="s">
        <v>1356</v>
      </c>
      <c r="F621" s="21" t="s">
        <v>1177</v>
      </c>
      <c r="G621" s="21" t="s">
        <v>1177</v>
      </c>
      <c r="H621" s="26"/>
    </row>
    <row r="622">
      <c r="A622" s="16" t="s">
        <v>1186</v>
      </c>
      <c r="B622" s="28" t="s">
        <v>1284</v>
      </c>
      <c r="C622" s="28" t="s">
        <v>1447</v>
      </c>
      <c r="D622" s="28" t="s">
        <v>1235</v>
      </c>
      <c r="E622" s="28" t="s">
        <v>1235</v>
      </c>
      <c r="F622" s="28" t="s">
        <v>1177</v>
      </c>
      <c r="G622" s="28" t="s">
        <v>1177</v>
      </c>
      <c r="H622" s="26"/>
    </row>
    <row r="623">
      <c r="A623" s="20" t="s">
        <v>1188</v>
      </c>
      <c r="B623" s="21" t="s">
        <v>1863</v>
      </c>
      <c r="C623" s="21" t="s">
        <v>2302</v>
      </c>
      <c r="D623" s="21" t="s">
        <v>2277</v>
      </c>
      <c r="E623" s="21" t="s">
        <v>1307</v>
      </c>
      <c r="F623" s="21" t="s">
        <v>1177</v>
      </c>
      <c r="G623" s="21" t="s">
        <v>1177</v>
      </c>
      <c r="H623" s="26"/>
    </row>
    <row r="624">
      <c r="A624" s="29"/>
      <c r="B624" s="21" t="s">
        <v>1468</v>
      </c>
      <c r="C624" s="21" t="s">
        <v>1740</v>
      </c>
      <c r="D624" s="21" t="s">
        <v>1817</v>
      </c>
      <c r="E624" s="21" t="s">
        <v>1336</v>
      </c>
      <c r="F624" s="21" t="s">
        <v>1177</v>
      </c>
      <c r="G624" s="21" t="s">
        <v>1177</v>
      </c>
      <c r="H624" s="26"/>
    </row>
    <row r="625">
      <c r="A625" s="29"/>
      <c r="B625" s="21" t="s">
        <v>1890</v>
      </c>
      <c r="C625" s="21" t="s">
        <v>1695</v>
      </c>
      <c r="D625" s="21" t="s">
        <v>1607</v>
      </c>
      <c r="E625" s="21" t="s">
        <v>1440</v>
      </c>
      <c r="F625" s="21" t="s">
        <v>1177</v>
      </c>
      <c r="G625" s="21" t="s">
        <v>1177</v>
      </c>
      <c r="H625" s="26"/>
    </row>
    <row r="626">
      <c r="A626" s="24"/>
      <c r="B626" s="21" t="s">
        <v>2021</v>
      </c>
      <c r="C626" s="21" t="s">
        <v>1806</v>
      </c>
      <c r="D626" s="21" t="s">
        <v>1915</v>
      </c>
      <c r="E626" s="21" t="s">
        <v>1714</v>
      </c>
      <c r="F626" s="21" t="s">
        <v>1177</v>
      </c>
      <c r="G626" s="21" t="s">
        <v>1177</v>
      </c>
      <c r="H626" s="30"/>
      <c r="I626" s="14"/>
    </row>
    <row r="627">
      <c r="A627" s="16" t="s">
        <v>1174</v>
      </c>
      <c r="B627" s="17" t="s">
        <v>2303</v>
      </c>
      <c r="C627" s="18"/>
      <c r="D627" s="18"/>
      <c r="E627" s="18"/>
      <c r="F627" s="18"/>
      <c r="G627" s="18"/>
      <c r="H627" s="18"/>
      <c r="I627" s="16"/>
    </row>
    <row r="628" ht="60.0" customHeight="1">
      <c r="A628" s="20" t="s">
        <v>1176</v>
      </c>
      <c r="B628" s="21" t="str">
        <f t="array" ref="B628">iferror(VLOOKUP(INDIRECT(ADDRESS(ROW()+1,COLUMN(), 4)),Dex!$A$2:$C794,3,false),"")</f>
        <v/>
      </c>
      <c r="C628" s="21" t="str">
        <f t="array" ref="C628">iferror(VLOOKUP(INDIRECT(ADDRESS(ROW()+1,COLUMN(), 4)),Dex!$A$2:$C794,3,false),"")</f>
        <v/>
      </c>
      <c r="D628" s="21" t="s">
        <v>1177</v>
      </c>
      <c r="E628" s="21" t="str">
        <f t="array" ref="E628">iferror(VLOOKUP(INDIRECT(ADDRESS(ROW()+1,COLUMN(), 4)),Dex!$A$2:$C794,3,false),"")</f>
        <v/>
      </c>
      <c r="F628" s="21" t="str">
        <f t="array" ref="F628">iferror(VLOOKUP(INDIRECT(ADDRESS(ROW()+1,COLUMN(), 4)),Dex!$A$2:$C794,3,false),"")</f>
        <v/>
      </c>
      <c r="G628" s="21" t="s">
        <v>1177</v>
      </c>
      <c r="H628" s="22" t="str">
        <f t="array" ref="H628">iferror(VLOOKUP("TRAINER_PIC_AQUA_GRUNT_F",Sprites!$A$1:$B794,2,false),"")</f>
        <v/>
      </c>
      <c r="I628" s="23"/>
    </row>
    <row r="629">
      <c r="A629" s="24"/>
      <c r="B629" s="25" t="s">
        <v>62</v>
      </c>
      <c r="C629" s="25" t="s">
        <v>661</v>
      </c>
      <c r="D629" s="25" t="s">
        <v>1177</v>
      </c>
      <c r="E629" s="25" t="s">
        <v>1129</v>
      </c>
      <c r="F629" s="25" t="s">
        <v>1131</v>
      </c>
      <c r="G629" s="25" t="s">
        <v>1177</v>
      </c>
      <c r="H629" s="26"/>
    </row>
    <row r="630">
      <c r="A630" s="16" t="s">
        <v>1178</v>
      </c>
      <c r="B630" s="27" t="s">
        <v>2211</v>
      </c>
      <c r="C630" s="27" t="s">
        <v>2211</v>
      </c>
      <c r="D630" s="21" t="s">
        <v>1177</v>
      </c>
      <c r="E630" s="27" t="s">
        <v>2255</v>
      </c>
      <c r="F630" s="27" t="s">
        <v>2255</v>
      </c>
      <c r="G630" s="21" t="s">
        <v>1177</v>
      </c>
      <c r="H630" s="26"/>
    </row>
    <row r="631">
      <c r="A631" s="16" t="s">
        <v>1181</v>
      </c>
      <c r="B631" s="28" t="s">
        <v>1961</v>
      </c>
      <c r="C631" s="28" t="s">
        <v>2304</v>
      </c>
      <c r="D631" s="28" t="s">
        <v>1177</v>
      </c>
      <c r="E631" s="28" t="s">
        <v>1209</v>
      </c>
      <c r="F631" s="28" t="s">
        <v>1209</v>
      </c>
      <c r="G631" s="28" t="s">
        <v>1177</v>
      </c>
      <c r="H631" s="26"/>
    </row>
    <row r="632">
      <c r="A632" s="16" t="s">
        <v>1182</v>
      </c>
      <c r="B632" s="21" t="s">
        <v>2052</v>
      </c>
      <c r="C632" s="21" t="s">
        <v>1636</v>
      </c>
      <c r="D632" s="21" t="s">
        <v>1177</v>
      </c>
      <c r="E632" s="21" t="s">
        <v>2053</v>
      </c>
      <c r="F632" s="21" t="s">
        <v>2053</v>
      </c>
      <c r="G632" s="21" t="s">
        <v>1177</v>
      </c>
      <c r="H632" s="26"/>
    </row>
    <row r="633">
      <c r="A633" s="16" t="s">
        <v>1186</v>
      </c>
      <c r="B633" s="28" t="s">
        <v>1284</v>
      </c>
      <c r="C633" s="28" t="s">
        <v>1235</v>
      </c>
      <c r="D633" s="28" t="s">
        <v>1177</v>
      </c>
      <c r="E633" s="28" t="s">
        <v>1300</v>
      </c>
      <c r="F633" s="28" t="s">
        <v>1256</v>
      </c>
      <c r="G633" s="28" t="s">
        <v>1177</v>
      </c>
      <c r="H633" s="26"/>
    </row>
    <row r="634">
      <c r="A634" s="20" t="s">
        <v>1188</v>
      </c>
      <c r="B634" s="21" t="s">
        <v>1815</v>
      </c>
      <c r="C634" s="21" t="s">
        <v>1929</v>
      </c>
      <c r="D634" s="21" t="s">
        <v>1177</v>
      </c>
      <c r="E634" s="21" t="s">
        <v>2054</v>
      </c>
      <c r="F634" s="21" t="s">
        <v>2054</v>
      </c>
      <c r="G634" s="21" t="s">
        <v>1177</v>
      </c>
      <c r="H634" s="26"/>
    </row>
    <row r="635">
      <c r="A635" s="29"/>
      <c r="B635" s="21" t="s">
        <v>1835</v>
      </c>
      <c r="C635" s="21" t="s">
        <v>1714</v>
      </c>
      <c r="D635" s="21" t="s">
        <v>1177</v>
      </c>
      <c r="E635" s="21" t="s">
        <v>2305</v>
      </c>
      <c r="F635" s="21" t="s">
        <v>1251</v>
      </c>
      <c r="G635" s="21" t="s">
        <v>1177</v>
      </c>
      <c r="H635" s="26"/>
    </row>
    <row r="636">
      <c r="A636" s="29"/>
      <c r="B636" s="21" t="s">
        <v>1311</v>
      </c>
      <c r="C636" s="21" t="s">
        <v>1225</v>
      </c>
      <c r="D636" s="21" t="s">
        <v>1177</v>
      </c>
      <c r="E636" s="21" t="s">
        <v>2068</v>
      </c>
      <c r="F636" s="21" t="s">
        <v>1835</v>
      </c>
      <c r="G636" s="21" t="s">
        <v>1177</v>
      </c>
      <c r="H636" s="26"/>
    </row>
    <row r="637">
      <c r="A637" s="24"/>
      <c r="B637" s="21" t="s">
        <v>2306</v>
      </c>
      <c r="C637" s="21" t="s">
        <v>1591</v>
      </c>
      <c r="D637" s="21" t="s">
        <v>1177</v>
      </c>
      <c r="E637" s="21" t="s">
        <v>1759</v>
      </c>
      <c r="F637" s="21" t="s">
        <v>1384</v>
      </c>
      <c r="G637" s="21" t="s">
        <v>1177</v>
      </c>
      <c r="H637" s="30"/>
      <c r="I637" s="14"/>
    </row>
    <row r="638">
      <c r="A638" s="16" t="s">
        <v>1174</v>
      </c>
      <c r="B638" s="17" t="s">
        <v>2307</v>
      </c>
      <c r="C638" s="18"/>
      <c r="D638" s="18"/>
      <c r="E638" s="18"/>
      <c r="F638" s="18"/>
      <c r="G638" s="18"/>
      <c r="H638" s="18"/>
      <c r="I638" s="16"/>
    </row>
    <row r="639" ht="60.0" customHeight="1">
      <c r="A639" s="20" t="s">
        <v>1176</v>
      </c>
      <c r="B639" s="21" t="str">
        <f t="array" ref="B639">iferror(VLOOKUP(INDIRECT(ADDRESS(ROW()+1,COLUMN(), 4)),Dex!$A$2:$C794,3,false),"")</f>
        <v/>
      </c>
      <c r="C639" s="21" t="str">
        <f t="array" ref="C639">iferror(VLOOKUP(INDIRECT(ADDRESS(ROW()+1,COLUMN(), 4)),Dex!$A$2:$C794,3,false),"")</f>
        <v/>
      </c>
      <c r="D639" s="21" t="str">
        <f t="array" ref="D639">iferror(VLOOKUP(INDIRECT(ADDRESS(ROW()+1,COLUMN(), 4)),Dex!$A$2:$C794,3,false),"")</f>
        <v/>
      </c>
      <c r="E639" s="21" t="str">
        <f t="array" ref="E639">iferror(VLOOKUP(INDIRECT(ADDRESS(ROW()+1,COLUMN(), 4)),Dex!$A$2:$C794,3,false),"")</f>
        <v/>
      </c>
      <c r="F639" s="21" t="str">
        <f t="array" ref="F639">iferror(VLOOKUP(INDIRECT(ADDRESS(ROW()+1,COLUMN(), 4)),Dex!$A$2:$C794,3,false),"")</f>
        <v/>
      </c>
      <c r="G639" s="21" t="str">
        <f t="array" ref="G639">iferror(VLOOKUP(INDIRECT(ADDRESS(ROW()+1,COLUMN(), 4)),Dex!$A$2:$C794,3,false),"")</f>
        <v/>
      </c>
      <c r="H639" s="22" t="str">
        <f t="array" ref="H639">iferror(VLOOKUP("TRAINER_PIC_AQUA_ADMIN_F",Sprites!$A$1:$B794,2,false),"")</f>
        <v/>
      </c>
      <c r="I639" s="23"/>
    </row>
    <row r="640">
      <c r="A640" s="24"/>
      <c r="B640" s="25" t="s">
        <v>780</v>
      </c>
      <c r="C640" s="25" t="s">
        <v>1015</v>
      </c>
      <c r="D640" s="25" t="s">
        <v>220</v>
      </c>
      <c r="E640" s="25" t="s">
        <v>802</v>
      </c>
      <c r="F640" s="25" t="s">
        <v>247</v>
      </c>
      <c r="G640" s="25" t="s">
        <v>20</v>
      </c>
      <c r="H640" s="26"/>
    </row>
    <row r="641">
      <c r="A641" s="16" t="s">
        <v>1178</v>
      </c>
      <c r="B641" s="27" t="s">
        <v>2212</v>
      </c>
      <c r="C641" s="27" t="s">
        <v>2211</v>
      </c>
      <c r="D641" s="27" t="s">
        <v>2211</v>
      </c>
      <c r="E641" s="27" t="s">
        <v>2211</v>
      </c>
      <c r="F641" s="27" t="s">
        <v>2211</v>
      </c>
      <c r="G641" s="27" t="s">
        <v>2212</v>
      </c>
      <c r="H641" s="26"/>
    </row>
    <row r="642">
      <c r="A642" s="16" t="s">
        <v>1181</v>
      </c>
      <c r="B642" s="28" t="s">
        <v>1247</v>
      </c>
      <c r="C642" s="28" t="s">
        <v>1901</v>
      </c>
      <c r="D642" s="28" t="s">
        <v>1246</v>
      </c>
      <c r="E642" s="28" t="s">
        <v>1282</v>
      </c>
      <c r="F642" s="28" t="s">
        <v>1838</v>
      </c>
      <c r="G642" s="28" t="s">
        <v>2308</v>
      </c>
      <c r="H642" s="26"/>
    </row>
    <row r="643">
      <c r="A643" s="16" t="s">
        <v>1182</v>
      </c>
      <c r="B643" s="21" t="s">
        <v>1356</v>
      </c>
      <c r="C643" s="21" t="s">
        <v>2309</v>
      </c>
      <c r="D643" s="21" t="s">
        <v>2310</v>
      </c>
      <c r="E643" s="21" t="s">
        <v>1405</v>
      </c>
      <c r="F643" s="21" t="s">
        <v>1791</v>
      </c>
      <c r="G643" s="21" t="s">
        <v>2100</v>
      </c>
      <c r="H643" s="26"/>
    </row>
    <row r="644">
      <c r="A644" s="16" t="s">
        <v>1186</v>
      </c>
      <c r="B644" s="28" t="s">
        <v>1235</v>
      </c>
      <c r="C644" s="28" t="s">
        <v>1284</v>
      </c>
      <c r="D644" s="28" t="s">
        <v>1235</v>
      </c>
      <c r="E644" s="28" t="s">
        <v>1249</v>
      </c>
      <c r="F644" s="28" t="s">
        <v>1234</v>
      </c>
      <c r="G644" s="28" t="s">
        <v>1256</v>
      </c>
      <c r="H644" s="26"/>
    </row>
    <row r="645">
      <c r="A645" s="20" t="s">
        <v>1188</v>
      </c>
      <c r="B645" s="21" t="s">
        <v>1874</v>
      </c>
      <c r="C645" s="21" t="s">
        <v>2214</v>
      </c>
      <c r="D645" s="21" t="s">
        <v>1408</v>
      </c>
      <c r="E645" s="21" t="s">
        <v>1238</v>
      </c>
      <c r="F645" s="21" t="s">
        <v>1724</v>
      </c>
      <c r="G645" s="21" t="s">
        <v>1617</v>
      </c>
      <c r="H645" s="26"/>
    </row>
    <row r="646">
      <c r="A646" s="29"/>
      <c r="B646" s="21" t="s">
        <v>1359</v>
      </c>
      <c r="C646" s="21" t="s">
        <v>2198</v>
      </c>
      <c r="D646" s="21" t="s">
        <v>1415</v>
      </c>
      <c r="E646" s="21" t="s">
        <v>1307</v>
      </c>
      <c r="F646" s="21" t="s">
        <v>1695</v>
      </c>
      <c r="G646" s="21" t="s">
        <v>1828</v>
      </c>
      <c r="H646" s="26"/>
    </row>
    <row r="647">
      <c r="A647" s="29"/>
      <c r="B647" s="21" t="s">
        <v>1307</v>
      </c>
      <c r="C647" s="21" t="s">
        <v>1713</v>
      </c>
      <c r="D647" s="21" t="s">
        <v>1817</v>
      </c>
      <c r="E647" s="21" t="s">
        <v>1629</v>
      </c>
      <c r="F647" s="21" t="s">
        <v>2295</v>
      </c>
      <c r="G647" s="21" t="s">
        <v>1890</v>
      </c>
      <c r="H647" s="26"/>
    </row>
    <row r="648">
      <c r="A648" s="24"/>
      <c r="B648" s="21" t="s">
        <v>1225</v>
      </c>
      <c r="C648" s="21" t="s">
        <v>1705</v>
      </c>
      <c r="D648" s="21" t="s">
        <v>1320</v>
      </c>
      <c r="E648" s="21" t="s">
        <v>1652</v>
      </c>
      <c r="F648" s="21" t="s">
        <v>1468</v>
      </c>
      <c r="G648" s="21" t="s">
        <v>2019</v>
      </c>
      <c r="H648" s="30"/>
      <c r="I648" s="14"/>
    </row>
    <row r="649">
      <c r="A649" s="37"/>
      <c r="B649" s="38" t="s">
        <v>2258</v>
      </c>
      <c r="C649" s="14"/>
      <c r="D649" s="14"/>
      <c r="E649" s="14"/>
      <c r="F649" s="14"/>
      <c r="G649" s="14"/>
      <c r="H649" s="24"/>
      <c r="I649" s="41"/>
    </row>
    <row r="650">
      <c r="A650" s="16" t="s">
        <v>1174</v>
      </c>
      <c r="B650" s="17" t="s">
        <v>2311</v>
      </c>
      <c r="C650" s="18"/>
      <c r="D650" s="18"/>
      <c r="E650" s="18"/>
      <c r="F650" s="18"/>
      <c r="G650" s="18"/>
      <c r="H650" s="18"/>
      <c r="I650" s="16"/>
    </row>
    <row r="651" ht="60.0" customHeight="1">
      <c r="A651" s="20" t="s">
        <v>1176</v>
      </c>
      <c r="B651" s="21" t="str">
        <f t="array" ref="B651">iferror(VLOOKUP(INDIRECT(ADDRESS(ROW()+1,COLUMN(), 4)),Dex!$A$2:$C794,3,false),"")</f>
        <v/>
      </c>
      <c r="C651" s="21" t="str">
        <f t="array" ref="C651">iferror(VLOOKUP(INDIRECT(ADDRESS(ROW()+1,COLUMN(), 4)),Dex!$A$2:$C794,3,false),"")</f>
        <v/>
      </c>
      <c r="D651" s="21" t="str">
        <f t="array" ref="D651">iferror(VLOOKUP(INDIRECT(ADDRESS(ROW()+1,COLUMN(), 4)),Dex!$A$2:$C794,3,false),"")</f>
        <v/>
      </c>
      <c r="E651" s="21" t="str">
        <f t="array" ref="E651">iferror(VLOOKUP(INDIRECT(ADDRESS(ROW()+1,COLUMN(), 4)),Dex!$A$2:$C794,3,false),"")</f>
        <v/>
      </c>
      <c r="F651" s="21" t="str">
        <f t="array" ref="F651">iferror(VLOOKUP(INDIRECT(ADDRESS(ROW()+1,COLUMN(), 4)),Dex!$A$2:$C794,3,false),"")</f>
        <v/>
      </c>
      <c r="G651" s="21" t="str">
        <f t="array" ref="G651">iferror(VLOOKUP(INDIRECT(ADDRESS(ROW()+1,COLUMN(), 4)),Dex!$A$2:$C794,3,false),"")</f>
        <v/>
      </c>
      <c r="H651" s="22" t="str">
        <f t="array" ref="H651">iferror(VLOOKUP("TRAINER_PIC_MAY",Sprites!$A$1:$B794,2,false),"")</f>
        <v/>
      </c>
      <c r="I651" s="23"/>
    </row>
    <row r="652">
      <c r="A652" s="24"/>
      <c r="B652" s="25" t="s">
        <v>343</v>
      </c>
      <c r="C652" s="25" t="s">
        <v>311</v>
      </c>
      <c r="D652" s="25" t="s">
        <v>881</v>
      </c>
      <c r="E652" s="25" t="s">
        <v>44</v>
      </c>
      <c r="F652" s="25" t="s">
        <v>568</v>
      </c>
      <c r="G652" s="25" t="s">
        <v>540</v>
      </c>
      <c r="H652" s="26"/>
    </row>
    <row r="653">
      <c r="A653" s="16" t="s">
        <v>1178</v>
      </c>
      <c r="B653" s="27" t="s">
        <v>2312</v>
      </c>
      <c r="C653" s="27" t="s">
        <v>2212</v>
      </c>
      <c r="D653" s="27" t="s">
        <v>2212</v>
      </c>
      <c r="E653" s="27" t="s">
        <v>2212</v>
      </c>
      <c r="F653" s="27" t="s">
        <v>2212</v>
      </c>
      <c r="G653" s="27" t="s">
        <v>2312</v>
      </c>
      <c r="H653" s="26"/>
    </row>
    <row r="654">
      <c r="A654" s="16" t="s">
        <v>1181</v>
      </c>
      <c r="B654" s="28" t="s">
        <v>2313</v>
      </c>
      <c r="C654" s="28" t="s">
        <v>1882</v>
      </c>
      <c r="D654" s="28" t="s">
        <v>1295</v>
      </c>
      <c r="E654" s="28" t="s">
        <v>1247</v>
      </c>
      <c r="F654" s="28" t="s">
        <v>1612</v>
      </c>
      <c r="G654" s="28" t="s">
        <v>1333</v>
      </c>
      <c r="H654" s="26"/>
    </row>
    <row r="655">
      <c r="A655" s="16" t="s">
        <v>1182</v>
      </c>
      <c r="B655" s="21" t="s">
        <v>1669</v>
      </c>
      <c r="C655" s="21" t="s">
        <v>1212</v>
      </c>
      <c r="D655" s="21" t="s">
        <v>1317</v>
      </c>
      <c r="E655" s="21" t="s">
        <v>1851</v>
      </c>
      <c r="F655" s="21" t="s">
        <v>1356</v>
      </c>
      <c r="G655" s="21" t="s">
        <v>1694</v>
      </c>
      <c r="H655" s="26"/>
    </row>
    <row r="656">
      <c r="A656" s="16" t="s">
        <v>1186</v>
      </c>
      <c r="B656" s="28" t="s">
        <v>1269</v>
      </c>
      <c r="C656" s="28" t="s">
        <v>1256</v>
      </c>
      <c r="D656" s="28" t="s">
        <v>1256</v>
      </c>
      <c r="E656" s="28" t="s">
        <v>1256</v>
      </c>
      <c r="F656" s="28" t="s">
        <v>1249</v>
      </c>
      <c r="G656" s="28" t="s">
        <v>1257</v>
      </c>
      <c r="H656" s="26"/>
    </row>
    <row r="657">
      <c r="A657" s="20" t="s">
        <v>1188</v>
      </c>
      <c r="B657" s="21" t="s">
        <v>1371</v>
      </c>
      <c r="C657" s="21" t="s">
        <v>1251</v>
      </c>
      <c r="D657" s="21" t="s">
        <v>1828</v>
      </c>
      <c r="E657" s="21" t="s">
        <v>1663</v>
      </c>
      <c r="F657" s="21" t="s">
        <v>1874</v>
      </c>
      <c r="G657" s="21" t="s">
        <v>1618</v>
      </c>
      <c r="H657" s="26"/>
    </row>
    <row r="658">
      <c r="A658" s="29"/>
      <c r="B658" s="21" t="s">
        <v>1828</v>
      </c>
      <c r="C658" s="21" t="s">
        <v>1822</v>
      </c>
      <c r="D658" s="21" t="s">
        <v>1663</v>
      </c>
      <c r="E658" s="21" t="s">
        <v>1731</v>
      </c>
      <c r="F658" s="21" t="s">
        <v>1723</v>
      </c>
      <c r="G658" s="21" t="s">
        <v>1793</v>
      </c>
      <c r="H658" s="26"/>
    </row>
    <row r="659">
      <c r="A659" s="29"/>
      <c r="B659" s="21" t="s">
        <v>1677</v>
      </c>
      <c r="C659" s="21" t="s">
        <v>1617</v>
      </c>
      <c r="D659" s="21" t="s">
        <v>1793</v>
      </c>
      <c r="E659" s="21" t="s">
        <v>1836</v>
      </c>
      <c r="F659" s="21" t="s">
        <v>1992</v>
      </c>
      <c r="G659" s="21" t="s">
        <v>1621</v>
      </c>
      <c r="H659" s="26"/>
    </row>
    <row r="660">
      <c r="A660" s="24"/>
      <c r="B660" s="21" t="s">
        <v>1739</v>
      </c>
      <c r="C660" s="21" t="s">
        <v>1361</v>
      </c>
      <c r="D660" s="21" t="s">
        <v>1473</v>
      </c>
      <c r="E660" s="21" t="s">
        <v>1225</v>
      </c>
      <c r="F660" s="21" t="s">
        <v>2314</v>
      </c>
      <c r="G660" s="21" t="s">
        <v>1398</v>
      </c>
      <c r="H660" s="30"/>
      <c r="I660" s="14"/>
    </row>
    <row r="661">
      <c r="A661" s="16" t="s">
        <v>1174</v>
      </c>
      <c r="B661" s="17" t="s">
        <v>2315</v>
      </c>
      <c r="C661" s="18"/>
      <c r="D661" s="18"/>
      <c r="E661" s="18"/>
      <c r="F661" s="18"/>
      <c r="G661" s="18"/>
      <c r="H661" s="18"/>
      <c r="I661" s="16"/>
    </row>
    <row r="662" ht="60.0" customHeight="1">
      <c r="A662" s="20" t="s">
        <v>1176</v>
      </c>
      <c r="B662" s="21" t="str">
        <f t="array" ref="B662">iferror(VLOOKUP(INDIRECT(ADDRESS(ROW()+1,COLUMN(), 4)),Dex!$A$2:$C794,3,false),"")</f>
        <v/>
      </c>
      <c r="C662" s="21" t="str">
        <f t="array" ref="C662">iferror(VLOOKUP(INDIRECT(ADDRESS(ROW()+1,COLUMN(), 4)),Dex!$A$2:$C794,3,false),"")</f>
        <v/>
      </c>
      <c r="D662" s="21" t="str">
        <f t="array" ref="D662">iferror(VLOOKUP(INDIRECT(ADDRESS(ROW()+1,COLUMN(), 4)),Dex!$A$2:$C794,3,false),"")</f>
        <v/>
      </c>
      <c r="E662" s="21" t="str">
        <f t="array" ref="E662">iferror(VLOOKUP(INDIRECT(ADDRESS(ROW()+1,COLUMN(), 4)),Dex!$A$2:$C794,3,false),"")</f>
        <v/>
      </c>
      <c r="F662" s="21" t="str">
        <f t="array" ref="F662">iferror(VLOOKUP(INDIRECT(ADDRESS(ROW()+1,COLUMN(), 4)),Dex!$A$2:$C794,3,false),"")</f>
        <v/>
      </c>
      <c r="G662" s="21" t="str">
        <f t="array" ref="G662">iferror(VLOOKUP(INDIRECT(ADDRESS(ROW()+1,COLUMN(), 4)),Dex!$A$2:$C794,3,false),"")</f>
        <v/>
      </c>
      <c r="H662" s="22" t="str">
        <f t="array" ref="H662">iferror(VLOOKUP("TRAINER_PIC_MAY",Sprites!$A$1:$B794,2,false),"")</f>
        <v/>
      </c>
      <c r="I662" s="23"/>
    </row>
    <row r="663">
      <c r="A663" s="24"/>
      <c r="B663" s="25" t="s">
        <v>347</v>
      </c>
      <c r="C663" s="25" t="s">
        <v>365</v>
      </c>
      <c r="D663" s="25" t="s">
        <v>478</v>
      </c>
      <c r="E663" s="25" t="s">
        <v>869</v>
      </c>
      <c r="F663" s="25" t="s">
        <v>482</v>
      </c>
      <c r="G663" s="25" t="s">
        <v>18</v>
      </c>
      <c r="H663" s="26"/>
    </row>
    <row r="664">
      <c r="A664" s="16" t="s">
        <v>1178</v>
      </c>
      <c r="B664" s="27" t="s">
        <v>2312</v>
      </c>
      <c r="C664" s="27" t="s">
        <v>2212</v>
      </c>
      <c r="D664" s="27" t="s">
        <v>2212</v>
      </c>
      <c r="E664" s="27" t="s">
        <v>2212</v>
      </c>
      <c r="F664" s="27" t="s">
        <v>2212</v>
      </c>
      <c r="G664" s="27" t="s">
        <v>2312</v>
      </c>
      <c r="H664" s="26"/>
    </row>
    <row r="665">
      <c r="A665" s="16" t="s">
        <v>1181</v>
      </c>
      <c r="B665" s="28" t="s">
        <v>2316</v>
      </c>
      <c r="C665" s="28" t="s">
        <v>1882</v>
      </c>
      <c r="D665" s="28" t="s">
        <v>1282</v>
      </c>
      <c r="E665" s="28" t="s">
        <v>1247</v>
      </c>
      <c r="F665" s="28" t="s">
        <v>1838</v>
      </c>
      <c r="G665" s="28" t="s">
        <v>1295</v>
      </c>
      <c r="H665" s="26"/>
    </row>
    <row r="666">
      <c r="A666" s="16" t="s">
        <v>1182</v>
      </c>
      <c r="B666" s="21" t="s">
        <v>1233</v>
      </c>
      <c r="C666" s="21" t="s">
        <v>1212</v>
      </c>
      <c r="D666" s="21" t="s">
        <v>1298</v>
      </c>
      <c r="E666" s="21" t="s">
        <v>1931</v>
      </c>
      <c r="F666" s="21" t="s">
        <v>1783</v>
      </c>
      <c r="G666" s="21" t="s">
        <v>2260</v>
      </c>
      <c r="H666" s="26"/>
    </row>
    <row r="667">
      <c r="A667" s="16" t="s">
        <v>1186</v>
      </c>
      <c r="B667" s="28" t="s">
        <v>1235</v>
      </c>
      <c r="C667" s="28" t="s">
        <v>1334</v>
      </c>
      <c r="D667" s="28" t="s">
        <v>1284</v>
      </c>
      <c r="E667" s="28" t="s">
        <v>1284</v>
      </c>
      <c r="F667" s="28" t="s">
        <v>1406</v>
      </c>
      <c r="G667" s="28" t="s">
        <v>1284</v>
      </c>
      <c r="H667" s="26"/>
    </row>
    <row r="668">
      <c r="A668" s="20" t="s">
        <v>1188</v>
      </c>
      <c r="B668" s="21" t="s">
        <v>1874</v>
      </c>
      <c r="C668" s="21" t="s">
        <v>1371</v>
      </c>
      <c r="D668" s="21" t="s">
        <v>1822</v>
      </c>
      <c r="E668" s="21" t="s">
        <v>1663</v>
      </c>
      <c r="F668" s="21" t="s">
        <v>2317</v>
      </c>
      <c r="G668" s="21" t="s">
        <v>1793</v>
      </c>
      <c r="H668" s="26"/>
    </row>
    <row r="669">
      <c r="A669" s="29"/>
      <c r="B669" s="21" t="s">
        <v>1776</v>
      </c>
      <c r="C669" s="21" t="s">
        <v>1469</v>
      </c>
      <c r="D669" s="21" t="s">
        <v>1828</v>
      </c>
      <c r="E669" s="21" t="s">
        <v>1778</v>
      </c>
      <c r="F669" s="21" t="s">
        <v>1469</v>
      </c>
      <c r="G669" s="21" t="s">
        <v>2314</v>
      </c>
      <c r="H669" s="26"/>
    </row>
    <row r="670">
      <c r="A670" s="29"/>
      <c r="B670" s="21" t="s">
        <v>1425</v>
      </c>
      <c r="C670" s="21" t="s">
        <v>2022</v>
      </c>
      <c r="D670" s="21" t="s">
        <v>1251</v>
      </c>
      <c r="E670" s="21" t="s">
        <v>2022</v>
      </c>
      <c r="F670" s="21" t="s">
        <v>1426</v>
      </c>
      <c r="G670" s="21" t="s">
        <v>1225</v>
      </c>
      <c r="H670" s="26"/>
    </row>
    <row r="671">
      <c r="A671" s="24"/>
      <c r="B671" s="21" t="s">
        <v>1641</v>
      </c>
      <c r="C671" s="21" t="s">
        <v>1225</v>
      </c>
      <c r="D671" s="21" t="s">
        <v>1377</v>
      </c>
      <c r="E671" s="21" t="s">
        <v>1652</v>
      </c>
      <c r="F671" s="21" t="s">
        <v>1425</v>
      </c>
      <c r="G671" s="21" t="s">
        <v>1389</v>
      </c>
      <c r="H671" s="30"/>
      <c r="I671" s="14"/>
    </row>
    <row r="672">
      <c r="A672" s="16" t="s">
        <v>1174</v>
      </c>
      <c r="B672" s="17" t="s">
        <v>2318</v>
      </c>
      <c r="C672" s="18"/>
      <c r="D672" s="18"/>
      <c r="E672" s="18"/>
      <c r="F672" s="18"/>
      <c r="G672" s="18"/>
      <c r="H672" s="18"/>
      <c r="I672" s="16"/>
    </row>
    <row r="673" ht="60.0" customHeight="1">
      <c r="A673" s="20" t="s">
        <v>1176</v>
      </c>
      <c r="B673" s="21" t="str">
        <f t="array" ref="B673">iferror(VLOOKUP(INDIRECT(ADDRESS(ROW()+1,COLUMN(), 4)),Dex!$A$2:$C794,3,false),"")</f>
        <v/>
      </c>
      <c r="C673" s="21" t="str">
        <f t="array" ref="C673">iferror(VLOOKUP(INDIRECT(ADDRESS(ROW()+1,COLUMN(), 4)),Dex!$A$2:$C794,3,false),"")</f>
        <v/>
      </c>
      <c r="D673" s="21" t="str">
        <f t="array" ref="D673">iferror(VLOOKUP(INDIRECT(ADDRESS(ROW()+1,COLUMN(), 4)),Dex!$A$2:$C794,3,false),"")</f>
        <v/>
      </c>
      <c r="E673" s="21" t="str">
        <f t="array" ref="E673">iferror(VLOOKUP(INDIRECT(ADDRESS(ROW()+1,COLUMN(), 4)),Dex!$A$2:$C794,3,false),"")</f>
        <v/>
      </c>
      <c r="F673" s="21" t="str">
        <f t="array" ref="F673">iferror(VLOOKUP(INDIRECT(ADDRESS(ROW()+1,COLUMN(), 4)),Dex!$A$2:$C794,3,false),"")</f>
        <v/>
      </c>
      <c r="G673" s="21" t="str">
        <f t="array" ref="G673">iferror(VLOOKUP(INDIRECT(ADDRESS(ROW()+1,COLUMN(), 4)),Dex!$A$2:$C794,3,false),"")</f>
        <v/>
      </c>
      <c r="H673" s="22" t="str">
        <f t="array" ref="H673">iferror(VLOOKUP("TRAINER_PIC_MAY",Sprites!$A$1:$B794,2,false),"")</f>
        <v/>
      </c>
      <c r="I673" s="23"/>
    </row>
    <row r="674">
      <c r="A674" s="24"/>
      <c r="B674" s="25" t="s">
        <v>351</v>
      </c>
      <c r="C674" s="25" t="s">
        <v>193</v>
      </c>
      <c r="D674" s="25" t="s">
        <v>1136</v>
      </c>
      <c r="E674" s="25" t="s">
        <v>584</v>
      </c>
      <c r="F674" s="25" t="s">
        <v>575</v>
      </c>
      <c r="G674" s="25" t="s">
        <v>156</v>
      </c>
      <c r="H674" s="26"/>
    </row>
    <row r="675">
      <c r="A675" s="16" t="s">
        <v>1178</v>
      </c>
      <c r="B675" s="27" t="s">
        <v>2312</v>
      </c>
      <c r="C675" s="27" t="s">
        <v>2212</v>
      </c>
      <c r="D675" s="27" t="s">
        <v>2212</v>
      </c>
      <c r="E675" s="27" t="s">
        <v>2212</v>
      </c>
      <c r="F675" s="27" t="s">
        <v>2212</v>
      </c>
      <c r="G675" s="27" t="s">
        <v>2312</v>
      </c>
      <c r="H675" s="26"/>
    </row>
    <row r="676">
      <c r="A676" s="16" t="s">
        <v>1181</v>
      </c>
      <c r="B676" s="28" t="s">
        <v>2319</v>
      </c>
      <c r="C676" s="28" t="s">
        <v>1882</v>
      </c>
      <c r="D676" s="28" t="s">
        <v>2276</v>
      </c>
      <c r="E676" s="28" t="s">
        <v>1703</v>
      </c>
      <c r="F676" s="28" t="s">
        <v>1247</v>
      </c>
      <c r="G676" s="28" t="s">
        <v>1457</v>
      </c>
      <c r="H676" s="26"/>
    </row>
    <row r="677">
      <c r="A677" s="16" t="s">
        <v>1182</v>
      </c>
      <c r="B677" s="21" t="s">
        <v>1212</v>
      </c>
      <c r="C677" s="21" t="s">
        <v>1298</v>
      </c>
      <c r="D677" s="21" t="s">
        <v>1783</v>
      </c>
      <c r="E677" s="21" t="s">
        <v>1199</v>
      </c>
      <c r="F677" s="21" t="s">
        <v>1931</v>
      </c>
      <c r="G677" s="21" t="s">
        <v>1268</v>
      </c>
      <c r="H677" s="26"/>
    </row>
    <row r="678">
      <c r="A678" s="16" t="s">
        <v>1186</v>
      </c>
      <c r="B678" s="28" t="s">
        <v>1248</v>
      </c>
      <c r="C678" s="28" t="s">
        <v>1269</v>
      </c>
      <c r="D678" s="28" t="s">
        <v>1269</v>
      </c>
      <c r="E678" s="28" t="s">
        <v>1256</v>
      </c>
      <c r="F678" s="28" t="s">
        <v>1249</v>
      </c>
      <c r="G678" s="28" t="s">
        <v>1754</v>
      </c>
      <c r="H678" s="26"/>
    </row>
    <row r="679">
      <c r="A679" s="20" t="s">
        <v>1188</v>
      </c>
      <c r="B679" s="21" t="s">
        <v>1677</v>
      </c>
      <c r="C679" s="21" t="s">
        <v>1822</v>
      </c>
      <c r="D679" s="21" t="s">
        <v>1742</v>
      </c>
      <c r="E679" s="21" t="s">
        <v>1663</v>
      </c>
      <c r="F679" s="21" t="s">
        <v>1814</v>
      </c>
      <c r="G679" s="21" t="s">
        <v>1646</v>
      </c>
      <c r="H679" s="26"/>
    </row>
    <row r="680">
      <c r="A680" s="29"/>
      <c r="B680" s="21" t="s">
        <v>1779</v>
      </c>
      <c r="C680" s="21" t="s">
        <v>1793</v>
      </c>
      <c r="D680" s="21" t="s">
        <v>1588</v>
      </c>
      <c r="E680" s="21" t="s">
        <v>1723</v>
      </c>
      <c r="F680" s="21" t="s">
        <v>1682</v>
      </c>
      <c r="G680" s="21" t="s">
        <v>1953</v>
      </c>
      <c r="H680" s="26"/>
    </row>
    <row r="681">
      <c r="A681" s="29"/>
      <c r="B681" s="21" t="s">
        <v>1760</v>
      </c>
      <c r="C681" s="21" t="s">
        <v>1834</v>
      </c>
      <c r="D681" s="21" t="s">
        <v>1251</v>
      </c>
      <c r="E681" s="21" t="s">
        <v>1608</v>
      </c>
      <c r="F681" s="21" t="s">
        <v>1992</v>
      </c>
      <c r="G681" s="21" t="s">
        <v>1759</v>
      </c>
      <c r="H681" s="26"/>
    </row>
    <row r="682">
      <c r="A682" s="24"/>
      <c r="B682" s="21" t="s">
        <v>1678</v>
      </c>
      <c r="C682" s="21" t="s">
        <v>1663</v>
      </c>
      <c r="D682" s="21" t="s">
        <v>1663</v>
      </c>
      <c r="E682" s="21" t="s">
        <v>1804</v>
      </c>
      <c r="F682" s="21" t="s">
        <v>1225</v>
      </c>
      <c r="G682" s="21" t="s">
        <v>2314</v>
      </c>
      <c r="H682" s="30"/>
      <c r="I682" s="14"/>
    </row>
    <row r="683">
      <c r="A683" s="16" t="s">
        <v>1174</v>
      </c>
      <c r="B683" s="17" t="s">
        <v>2320</v>
      </c>
      <c r="C683" s="18"/>
      <c r="D683" s="18"/>
      <c r="E683" s="18"/>
      <c r="F683" s="18"/>
      <c r="G683" s="18"/>
      <c r="H683" s="18"/>
      <c r="I683" s="16"/>
    </row>
    <row r="684" ht="60.0" customHeight="1">
      <c r="A684" s="20" t="s">
        <v>1176</v>
      </c>
      <c r="B684" s="21" t="str">
        <f t="array" ref="B684">iferror(VLOOKUP(INDIRECT(ADDRESS(ROW()+1,COLUMN(), 4)),Dex!$A$2:$C794,3,false),"")</f>
        <v/>
      </c>
      <c r="C684" s="21" t="str">
        <f t="array" ref="C684">iferror(VLOOKUP(INDIRECT(ADDRESS(ROW()+1,COLUMN(), 4)),Dex!$A$2:$C794,3,false),"")</f>
        <v/>
      </c>
      <c r="D684" s="21" t="s">
        <v>1177</v>
      </c>
      <c r="E684" s="21" t="str">
        <f t="array" ref="E684">iferror(VLOOKUP(INDIRECT(ADDRESS(ROW()+1,COLUMN(), 4)),Dex!$A$2:$C794,3,false),"")</f>
        <v/>
      </c>
      <c r="F684" s="21" t="str">
        <f t="array" ref="F684">iferror(VLOOKUP(INDIRECT(ADDRESS(ROW()+1,COLUMN(), 4)),Dex!$A$2:$C794,3,false),"")</f>
        <v/>
      </c>
      <c r="G684" s="21" t="s">
        <v>1177</v>
      </c>
      <c r="H684" s="22" t="str">
        <f t="array" ref="H684">iferror(VLOOKUP("TRAINER_PIC_GUITARIST",Sprites!$A$1:$B794,2,false),"")</f>
        <v/>
      </c>
      <c r="I684" s="23"/>
    </row>
    <row r="685">
      <c r="A685" s="24"/>
      <c r="B685" s="25" t="s">
        <v>456</v>
      </c>
      <c r="C685" s="25" t="s">
        <v>453</v>
      </c>
      <c r="D685" s="25" t="s">
        <v>1177</v>
      </c>
      <c r="E685" s="25" t="s">
        <v>201</v>
      </c>
      <c r="F685" s="25" t="s">
        <v>1104</v>
      </c>
      <c r="G685" s="25" t="s">
        <v>1177</v>
      </c>
      <c r="H685" s="26"/>
    </row>
    <row r="686">
      <c r="A686" s="16" t="s">
        <v>1178</v>
      </c>
      <c r="B686" s="27" t="s">
        <v>2212</v>
      </c>
      <c r="C686" s="27" t="s">
        <v>2211</v>
      </c>
      <c r="D686" s="21" t="s">
        <v>1177</v>
      </c>
      <c r="E686" s="27" t="s">
        <v>2212</v>
      </c>
      <c r="F686" s="27" t="s">
        <v>2212</v>
      </c>
      <c r="G686" s="21" t="s">
        <v>1177</v>
      </c>
      <c r="H686" s="26"/>
    </row>
    <row r="687">
      <c r="A687" s="16" t="s">
        <v>1181</v>
      </c>
      <c r="B687" s="28" t="s">
        <v>1247</v>
      </c>
      <c r="C687" s="28" t="s">
        <v>1247</v>
      </c>
      <c r="D687" s="28" t="s">
        <v>1177</v>
      </c>
      <c r="E687" s="28" t="s">
        <v>1882</v>
      </c>
      <c r="F687" s="28" t="s">
        <v>1833</v>
      </c>
      <c r="G687" s="28" t="s">
        <v>1177</v>
      </c>
      <c r="H687" s="26"/>
    </row>
    <row r="688">
      <c r="A688" s="16" t="s">
        <v>1182</v>
      </c>
      <c r="B688" s="21" t="s">
        <v>1393</v>
      </c>
      <c r="C688" s="21" t="s">
        <v>2321</v>
      </c>
      <c r="D688" s="21" t="s">
        <v>1177</v>
      </c>
      <c r="E688" s="21" t="s">
        <v>1791</v>
      </c>
      <c r="F688" s="21" t="s">
        <v>1405</v>
      </c>
      <c r="G688" s="21" t="s">
        <v>1177</v>
      </c>
      <c r="H688" s="26"/>
    </row>
    <row r="689">
      <c r="A689" s="16" t="s">
        <v>1186</v>
      </c>
      <c r="B689" s="28" t="s">
        <v>1235</v>
      </c>
      <c r="C689" s="28" t="s">
        <v>1284</v>
      </c>
      <c r="D689" s="28" t="s">
        <v>1177</v>
      </c>
      <c r="E689" s="28" t="s">
        <v>1284</v>
      </c>
      <c r="F689" s="28" t="s">
        <v>1235</v>
      </c>
      <c r="G689" s="28" t="s">
        <v>1177</v>
      </c>
      <c r="H689" s="26"/>
    </row>
    <row r="690">
      <c r="A690" s="20" t="s">
        <v>1188</v>
      </c>
      <c r="B690" s="21" t="s">
        <v>2192</v>
      </c>
      <c r="C690" s="21" t="s">
        <v>1663</v>
      </c>
      <c r="D690" s="21" t="s">
        <v>1177</v>
      </c>
      <c r="E690" s="21" t="s">
        <v>1663</v>
      </c>
      <c r="F690" s="21" t="s">
        <v>2322</v>
      </c>
      <c r="G690" s="21" t="s">
        <v>1177</v>
      </c>
      <c r="H690" s="26"/>
    </row>
    <row r="691">
      <c r="A691" s="29"/>
      <c r="B691" s="21" t="s">
        <v>1578</v>
      </c>
      <c r="C691" s="21" t="s">
        <v>1822</v>
      </c>
      <c r="D691" s="21" t="s">
        <v>1177</v>
      </c>
      <c r="E691" s="21" t="s">
        <v>1778</v>
      </c>
      <c r="F691" s="21" t="s">
        <v>1967</v>
      </c>
      <c r="G691" s="21" t="s">
        <v>1177</v>
      </c>
      <c r="H691" s="26"/>
    </row>
    <row r="692">
      <c r="A692" s="29"/>
      <c r="B692" s="21" t="s">
        <v>1621</v>
      </c>
      <c r="C692" s="21" t="s">
        <v>2022</v>
      </c>
      <c r="D692" s="21" t="s">
        <v>1177</v>
      </c>
      <c r="E692" s="21" t="s">
        <v>2022</v>
      </c>
      <c r="F692" s="21" t="s">
        <v>1466</v>
      </c>
      <c r="G692" s="21" t="s">
        <v>1177</v>
      </c>
      <c r="H692" s="26"/>
    </row>
    <row r="693">
      <c r="A693" s="24"/>
      <c r="B693" s="21" t="s">
        <v>1590</v>
      </c>
      <c r="C693" s="21" t="s">
        <v>1621</v>
      </c>
      <c r="D693" s="21" t="s">
        <v>1177</v>
      </c>
      <c r="E693" s="21" t="s">
        <v>1243</v>
      </c>
      <c r="F693" s="21" t="s">
        <v>1874</v>
      </c>
      <c r="G693" s="21" t="s">
        <v>1177</v>
      </c>
      <c r="H693" s="30"/>
      <c r="I693" s="14"/>
    </row>
    <row r="694">
      <c r="A694" s="16" t="s">
        <v>1174</v>
      </c>
      <c r="B694" s="17" t="s">
        <v>2323</v>
      </c>
      <c r="C694" s="18"/>
      <c r="D694" s="18"/>
      <c r="E694" s="18"/>
      <c r="F694" s="18"/>
      <c r="G694" s="18"/>
      <c r="H694" s="18"/>
      <c r="I694" s="16"/>
    </row>
    <row r="695" ht="60.0" customHeight="1">
      <c r="A695" s="20" t="s">
        <v>1176</v>
      </c>
      <c r="B695" s="21" t="str">
        <f t="array" ref="B695">iferror(VLOOKUP(INDIRECT(ADDRESS(ROW()+1,COLUMN(), 4)),Dex!$A$2:$C794,3,false),"")</f>
        <v/>
      </c>
      <c r="C695" s="21" t="str">
        <f t="array" ref="C695">iferror(VLOOKUP(INDIRECT(ADDRESS(ROW()+1,COLUMN(), 4)),Dex!$A$2:$C794,3,false),"")</f>
        <v/>
      </c>
      <c r="D695" s="21" t="str">
        <f t="array" ref="D695">iferror(VLOOKUP(INDIRECT(ADDRESS(ROW()+1,COLUMN(), 4)),Dex!$A$2:$C794,3,false),"")</f>
        <v/>
      </c>
      <c r="E695" s="21" t="str">
        <f t="array" ref="E695">iferror(VLOOKUP(INDIRECT(ADDRESS(ROW()+1,COLUMN(), 4)),Dex!$A$2:$C794,3,false),"")</f>
        <v/>
      </c>
      <c r="F695" s="21" t="str">
        <f t="array" ref="F695">iferror(VLOOKUP(INDIRECT(ADDRESS(ROW()+1,COLUMN(), 4)),Dex!$A$2:$C794,3,false),"")</f>
        <v/>
      </c>
      <c r="G695" s="21" t="s">
        <v>1177</v>
      </c>
      <c r="H695" s="22" t="str">
        <f t="array" ref="H695">iferror(VLOOKUP("TRAINER_PIC_NINJA_BOY",Sprites!$A$1:$B794,2,false),"")</f>
        <v/>
      </c>
      <c r="I695" s="23"/>
    </row>
    <row r="696">
      <c r="A696" s="24"/>
      <c r="B696" s="25" t="s">
        <v>284</v>
      </c>
      <c r="C696" s="25" t="s">
        <v>601</v>
      </c>
      <c r="D696" s="25" t="s">
        <v>197</v>
      </c>
      <c r="E696" s="25" t="s">
        <v>992</v>
      </c>
      <c r="F696" s="25" t="s">
        <v>829</v>
      </c>
      <c r="G696" s="25" t="s">
        <v>1177</v>
      </c>
      <c r="H696" s="26"/>
    </row>
    <row r="697">
      <c r="A697" s="16" t="s">
        <v>1178</v>
      </c>
      <c r="B697" s="27" t="s">
        <v>2312</v>
      </c>
      <c r="C697" s="27" t="s">
        <v>2212</v>
      </c>
      <c r="D697" s="27" t="s">
        <v>2324</v>
      </c>
      <c r="E697" s="27" t="s">
        <v>2212</v>
      </c>
      <c r="F697" s="27" t="s">
        <v>2312</v>
      </c>
      <c r="G697" s="21" t="s">
        <v>1177</v>
      </c>
      <c r="H697" s="26"/>
    </row>
    <row r="698">
      <c r="A698" s="16" t="s">
        <v>1181</v>
      </c>
      <c r="B698" s="28" t="s">
        <v>1703</v>
      </c>
      <c r="C698" s="28" t="s">
        <v>2025</v>
      </c>
      <c r="D698" s="28" t="s">
        <v>1796</v>
      </c>
      <c r="E698" s="28" t="s">
        <v>1701</v>
      </c>
      <c r="F698" s="28" t="s">
        <v>1281</v>
      </c>
      <c r="G698" s="28" t="s">
        <v>1177</v>
      </c>
      <c r="H698" s="26"/>
    </row>
    <row r="699">
      <c r="A699" s="16" t="s">
        <v>1182</v>
      </c>
      <c r="B699" s="21" t="s">
        <v>1199</v>
      </c>
      <c r="C699" s="21" t="s">
        <v>1798</v>
      </c>
      <c r="D699" s="21" t="s">
        <v>2088</v>
      </c>
      <c r="E699" s="21" t="s">
        <v>1199</v>
      </c>
      <c r="F699" s="21" t="s">
        <v>2325</v>
      </c>
      <c r="G699" s="21" t="s">
        <v>1177</v>
      </c>
      <c r="H699" s="26"/>
    </row>
    <row r="700">
      <c r="A700" s="16" t="s">
        <v>1186</v>
      </c>
      <c r="B700" s="28" t="s">
        <v>1754</v>
      </c>
      <c r="C700" s="28" t="s">
        <v>1754</v>
      </c>
      <c r="D700" s="28" t="s">
        <v>1187</v>
      </c>
      <c r="E700" s="28" t="s">
        <v>1235</v>
      </c>
      <c r="F700" s="28" t="s">
        <v>1284</v>
      </c>
      <c r="G700" s="28" t="s">
        <v>1177</v>
      </c>
      <c r="H700" s="26"/>
    </row>
    <row r="701">
      <c r="A701" s="20" t="s">
        <v>1188</v>
      </c>
      <c r="B701" s="21" t="s">
        <v>2110</v>
      </c>
      <c r="C701" s="21" t="s">
        <v>2192</v>
      </c>
      <c r="D701" s="21" t="s">
        <v>2090</v>
      </c>
      <c r="E701" s="21" t="s">
        <v>1948</v>
      </c>
      <c r="F701" s="21" t="s">
        <v>1617</v>
      </c>
      <c r="G701" s="21" t="s">
        <v>1177</v>
      </c>
      <c r="H701" s="26"/>
    </row>
    <row r="702">
      <c r="A702" s="29"/>
      <c r="B702" s="21" t="s">
        <v>1830</v>
      </c>
      <c r="C702" s="21" t="s">
        <v>1578</v>
      </c>
      <c r="D702" s="21" t="s">
        <v>1177</v>
      </c>
      <c r="E702" s="21" t="s">
        <v>1607</v>
      </c>
      <c r="F702" s="21" t="s">
        <v>1890</v>
      </c>
      <c r="G702" s="21" t="s">
        <v>1177</v>
      </c>
      <c r="H702" s="26"/>
    </row>
    <row r="703">
      <c r="A703" s="29"/>
      <c r="B703" s="21" t="s">
        <v>2026</v>
      </c>
      <c r="C703" s="21" t="s">
        <v>1425</v>
      </c>
      <c r="D703" s="21" t="s">
        <v>1177</v>
      </c>
      <c r="E703" s="21" t="s">
        <v>1609</v>
      </c>
      <c r="F703" s="21" t="s">
        <v>1770</v>
      </c>
      <c r="G703" s="21" t="s">
        <v>1177</v>
      </c>
      <c r="H703" s="26"/>
    </row>
    <row r="704">
      <c r="A704" s="24"/>
      <c r="B704" s="21" t="s">
        <v>1854</v>
      </c>
      <c r="C704" s="21" t="s">
        <v>1757</v>
      </c>
      <c r="D704" s="21" t="s">
        <v>1177</v>
      </c>
      <c r="E704" s="21" t="s">
        <v>1359</v>
      </c>
      <c r="F704" s="21" t="s">
        <v>1786</v>
      </c>
      <c r="G704" s="21" t="s">
        <v>1177</v>
      </c>
      <c r="H704" s="30"/>
      <c r="I704" s="14"/>
    </row>
    <row r="705">
      <c r="A705" s="37"/>
      <c r="B705" s="38" t="s">
        <v>2326</v>
      </c>
      <c r="C705" s="14"/>
      <c r="D705" s="14"/>
      <c r="E705" s="14"/>
      <c r="F705" s="14"/>
      <c r="G705" s="14"/>
      <c r="H705" s="24"/>
      <c r="I705" s="33"/>
    </row>
    <row r="706">
      <c r="A706" s="16" t="s">
        <v>1174</v>
      </c>
      <c r="B706" s="17" t="s">
        <v>2327</v>
      </c>
      <c r="C706" s="18"/>
      <c r="D706" s="18"/>
      <c r="E706" s="18"/>
      <c r="F706" s="18"/>
      <c r="G706" s="18"/>
      <c r="H706" s="18"/>
      <c r="I706" s="16"/>
    </row>
    <row r="707" ht="60.0" customHeight="1">
      <c r="A707" s="20" t="s">
        <v>1176</v>
      </c>
      <c r="B707" s="21" t="str">
        <f t="array" ref="B707">iferror(VLOOKUP(INDIRECT(ADDRESS(ROW()+1,COLUMN(), 4)),Dex!$A$2:$C794,3,false),"")</f>
        <v/>
      </c>
      <c r="C707" s="21" t="str">
        <f t="array" ref="C707">iferror(VLOOKUP(INDIRECT(ADDRESS(ROW()+1,COLUMN(), 4)),Dex!$A$2:$C794,3,false),"")</f>
        <v/>
      </c>
      <c r="D707" s="21" t="str">
        <f t="array" ref="D707">iferror(VLOOKUP(INDIRECT(ADDRESS(ROW()+1,COLUMN(), 4)),Dex!$A$2:$C794,3,false),"")</f>
        <v/>
      </c>
      <c r="E707" s="21" t="s">
        <v>1177</v>
      </c>
      <c r="F707" s="21" t="s">
        <v>1177</v>
      </c>
      <c r="G707" s="21" t="s">
        <v>1177</v>
      </c>
      <c r="H707" s="22" t="str">
        <f t="array" ref="H707">iferror(VLOOKUP("TRAINER_PIC_PARASOL_LADY",Sprites!$A$1:$B794,2,false),"")</f>
        <v/>
      </c>
      <c r="I707" s="23"/>
    </row>
    <row r="708">
      <c r="A708" s="24"/>
      <c r="B708" s="25" t="s">
        <v>1051</v>
      </c>
      <c r="C708" s="25" t="s">
        <v>750</v>
      </c>
      <c r="D708" s="25" t="s">
        <v>1098</v>
      </c>
      <c r="E708" s="25" t="s">
        <v>1177</v>
      </c>
      <c r="F708" s="25" t="s">
        <v>1177</v>
      </c>
      <c r="G708" s="25" t="s">
        <v>1177</v>
      </c>
      <c r="H708" s="26"/>
    </row>
    <row r="709">
      <c r="A709" s="16" t="s">
        <v>1178</v>
      </c>
      <c r="B709" s="27" t="s">
        <v>2312</v>
      </c>
      <c r="C709" s="27" t="s">
        <v>2328</v>
      </c>
      <c r="D709" s="27" t="s">
        <v>2312</v>
      </c>
      <c r="E709" s="21" t="s">
        <v>1177</v>
      </c>
      <c r="F709" s="21" t="s">
        <v>1177</v>
      </c>
      <c r="G709" s="21" t="s">
        <v>1177</v>
      </c>
      <c r="H709" s="26"/>
    </row>
    <row r="710">
      <c r="A710" s="16" t="s">
        <v>1181</v>
      </c>
      <c r="B710" s="28" t="s">
        <v>1703</v>
      </c>
      <c r="C710" s="28" t="s">
        <v>1346</v>
      </c>
      <c r="D710" s="28" t="s">
        <v>1295</v>
      </c>
      <c r="E710" s="28" t="s">
        <v>1177</v>
      </c>
      <c r="F710" s="28" t="s">
        <v>1177</v>
      </c>
      <c r="G710" s="28" t="s">
        <v>1177</v>
      </c>
      <c r="H710" s="26"/>
    </row>
    <row r="711">
      <c r="A711" s="16" t="s">
        <v>1182</v>
      </c>
      <c r="B711" s="21" t="s">
        <v>1299</v>
      </c>
      <c r="C711" s="21" t="s">
        <v>1813</v>
      </c>
      <c r="D711" s="21" t="s">
        <v>1877</v>
      </c>
      <c r="E711" s="21" t="s">
        <v>1177</v>
      </c>
      <c r="F711" s="21" t="s">
        <v>1177</v>
      </c>
      <c r="G711" s="21" t="s">
        <v>1177</v>
      </c>
      <c r="H711" s="26"/>
    </row>
    <row r="712">
      <c r="A712" s="16" t="s">
        <v>1186</v>
      </c>
      <c r="B712" s="28" t="s">
        <v>1446</v>
      </c>
      <c r="C712" s="28" t="s">
        <v>1257</v>
      </c>
      <c r="D712" s="28" t="s">
        <v>1257</v>
      </c>
      <c r="E712" s="28" t="s">
        <v>1177</v>
      </c>
      <c r="F712" s="28" t="s">
        <v>1177</v>
      </c>
      <c r="G712" s="28" t="s">
        <v>1177</v>
      </c>
      <c r="H712" s="26"/>
    </row>
    <row r="713">
      <c r="A713" s="20" t="s">
        <v>1188</v>
      </c>
      <c r="B713" s="21" t="s">
        <v>1407</v>
      </c>
      <c r="C713" s="21" t="s">
        <v>1371</v>
      </c>
      <c r="D713" s="21" t="s">
        <v>1731</v>
      </c>
      <c r="E713" s="21" t="s">
        <v>1177</v>
      </c>
      <c r="F713" s="21" t="s">
        <v>1177</v>
      </c>
      <c r="G713" s="21" t="s">
        <v>1177</v>
      </c>
      <c r="H713" s="26"/>
    </row>
    <row r="714">
      <c r="A714" s="29"/>
      <c r="B714" s="21" t="s">
        <v>1677</v>
      </c>
      <c r="C714" s="21" t="s">
        <v>1373</v>
      </c>
      <c r="D714" s="21" t="s">
        <v>1261</v>
      </c>
      <c r="E714" s="21" t="s">
        <v>1177</v>
      </c>
      <c r="F714" s="21" t="s">
        <v>1177</v>
      </c>
      <c r="G714" s="21" t="s">
        <v>1177</v>
      </c>
      <c r="H714" s="26"/>
    </row>
    <row r="715">
      <c r="A715" s="29"/>
      <c r="B715" s="21" t="s">
        <v>1594</v>
      </c>
      <c r="C715" s="21" t="s">
        <v>1732</v>
      </c>
      <c r="D715" s="21" t="s">
        <v>1698</v>
      </c>
      <c r="E715" s="21" t="s">
        <v>1177</v>
      </c>
      <c r="F715" s="21" t="s">
        <v>1177</v>
      </c>
      <c r="G715" s="21" t="s">
        <v>1177</v>
      </c>
      <c r="H715" s="26"/>
    </row>
    <row r="716">
      <c r="A716" s="24"/>
      <c r="B716" s="21" t="s">
        <v>1641</v>
      </c>
      <c r="C716" s="21" t="s">
        <v>1441</v>
      </c>
      <c r="D716" s="21" t="s">
        <v>1389</v>
      </c>
      <c r="E716" s="21" t="s">
        <v>1177</v>
      </c>
      <c r="F716" s="21" t="s">
        <v>1177</v>
      </c>
      <c r="G716" s="21" t="s">
        <v>1177</v>
      </c>
      <c r="H716" s="30"/>
      <c r="I716" s="14"/>
    </row>
    <row r="717">
      <c r="A717" s="16" t="s">
        <v>1174</v>
      </c>
      <c r="B717" s="17" t="s">
        <v>2329</v>
      </c>
      <c r="C717" s="18"/>
      <c r="D717" s="18"/>
      <c r="E717" s="18"/>
      <c r="F717" s="18"/>
      <c r="G717" s="18"/>
      <c r="H717" s="18"/>
      <c r="I717" s="16"/>
    </row>
    <row r="718" ht="60.0" customHeight="1">
      <c r="A718" s="20" t="s">
        <v>1176</v>
      </c>
      <c r="B718" s="21" t="str">
        <f t="array" ref="B718">iferror(VLOOKUP(INDIRECT(ADDRESS(ROW()+1,COLUMN(), 4)),Dex!$A$2:$C794,3,false),"")</f>
        <v/>
      </c>
      <c r="C718" s="21" t="str">
        <f t="array" ref="C718">iferror(VLOOKUP(INDIRECT(ADDRESS(ROW()+1,COLUMN(), 4)),Dex!$A$2:$C794,3,false),"")</f>
        <v/>
      </c>
      <c r="D718" s="21" t="str">
        <f t="array" ref="D718">iferror(VLOOKUP(INDIRECT(ADDRESS(ROW()+1,COLUMN(), 4)),Dex!$A$2:$C794,3,false),"")</f>
        <v/>
      </c>
      <c r="E718" s="21" t="s">
        <v>1177</v>
      </c>
      <c r="F718" s="21" t="s">
        <v>1177</v>
      </c>
      <c r="G718" s="21" t="s">
        <v>1177</v>
      </c>
      <c r="H718" s="22" t="str">
        <f t="array" ref="H718">iferror(VLOOKUP("TRAINER_PIC_BIRD_KEEPER",Sprites!$A$1:$B794,2,false),"")</f>
        <v/>
      </c>
      <c r="I718" s="23"/>
    </row>
    <row r="719">
      <c r="A719" s="24"/>
      <c r="B719" s="25" t="s">
        <v>925</v>
      </c>
      <c r="C719" s="25" t="s">
        <v>460</v>
      </c>
      <c r="D719" s="25" t="s">
        <v>310</v>
      </c>
      <c r="E719" s="25" t="s">
        <v>1177</v>
      </c>
      <c r="F719" s="25" t="s">
        <v>1177</v>
      </c>
      <c r="G719" s="25" t="s">
        <v>1177</v>
      </c>
      <c r="H719" s="26"/>
    </row>
    <row r="720">
      <c r="A720" s="16" t="s">
        <v>1178</v>
      </c>
      <c r="B720" s="27" t="s">
        <v>2324</v>
      </c>
      <c r="C720" s="27" t="s">
        <v>2324</v>
      </c>
      <c r="D720" s="27" t="s">
        <v>2324</v>
      </c>
      <c r="E720" s="21" t="s">
        <v>1177</v>
      </c>
      <c r="F720" s="21" t="s">
        <v>1177</v>
      </c>
      <c r="G720" s="21" t="s">
        <v>1177</v>
      </c>
      <c r="H720" s="26"/>
    </row>
    <row r="721">
      <c r="A721" s="16" t="s">
        <v>1181</v>
      </c>
      <c r="B721" s="28" t="s">
        <v>1901</v>
      </c>
      <c r="C721" s="28" t="s">
        <v>1366</v>
      </c>
      <c r="D721" s="28" t="s">
        <v>1246</v>
      </c>
      <c r="E721" s="28" t="s">
        <v>1177</v>
      </c>
      <c r="F721" s="28" t="s">
        <v>1177</v>
      </c>
      <c r="G721" s="28" t="s">
        <v>1177</v>
      </c>
      <c r="H721" s="26"/>
    </row>
    <row r="722">
      <c r="A722" s="16" t="s">
        <v>1182</v>
      </c>
      <c r="B722" s="21" t="s">
        <v>1368</v>
      </c>
      <c r="C722" s="21" t="s">
        <v>1268</v>
      </c>
      <c r="D722" s="21" t="s">
        <v>2131</v>
      </c>
      <c r="E722" s="21" t="s">
        <v>1177</v>
      </c>
      <c r="F722" s="21" t="s">
        <v>1177</v>
      </c>
      <c r="G722" s="21" t="s">
        <v>1177</v>
      </c>
      <c r="H722" s="26"/>
    </row>
    <row r="723">
      <c r="A723" s="16" t="s">
        <v>1186</v>
      </c>
      <c r="B723" s="28" t="s">
        <v>1394</v>
      </c>
      <c r="C723" s="28" t="s">
        <v>1249</v>
      </c>
      <c r="D723" s="28" t="s">
        <v>1235</v>
      </c>
      <c r="E723" s="28" t="s">
        <v>1177</v>
      </c>
      <c r="F723" s="28" t="s">
        <v>1177</v>
      </c>
      <c r="G723" s="28" t="s">
        <v>1177</v>
      </c>
      <c r="H723" s="26"/>
    </row>
    <row r="724">
      <c r="A724" s="20" t="s">
        <v>1188</v>
      </c>
      <c r="B724" s="21" t="s">
        <v>1650</v>
      </c>
      <c r="C724" s="21" t="s">
        <v>1619</v>
      </c>
      <c r="D724" s="21" t="s">
        <v>1415</v>
      </c>
      <c r="E724" s="21" t="s">
        <v>1177</v>
      </c>
      <c r="F724" s="21" t="s">
        <v>1177</v>
      </c>
      <c r="G724" s="21" t="s">
        <v>1177</v>
      </c>
      <c r="H724" s="26"/>
    </row>
    <row r="725">
      <c r="A725" s="29"/>
      <c r="B725" s="21" t="s">
        <v>1724</v>
      </c>
      <c r="C725" s="21" t="s">
        <v>1677</v>
      </c>
      <c r="D725" s="21" t="s">
        <v>1440</v>
      </c>
      <c r="E725" s="21" t="s">
        <v>1177</v>
      </c>
      <c r="F725" s="21" t="s">
        <v>1177</v>
      </c>
      <c r="G725" s="21" t="s">
        <v>1177</v>
      </c>
      <c r="H725" s="26"/>
    </row>
    <row r="726">
      <c r="A726" s="29"/>
      <c r="B726" s="21" t="s">
        <v>1914</v>
      </c>
      <c r="C726" s="21" t="s">
        <v>1275</v>
      </c>
      <c r="D726" s="21" t="s">
        <v>1177</v>
      </c>
      <c r="E726" s="21" t="s">
        <v>1177</v>
      </c>
      <c r="F726" s="21" t="s">
        <v>1177</v>
      </c>
      <c r="G726" s="21" t="s">
        <v>1177</v>
      </c>
      <c r="H726" s="26"/>
    </row>
    <row r="727">
      <c r="A727" s="24"/>
      <c r="B727" s="21" t="s">
        <v>2330</v>
      </c>
      <c r="C727" s="21" t="s">
        <v>1959</v>
      </c>
      <c r="D727" s="21" t="s">
        <v>1177</v>
      </c>
      <c r="E727" s="21" t="s">
        <v>1177</v>
      </c>
      <c r="F727" s="21" t="s">
        <v>1177</v>
      </c>
      <c r="G727" s="21" t="s">
        <v>1177</v>
      </c>
      <c r="H727" s="30"/>
      <c r="I727" s="14"/>
    </row>
    <row r="728">
      <c r="A728" s="37"/>
      <c r="B728" s="38" t="s">
        <v>2331</v>
      </c>
      <c r="C728" s="14"/>
      <c r="D728" s="14"/>
      <c r="E728" s="14"/>
      <c r="F728" s="14"/>
      <c r="G728" s="14"/>
      <c r="H728" s="24"/>
      <c r="I728" s="33"/>
    </row>
    <row r="729">
      <c r="A729" s="16" t="s">
        <v>1174</v>
      </c>
      <c r="B729" s="17" t="s">
        <v>2332</v>
      </c>
      <c r="C729" s="18"/>
      <c r="D729" s="18"/>
      <c r="E729" s="18"/>
      <c r="F729" s="18"/>
      <c r="G729" s="18"/>
      <c r="H729" s="18"/>
      <c r="I729" s="16"/>
    </row>
    <row r="730" ht="60.0" customHeight="1">
      <c r="A730" s="20" t="s">
        <v>1176</v>
      </c>
      <c r="B730" s="21" t="str">
        <f t="array" ref="B730">iferror(VLOOKUP(INDIRECT(ADDRESS(ROW()+1,COLUMN(), 4)),Dex!$A$2:$C794,3,false),"")</f>
        <v/>
      </c>
      <c r="C730" s="21" t="str">
        <f t="array" ref="C730">iferror(VLOOKUP(INDIRECT(ADDRESS(ROW()+1,COLUMN(), 4)),Dex!$A$2:$C794,3,false),"")</f>
        <v/>
      </c>
      <c r="D730" s="21" t="str">
        <f t="array" ref="D730">iferror(VLOOKUP(INDIRECT(ADDRESS(ROW()+1,COLUMN(), 4)),Dex!$A$2:$C794,3,false),"")</f>
        <v/>
      </c>
      <c r="E730" s="21" t="str">
        <f t="array" ref="E730">iferror(VLOOKUP(INDIRECT(ADDRESS(ROW()+1,COLUMN(), 4)),Dex!$A$2:$C794,3,false),"")</f>
        <v/>
      </c>
      <c r="F730" s="21" t="str">
        <f t="array" ref="F730">iferror(VLOOKUP(INDIRECT(ADDRESS(ROW()+1,COLUMN(), 4)),Dex!$A$2:$C794,3,false),"")</f>
        <v/>
      </c>
      <c r="G730" s="21" t="s">
        <v>1177</v>
      </c>
      <c r="H730" s="22" t="str">
        <f t="array" ref="H730">iferror(VLOOKUP("TRAINER_PIC_EXPERT_M",Sprites!$A$1:$B794,2,false),"")</f>
        <v/>
      </c>
      <c r="I730" s="23"/>
    </row>
    <row r="731">
      <c r="A731" s="24"/>
      <c r="B731" s="25" t="s">
        <v>378</v>
      </c>
      <c r="C731" s="25" t="s">
        <v>606</v>
      </c>
      <c r="D731" s="25" t="s">
        <v>319</v>
      </c>
      <c r="E731" s="25" t="s">
        <v>193</v>
      </c>
      <c r="F731" s="25" t="s">
        <v>590</v>
      </c>
      <c r="G731" s="25" t="s">
        <v>1177</v>
      </c>
      <c r="H731" s="26"/>
    </row>
    <row r="732">
      <c r="A732" s="16" t="s">
        <v>1178</v>
      </c>
      <c r="B732" s="27" t="s">
        <v>2333</v>
      </c>
      <c r="C732" s="27" t="s">
        <v>2328</v>
      </c>
      <c r="D732" s="27" t="s">
        <v>2328</v>
      </c>
      <c r="E732" s="27" t="s">
        <v>2328</v>
      </c>
      <c r="F732" s="27" t="s">
        <v>2333</v>
      </c>
      <c r="G732" s="21" t="s">
        <v>1177</v>
      </c>
      <c r="H732" s="26"/>
    </row>
    <row r="733">
      <c r="A733" s="16" t="s">
        <v>1181</v>
      </c>
      <c r="B733" s="28" t="s">
        <v>1247</v>
      </c>
      <c r="C733" s="28" t="s">
        <v>1572</v>
      </c>
      <c r="D733" s="28" t="s">
        <v>1403</v>
      </c>
      <c r="E733" s="28" t="s">
        <v>2201</v>
      </c>
      <c r="F733" s="28" t="s">
        <v>1295</v>
      </c>
      <c r="G733" s="28" t="s">
        <v>1177</v>
      </c>
      <c r="H733" s="26"/>
    </row>
    <row r="734">
      <c r="A734" s="16" t="s">
        <v>1182</v>
      </c>
      <c r="B734" s="21" t="s">
        <v>1298</v>
      </c>
      <c r="C734" s="21" t="s">
        <v>1368</v>
      </c>
      <c r="D734" s="21" t="s">
        <v>1860</v>
      </c>
      <c r="E734" s="21" t="s">
        <v>1298</v>
      </c>
      <c r="F734" s="21" t="s">
        <v>1902</v>
      </c>
      <c r="G734" s="21" t="s">
        <v>1177</v>
      </c>
      <c r="H734" s="26"/>
    </row>
    <row r="735">
      <c r="A735" s="16" t="s">
        <v>1186</v>
      </c>
      <c r="B735" s="28" t="s">
        <v>1284</v>
      </c>
      <c r="C735" s="28" t="s">
        <v>1284</v>
      </c>
      <c r="D735" s="28" t="s">
        <v>1257</v>
      </c>
      <c r="E735" s="28" t="s">
        <v>1406</v>
      </c>
      <c r="F735" s="28" t="s">
        <v>1284</v>
      </c>
      <c r="G735" s="28" t="s">
        <v>1177</v>
      </c>
      <c r="H735" s="26"/>
    </row>
    <row r="736">
      <c r="A736" s="20" t="s">
        <v>1188</v>
      </c>
      <c r="B736" s="21" t="s">
        <v>1650</v>
      </c>
      <c r="C736" s="21" t="s">
        <v>1823</v>
      </c>
      <c r="D736" s="21" t="s">
        <v>1863</v>
      </c>
      <c r="E736" s="21" t="s">
        <v>1834</v>
      </c>
      <c r="F736" s="21" t="s">
        <v>1619</v>
      </c>
      <c r="G736" s="21" t="s">
        <v>1177</v>
      </c>
      <c r="H736" s="26"/>
    </row>
    <row r="737">
      <c r="A737" s="29"/>
      <c r="B737" s="21" t="s">
        <v>1251</v>
      </c>
      <c r="C737" s="21" t="s">
        <v>1670</v>
      </c>
      <c r="D737" s="21" t="s">
        <v>1468</v>
      </c>
      <c r="E737" s="21" t="s">
        <v>1677</v>
      </c>
      <c r="F737" s="21" t="s">
        <v>1740</v>
      </c>
      <c r="G737" s="21" t="s">
        <v>1177</v>
      </c>
      <c r="H737" s="26"/>
    </row>
    <row r="738">
      <c r="A738" s="29"/>
      <c r="B738" s="21" t="s">
        <v>1310</v>
      </c>
      <c r="C738" s="21" t="s">
        <v>2334</v>
      </c>
      <c r="D738" s="21" t="s">
        <v>1398</v>
      </c>
      <c r="E738" s="21" t="s">
        <v>1915</v>
      </c>
      <c r="F738" s="21" t="s">
        <v>1739</v>
      </c>
      <c r="G738" s="21" t="s">
        <v>1177</v>
      </c>
      <c r="H738" s="26"/>
    </row>
    <row r="739">
      <c r="A739" s="24"/>
      <c r="B739" s="21" t="s">
        <v>1277</v>
      </c>
      <c r="C739" s="21" t="s">
        <v>1262</v>
      </c>
      <c r="D739" s="21" t="s">
        <v>1262</v>
      </c>
      <c r="E739" s="21" t="s">
        <v>1262</v>
      </c>
      <c r="F739" s="21" t="s">
        <v>1771</v>
      </c>
      <c r="G739" s="21" t="s">
        <v>1177</v>
      </c>
      <c r="H739" s="30"/>
      <c r="I739" s="14"/>
    </row>
    <row r="740">
      <c r="A740" s="16" t="s">
        <v>1174</v>
      </c>
      <c r="B740" s="17" t="s">
        <v>2335</v>
      </c>
      <c r="C740" s="18"/>
      <c r="D740" s="18"/>
      <c r="E740" s="18"/>
      <c r="F740" s="18"/>
      <c r="G740" s="18"/>
      <c r="H740" s="18"/>
      <c r="I740" s="16"/>
    </row>
    <row r="741" ht="60.0" customHeight="1">
      <c r="A741" s="20" t="s">
        <v>1176</v>
      </c>
      <c r="B741" s="21" t="str">
        <f t="array" ref="B741">iferror(VLOOKUP(INDIRECT(ADDRESS(ROW()+1,COLUMN(), 4)),Dex!$A$2:$C794,3,false),"")</f>
        <v/>
      </c>
      <c r="C741" s="21" t="str">
        <f t="array" ref="C741">iferror(VLOOKUP(INDIRECT(ADDRESS(ROW()+1,COLUMN(), 4)),Dex!$A$2:$C794,3,false),"")</f>
        <v/>
      </c>
      <c r="D741" s="21" t="str">
        <f t="array" ref="D741">iferror(VLOOKUP(INDIRECT(ADDRESS(ROW()+1,COLUMN(), 4)),Dex!$A$2:$C794,3,false),"")</f>
        <v/>
      </c>
      <c r="E741" s="21" t="str">
        <f t="array" ref="E741">iferror(VLOOKUP(INDIRECT(ADDRESS(ROW()+1,COLUMN(), 4)),Dex!$A$2:$C794,3,false),"")</f>
        <v/>
      </c>
      <c r="F741" s="21" t="s">
        <v>1177</v>
      </c>
      <c r="G741" s="21" t="s">
        <v>1177</v>
      </c>
      <c r="H741" s="22" t="str">
        <f t="array" ref="H741">iferror(VLOOKUP("TRAINER_PIC_PICNICKER",Sprites!$A$1:$B794,2,false),"")</f>
        <v/>
      </c>
      <c r="I741" s="23"/>
    </row>
    <row r="742">
      <c r="A742" s="24"/>
      <c r="B742" s="25" t="s">
        <v>372</v>
      </c>
      <c r="C742" s="25" t="s">
        <v>910</v>
      </c>
      <c r="D742" s="25" t="s">
        <v>293</v>
      </c>
      <c r="E742" s="25" t="s">
        <v>85</v>
      </c>
      <c r="F742" s="25" t="s">
        <v>1177</v>
      </c>
      <c r="G742" s="25" t="s">
        <v>1177</v>
      </c>
      <c r="H742" s="26"/>
    </row>
    <row r="743">
      <c r="A743" s="16" t="s">
        <v>1178</v>
      </c>
      <c r="B743" s="27" t="s">
        <v>2333</v>
      </c>
      <c r="C743" s="27" t="s">
        <v>2324</v>
      </c>
      <c r="D743" s="27" t="s">
        <v>2333</v>
      </c>
      <c r="E743" s="27" t="s">
        <v>2328</v>
      </c>
      <c r="F743" s="21" t="s">
        <v>1177</v>
      </c>
      <c r="G743" s="21" t="s">
        <v>1177</v>
      </c>
      <c r="H743" s="26"/>
    </row>
    <row r="744">
      <c r="A744" s="16" t="s">
        <v>1181</v>
      </c>
      <c r="B744" s="28" t="s">
        <v>1688</v>
      </c>
      <c r="C744" s="28" t="s">
        <v>2060</v>
      </c>
      <c r="D744" s="28" t="s">
        <v>1282</v>
      </c>
      <c r="E744" s="28" t="s">
        <v>2304</v>
      </c>
      <c r="F744" s="28" t="s">
        <v>1177</v>
      </c>
      <c r="G744" s="28" t="s">
        <v>1177</v>
      </c>
      <c r="H744" s="26"/>
    </row>
    <row r="745">
      <c r="A745" s="16" t="s">
        <v>1182</v>
      </c>
      <c r="B745" s="21" t="s">
        <v>2097</v>
      </c>
      <c r="C745" s="21" t="s">
        <v>1821</v>
      </c>
      <c r="D745" s="21" t="s">
        <v>1461</v>
      </c>
      <c r="E745" s="21" t="s">
        <v>1212</v>
      </c>
      <c r="F745" s="21" t="s">
        <v>1177</v>
      </c>
      <c r="G745" s="21" t="s">
        <v>1177</v>
      </c>
      <c r="H745" s="26"/>
    </row>
    <row r="746">
      <c r="A746" s="16" t="s">
        <v>1186</v>
      </c>
      <c r="B746" s="28" t="s">
        <v>1284</v>
      </c>
      <c r="C746" s="28" t="s">
        <v>1235</v>
      </c>
      <c r="D746" s="28" t="s">
        <v>1235</v>
      </c>
      <c r="E746" s="28" t="s">
        <v>1256</v>
      </c>
      <c r="F746" s="28" t="s">
        <v>1177</v>
      </c>
      <c r="G746" s="28" t="s">
        <v>1177</v>
      </c>
      <c r="H746" s="26"/>
    </row>
    <row r="747">
      <c r="A747" s="20" t="s">
        <v>1188</v>
      </c>
      <c r="B747" s="21" t="s">
        <v>1822</v>
      </c>
      <c r="C747" s="21" t="s">
        <v>1816</v>
      </c>
      <c r="D747" s="21" t="s">
        <v>1201</v>
      </c>
      <c r="E747" s="21" t="s">
        <v>1617</v>
      </c>
      <c r="F747" s="21" t="s">
        <v>1177</v>
      </c>
      <c r="G747" s="21" t="s">
        <v>1177</v>
      </c>
      <c r="H747" s="26"/>
    </row>
    <row r="748">
      <c r="A748" s="29"/>
      <c r="B748" s="21" t="s">
        <v>2022</v>
      </c>
      <c r="C748" s="21" t="s">
        <v>1742</v>
      </c>
      <c r="D748" s="21" t="s">
        <v>1426</v>
      </c>
      <c r="E748" s="21" t="s">
        <v>1839</v>
      </c>
      <c r="F748" s="21" t="s">
        <v>1177</v>
      </c>
      <c r="G748" s="21" t="s">
        <v>1177</v>
      </c>
      <c r="H748" s="26"/>
    </row>
    <row r="749">
      <c r="A749" s="29"/>
      <c r="B749" s="21" t="s">
        <v>1177</v>
      </c>
      <c r="C749" s="21" t="s">
        <v>1776</v>
      </c>
      <c r="D749" s="21" t="s">
        <v>1238</v>
      </c>
      <c r="E749" s="21" t="s">
        <v>1468</v>
      </c>
      <c r="F749" s="21" t="s">
        <v>1177</v>
      </c>
      <c r="G749" s="21" t="s">
        <v>1177</v>
      </c>
      <c r="H749" s="26"/>
    </row>
    <row r="750">
      <c r="A750" s="24"/>
      <c r="B750" s="21" t="s">
        <v>1177</v>
      </c>
      <c r="C750" s="21" t="s">
        <v>1959</v>
      </c>
      <c r="D750" s="21" t="s">
        <v>1641</v>
      </c>
      <c r="E750" s="21" t="s">
        <v>1311</v>
      </c>
      <c r="F750" s="21" t="s">
        <v>1177</v>
      </c>
      <c r="G750" s="21" t="s">
        <v>1177</v>
      </c>
      <c r="H750" s="30"/>
      <c r="I750" s="14"/>
    </row>
    <row r="751">
      <c r="A751" s="16" t="s">
        <v>1174</v>
      </c>
      <c r="B751" s="17" t="s">
        <v>2336</v>
      </c>
      <c r="C751" s="18"/>
      <c r="D751" s="18"/>
      <c r="E751" s="18"/>
      <c r="F751" s="18"/>
      <c r="G751" s="18"/>
      <c r="H751" s="18"/>
      <c r="I751" s="16"/>
    </row>
    <row r="752" ht="60.0" customHeight="1">
      <c r="A752" s="20" t="s">
        <v>1176</v>
      </c>
      <c r="B752" s="21" t="str">
        <f t="array" ref="B752">iferror(VLOOKUP(INDIRECT(ADDRESS(ROW()+1,COLUMN(), 4)),Dex!$A$2:$C794,3,false),"")</f>
        <v/>
      </c>
      <c r="C752" s="21" t="str">
        <f t="array" ref="C752">iferror(VLOOKUP(INDIRECT(ADDRESS(ROW()+1,COLUMN(), 4)),Dex!$A$2:$C794,3,false),"")</f>
        <v/>
      </c>
      <c r="D752" s="21" t="s">
        <v>1177</v>
      </c>
      <c r="E752" s="21" t="str">
        <f t="array" ref="E752">iferror(VLOOKUP(INDIRECT(ADDRESS(ROW()+1,COLUMN(), 4)),Dex!$A$2:$C794,3,false),"")</f>
        <v/>
      </c>
      <c r="F752" s="21" t="str">
        <f t="array" ref="F752">iferror(VLOOKUP(INDIRECT(ADDRESS(ROW()+1,COLUMN(), 4)),Dex!$A$2:$C794,3,false),"")</f>
        <v/>
      </c>
      <c r="G752" s="21" t="str">
        <f t="array" ref="G752">iferror(VLOOKUP(INDIRECT(ADDRESS(ROW()+1,COLUMN(), 4)),Dex!$A$2:$C794,3,false),"")</f>
        <v/>
      </c>
      <c r="H752" s="22" t="str">
        <f t="array" ref="H752">iferror(VLOOKUP("TRAINER_PIC_BIRD_KEEPER",Sprites!$A$1:$B794,2,false),"")</f>
        <v/>
      </c>
      <c r="I752" s="23"/>
    </row>
    <row r="753">
      <c r="A753" s="24"/>
      <c r="B753" s="25" t="s">
        <v>935</v>
      </c>
      <c r="C753" s="25" t="s">
        <v>73</v>
      </c>
      <c r="D753" s="25" t="s">
        <v>1177</v>
      </c>
      <c r="E753" s="25" t="s">
        <v>929</v>
      </c>
      <c r="F753" s="25" t="s">
        <v>928</v>
      </c>
      <c r="G753" s="25" t="s">
        <v>931</v>
      </c>
      <c r="H753" s="26"/>
    </row>
    <row r="754">
      <c r="A754" s="16" t="s">
        <v>1178</v>
      </c>
      <c r="B754" s="27" t="s">
        <v>2333</v>
      </c>
      <c r="C754" s="27" t="s">
        <v>2324</v>
      </c>
      <c r="D754" s="21" t="s">
        <v>1177</v>
      </c>
      <c r="E754" s="27" t="s">
        <v>2328</v>
      </c>
      <c r="F754" s="27" t="s">
        <v>2328</v>
      </c>
      <c r="G754" s="27" t="s">
        <v>2328</v>
      </c>
      <c r="H754" s="26"/>
    </row>
    <row r="755">
      <c r="A755" s="16" t="s">
        <v>1181</v>
      </c>
      <c r="B755" s="28" t="s">
        <v>1247</v>
      </c>
      <c r="C755" s="28" t="s">
        <v>1209</v>
      </c>
      <c r="D755" s="28" t="s">
        <v>1177</v>
      </c>
      <c r="E755" s="28" t="s">
        <v>1457</v>
      </c>
      <c r="F755" s="28" t="s">
        <v>2102</v>
      </c>
      <c r="G755" s="28" t="s">
        <v>1457</v>
      </c>
      <c r="H755" s="26"/>
    </row>
    <row r="756">
      <c r="A756" s="16" t="s">
        <v>1182</v>
      </c>
      <c r="B756" s="21" t="s">
        <v>1342</v>
      </c>
      <c r="C756" s="21" t="s">
        <v>2337</v>
      </c>
      <c r="D756" s="21" t="s">
        <v>1177</v>
      </c>
      <c r="E756" s="21" t="s">
        <v>1634</v>
      </c>
      <c r="F756" s="21" t="s">
        <v>1634</v>
      </c>
      <c r="G756" s="21" t="s">
        <v>1634</v>
      </c>
      <c r="H756" s="26"/>
    </row>
    <row r="757">
      <c r="A757" s="16" t="s">
        <v>1186</v>
      </c>
      <c r="B757" s="28" t="s">
        <v>1284</v>
      </c>
      <c r="C757" s="28" t="s">
        <v>1284</v>
      </c>
      <c r="D757" s="28" t="s">
        <v>1177</v>
      </c>
      <c r="E757" s="28" t="s">
        <v>1284</v>
      </c>
      <c r="F757" s="28" t="s">
        <v>1256</v>
      </c>
      <c r="G757" s="28" t="s">
        <v>1284</v>
      </c>
      <c r="H757" s="26"/>
    </row>
    <row r="758">
      <c r="A758" s="20" t="s">
        <v>1188</v>
      </c>
      <c r="B758" s="21" t="s">
        <v>2112</v>
      </c>
      <c r="C758" s="21" t="s">
        <v>1650</v>
      </c>
      <c r="D758" s="21" t="s">
        <v>1177</v>
      </c>
      <c r="E758" s="21" t="s">
        <v>1637</v>
      </c>
      <c r="F758" s="21" t="s">
        <v>1637</v>
      </c>
      <c r="G758" s="21" t="s">
        <v>1637</v>
      </c>
      <c r="H758" s="26"/>
    </row>
    <row r="759">
      <c r="A759" s="29"/>
      <c r="B759" s="21" t="s">
        <v>1605</v>
      </c>
      <c r="C759" s="21" t="s">
        <v>1373</v>
      </c>
      <c r="D759" s="21" t="s">
        <v>1177</v>
      </c>
      <c r="E759" s="21" t="s">
        <v>1619</v>
      </c>
      <c r="F759" s="21" t="s">
        <v>1619</v>
      </c>
      <c r="G759" s="21" t="s">
        <v>2021</v>
      </c>
      <c r="H759" s="26"/>
    </row>
    <row r="760">
      <c r="A760" s="29"/>
      <c r="B760" s="21" t="s">
        <v>1371</v>
      </c>
      <c r="C760" s="21" t="s">
        <v>1657</v>
      </c>
      <c r="D760" s="21" t="s">
        <v>1177</v>
      </c>
      <c r="E760" s="21" t="s">
        <v>1621</v>
      </c>
      <c r="F760" s="21" t="s">
        <v>1291</v>
      </c>
      <c r="G760" s="21" t="s">
        <v>1291</v>
      </c>
      <c r="H760" s="26"/>
    </row>
    <row r="761">
      <c r="A761" s="24"/>
      <c r="B761" s="21" t="s">
        <v>1657</v>
      </c>
      <c r="C761" s="21" t="s">
        <v>1622</v>
      </c>
      <c r="D761" s="21" t="s">
        <v>1177</v>
      </c>
      <c r="E761" s="21" t="s">
        <v>1639</v>
      </c>
      <c r="F761" s="21" t="s">
        <v>1377</v>
      </c>
      <c r="G761" s="21" t="s">
        <v>1698</v>
      </c>
      <c r="H761" s="30"/>
      <c r="I761" s="14"/>
    </row>
    <row r="762">
      <c r="A762" s="16" t="s">
        <v>1174</v>
      </c>
      <c r="B762" s="17" t="s">
        <v>2338</v>
      </c>
      <c r="C762" s="18"/>
      <c r="D762" s="18"/>
      <c r="E762" s="18"/>
      <c r="F762" s="18"/>
      <c r="G762" s="18"/>
      <c r="H762" s="18"/>
      <c r="I762" s="16"/>
    </row>
    <row r="763" ht="60.0" customHeight="1">
      <c r="A763" s="20" t="s">
        <v>1176</v>
      </c>
      <c r="B763" s="21" t="str">
        <f t="array" ref="B763">iferror(VLOOKUP(INDIRECT(ADDRESS(ROW()+1,COLUMN(), 4)),Dex!$A$2:$C794,3,false),"")</f>
        <v/>
      </c>
      <c r="C763" s="21" t="str">
        <f t="array" ref="C763">iferror(VLOOKUP(INDIRECT(ADDRESS(ROW()+1,COLUMN(), 4)),Dex!$A$2:$C794,3,false),"")</f>
        <v/>
      </c>
      <c r="D763" s="21" t="str">
        <f t="array" ref="D763">iferror(VLOOKUP(INDIRECT(ADDRESS(ROW()+1,COLUMN(), 4)),Dex!$A$2:$C794,3,false),"")</f>
        <v/>
      </c>
      <c r="E763" s="21" t="str">
        <f t="array" ref="E763">iferror(VLOOKUP(INDIRECT(ADDRESS(ROW()+1,COLUMN(), 4)),Dex!$A$2:$C794,3,false),"")</f>
        <v/>
      </c>
      <c r="F763" s="21" t="s">
        <v>1177</v>
      </c>
      <c r="G763" s="21" t="s">
        <v>1177</v>
      </c>
      <c r="H763" s="22" t="str">
        <f t="array" ref="H763">iferror(VLOOKUP("TRAINER_PIC_BIRD_KEEPER",Sprites!$A$1:$B794,2,false),"")</f>
        <v/>
      </c>
      <c r="I763" s="23"/>
    </row>
    <row r="764">
      <c r="A764" s="24"/>
      <c r="B764" s="25" t="s">
        <v>58</v>
      </c>
      <c r="C764" s="25" t="s">
        <v>895</v>
      </c>
      <c r="D764" s="25" t="s">
        <v>245</v>
      </c>
      <c r="E764" s="25" t="s">
        <v>594</v>
      </c>
      <c r="F764" s="25" t="s">
        <v>1177</v>
      </c>
      <c r="G764" s="25" t="s">
        <v>1177</v>
      </c>
      <c r="H764" s="26"/>
    </row>
    <row r="765">
      <c r="A765" s="16" t="s">
        <v>1178</v>
      </c>
      <c r="B765" s="27" t="s">
        <v>2328</v>
      </c>
      <c r="C765" s="27" t="s">
        <v>2328</v>
      </c>
      <c r="D765" s="27" t="s">
        <v>2312</v>
      </c>
      <c r="E765" s="27" t="s">
        <v>2328</v>
      </c>
      <c r="F765" s="21" t="s">
        <v>1177</v>
      </c>
      <c r="G765" s="21" t="s">
        <v>1177</v>
      </c>
      <c r="H765" s="26"/>
    </row>
    <row r="766">
      <c r="A766" s="16" t="s">
        <v>1181</v>
      </c>
      <c r="B766" s="28" t="s">
        <v>1882</v>
      </c>
      <c r="C766" s="28" t="s">
        <v>1282</v>
      </c>
      <c r="D766" s="28" t="s">
        <v>1571</v>
      </c>
      <c r="E766" s="28" t="s">
        <v>1581</v>
      </c>
      <c r="F766" s="28" t="s">
        <v>1177</v>
      </c>
      <c r="G766" s="28" t="s">
        <v>1177</v>
      </c>
      <c r="H766" s="26"/>
    </row>
    <row r="767">
      <c r="A767" s="16" t="s">
        <v>1182</v>
      </c>
      <c r="B767" s="21" t="s">
        <v>1604</v>
      </c>
      <c r="C767" s="21" t="s">
        <v>1884</v>
      </c>
      <c r="D767" s="21" t="s">
        <v>1356</v>
      </c>
      <c r="E767" s="21" t="s">
        <v>1654</v>
      </c>
      <c r="F767" s="21" t="s">
        <v>1177</v>
      </c>
      <c r="G767" s="21" t="s">
        <v>1177</v>
      </c>
      <c r="H767" s="26"/>
    </row>
    <row r="768">
      <c r="A768" s="16" t="s">
        <v>1186</v>
      </c>
      <c r="B768" s="28" t="s">
        <v>1284</v>
      </c>
      <c r="C768" s="28" t="s">
        <v>1284</v>
      </c>
      <c r="D768" s="28" t="s">
        <v>1269</v>
      </c>
      <c r="E768" s="28" t="s">
        <v>1235</v>
      </c>
      <c r="F768" s="28" t="s">
        <v>1177</v>
      </c>
      <c r="G768" s="28" t="s">
        <v>1177</v>
      </c>
      <c r="H768" s="26"/>
    </row>
    <row r="769">
      <c r="A769" s="20" t="s">
        <v>1188</v>
      </c>
      <c r="B769" s="21" t="s">
        <v>1815</v>
      </c>
      <c r="C769" s="21" t="s">
        <v>1822</v>
      </c>
      <c r="D769" s="21" t="s">
        <v>1776</v>
      </c>
      <c r="E769" s="21" t="s">
        <v>1677</v>
      </c>
      <c r="F769" s="21" t="s">
        <v>1177</v>
      </c>
      <c r="G769" s="21" t="s">
        <v>1177</v>
      </c>
      <c r="H769" s="26"/>
    </row>
    <row r="770">
      <c r="A770" s="29"/>
      <c r="B770" s="21" t="s">
        <v>1740</v>
      </c>
      <c r="C770" s="21" t="s">
        <v>1828</v>
      </c>
      <c r="D770" s="21" t="s">
        <v>1574</v>
      </c>
      <c r="E770" s="21" t="s">
        <v>1415</v>
      </c>
      <c r="F770" s="21" t="s">
        <v>1177</v>
      </c>
      <c r="G770" s="21" t="s">
        <v>1177</v>
      </c>
      <c r="H770" s="26"/>
    </row>
    <row r="771">
      <c r="A771" s="29"/>
      <c r="B771" s="21" t="s">
        <v>1731</v>
      </c>
      <c r="C771" s="21" t="s">
        <v>1740</v>
      </c>
      <c r="D771" s="21" t="s">
        <v>1629</v>
      </c>
      <c r="E771" s="21" t="s">
        <v>1684</v>
      </c>
      <c r="F771" s="21" t="s">
        <v>1177</v>
      </c>
      <c r="G771" s="21" t="s">
        <v>1177</v>
      </c>
      <c r="H771" s="26"/>
    </row>
    <row r="772">
      <c r="A772" s="24"/>
      <c r="B772" s="21" t="s">
        <v>1705</v>
      </c>
      <c r="C772" s="21" t="s">
        <v>1376</v>
      </c>
      <c r="D772" s="21" t="s">
        <v>1311</v>
      </c>
      <c r="E772" s="21" t="s">
        <v>1641</v>
      </c>
      <c r="F772" s="21" t="s">
        <v>1177</v>
      </c>
      <c r="G772" s="21" t="s">
        <v>1177</v>
      </c>
      <c r="H772" s="30"/>
      <c r="I772" s="14"/>
    </row>
    <row r="773">
      <c r="A773" s="16" t="s">
        <v>1174</v>
      </c>
      <c r="B773" s="17" t="s">
        <v>2339</v>
      </c>
      <c r="C773" s="18"/>
      <c r="D773" s="18"/>
      <c r="E773" s="18"/>
      <c r="F773" s="18"/>
      <c r="G773" s="18"/>
      <c r="H773" s="18"/>
      <c r="I773" s="16"/>
    </row>
    <row r="774" ht="60.0" customHeight="1">
      <c r="A774" s="20" t="s">
        <v>1176</v>
      </c>
      <c r="B774" s="21" t="str">
        <f t="array" ref="B774">iferror(VLOOKUP(INDIRECT(ADDRESS(ROW()+1,COLUMN(), 4)),Dex!$A$2:$C794,3,false),"")</f>
        <v/>
      </c>
      <c r="C774" s="21" t="str">
        <f t="array" ref="C774">iferror(VLOOKUP(INDIRECT(ADDRESS(ROW()+1,COLUMN(), 4)),Dex!$A$2:$C794,3,false),"")</f>
        <v/>
      </c>
      <c r="D774" s="21" t="str">
        <f t="array" ref="D774">iferror(VLOOKUP(INDIRECT(ADDRESS(ROW()+1,COLUMN(), 4)),Dex!$A$2:$C794,3,false),"")</f>
        <v/>
      </c>
      <c r="E774" s="21" t="str">
        <f t="array" ref="E774">iferror(VLOOKUP(INDIRECT(ADDRESS(ROW()+1,COLUMN(), 4)),Dex!$A$2:$C794,3,false),"")</f>
        <v/>
      </c>
      <c r="F774" s="21" t="str">
        <f t="array" ref="F774">iferror(VLOOKUP(INDIRECT(ADDRESS(ROW()+1,COLUMN(), 4)),Dex!$A$2:$C794,3,false),"")</f>
        <v/>
      </c>
      <c r="G774" s="21" t="s">
        <v>1177</v>
      </c>
      <c r="H774" s="22" t="str">
        <f t="array" ref="H774">iferror(VLOOKUP("TRAINER_PIC_BIRD_KEEPER",Sprites!$A$1:$B794,2,false),"")</f>
        <v/>
      </c>
      <c r="I774" s="23"/>
    </row>
    <row r="775">
      <c r="A775" s="24"/>
      <c r="B775" s="25" t="s">
        <v>591</v>
      </c>
      <c r="C775" s="25" t="s">
        <v>1107</v>
      </c>
      <c r="D775" s="25" t="s">
        <v>1054</v>
      </c>
      <c r="E775" s="25" t="s">
        <v>723</v>
      </c>
      <c r="F775" s="25" t="s">
        <v>346</v>
      </c>
      <c r="G775" s="25" t="s">
        <v>1177</v>
      </c>
      <c r="H775" s="26"/>
    </row>
    <row r="776">
      <c r="A776" s="16" t="s">
        <v>1178</v>
      </c>
      <c r="B776" s="27" t="s">
        <v>2328</v>
      </c>
      <c r="C776" s="27" t="s">
        <v>2324</v>
      </c>
      <c r="D776" s="27" t="s">
        <v>2333</v>
      </c>
      <c r="E776" s="27" t="s">
        <v>2333</v>
      </c>
      <c r="F776" s="27" t="s">
        <v>2333</v>
      </c>
      <c r="G776" s="21" t="s">
        <v>1177</v>
      </c>
      <c r="H776" s="26"/>
    </row>
    <row r="777">
      <c r="A777" s="16" t="s">
        <v>1181</v>
      </c>
      <c r="B777" s="28" t="s">
        <v>1688</v>
      </c>
      <c r="C777" s="28" t="s">
        <v>1209</v>
      </c>
      <c r="D777" s="28" t="s">
        <v>1295</v>
      </c>
      <c r="E777" s="28" t="s">
        <v>1247</v>
      </c>
      <c r="F777" s="28" t="s">
        <v>1282</v>
      </c>
      <c r="G777" s="28" t="s">
        <v>1177</v>
      </c>
      <c r="H777" s="26"/>
    </row>
    <row r="778">
      <c r="A778" s="16" t="s">
        <v>1182</v>
      </c>
      <c r="B778" s="21" t="s">
        <v>1820</v>
      </c>
      <c r="C778" s="21" t="s">
        <v>1907</v>
      </c>
      <c r="D778" s="21" t="s">
        <v>1211</v>
      </c>
      <c r="E778" s="21" t="s">
        <v>1689</v>
      </c>
      <c r="F778" s="21" t="s">
        <v>1233</v>
      </c>
      <c r="G778" s="21" t="s">
        <v>1177</v>
      </c>
      <c r="H778" s="26"/>
    </row>
    <row r="779">
      <c r="A779" s="16" t="s">
        <v>1186</v>
      </c>
      <c r="B779" s="28" t="s">
        <v>1256</v>
      </c>
      <c r="C779" s="28" t="s">
        <v>1235</v>
      </c>
      <c r="D779" s="28" t="s">
        <v>1406</v>
      </c>
      <c r="E779" s="28" t="s">
        <v>1235</v>
      </c>
      <c r="F779" s="28" t="s">
        <v>1235</v>
      </c>
      <c r="G779" s="28" t="s">
        <v>1177</v>
      </c>
      <c r="H779" s="26"/>
    </row>
    <row r="780">
      <c r="A780" s="20" t="s">
        <v>1188</v>
      </c>
      <c r="B780" s="21" t="s">
        <v>1650</v>
      </c>
      <c r="C780" s="21" t="s">
        <v>1874</v>
      </c>
      <c r="D780" s="21" t="s">
        <v>1415</v>
      </c>
      <c r="E780" s="21" t="s">
        <v>1678</v>
      </c>
      <c r="F780" s="21" t="s">
        <v>1874</v>
      </c>
      <c r="G780" s="21" t="s">
        <v>1177</v>
      </c>
      <c r="H780" s="26"/>
    </row>
    <row r="781">
      <c r="A781" s="29"/>
      <c r="B781" s="21" t="s">
        <v>1619</v>
      </c>
      <c r="C781" s="21" t="s">
        <v>1415</v>
      </c>
      <c r="D781" s="21" t="s">
        <v>1804</v>
      </c>
      <c r="E781" s="21" t="s">
        <v>1415</v>
      </c>
      <c r="F781" s="21" t="s">
        <v>1737</v>
      </c>
      <c r="G781" s="21" t="s">
        <v>1177</v>
      </c>
      <c r="H781" s="26"/>
    </row>
    <row r="782">
      <c r="A782" s="29"/>
      <c r="B782" s="21" t="s">
        <v>1886</v>
      </c>
      <c r="C782" s="21" t="s">
        <v>1749</v>
      </c>
      <c r="D782" s="21" t="s">
        <v>1410</v>
      </c>
      <c r="E782" s="21" t="s">
        <v>1836</v>
      </c>
      <c r="F782" s="21" t="s">
        <v>1238</v>
      </c>
      <c r="G782" s="21" t="s">
        <v>1177</v>
      </c>
      <c r="H782" s="26"/>
    </row>
    <row r="783">
      <c r="A783" s="24"/>
      <c r="B783" s="21" t="s">
        <v>1177</v>
      </c>
      <c r="C783" s="21" t="s">
        <v>1192</v>
      </c>
      <c r="D783" s="21" t="s">
        <v>1377</v>
      </c>
      <c r="E783" s="21" t="s">
        <v>1705</v>
      </c>
      <c r="F783" s="21" t="s">
        <v>1641</v>
      </c>
      <c r="G783" s="21" t="s">
        <v>1177</v>
      </c>
      <c r="H783" s="30"/>
      <c r="I783" s="14"/>
    </row>
    <row r="784">
      <c r="A784" s="16" t="s">
        <v>1174</v>
      </c>
      <c r="B784" s="17" t="s">
        <v>2340</v>
      </c>
      <c r="C784" s="18"/>
      <c r="D784" s="18"/>
      <c r="E784" s="18"/>
      <c r="F784" s="18"/>
      <c r="G784" s="18"/>
      <c r="H784" s="18"/>
      <c r="I784" s="16"/>
    </row>
    <row r="785" ht="60.0" customHeight="1">
      <c r="A785" s="20" t="s">
        <v>1176</v>
      </c>
      <c r="B785" s="21" t="str">
        <f t="array" ref="B785">iferror(VLOOKUP(INDIRECT(ADDRESS(ROW()+1,COLUMN(), 4)),Dex!$A$2:$C794,3,false),"")</f>
        <v/>
      </c>
      <c r="C785" s="21" t="str">
        <f t="array" ref="C785">iferror(VLOOKUP(INDIRECT(ADDRESS(ROW()+1,COLUMN(), 4)),Dex!$A$2:$C794,3,false),"")</f>
        <v/>
      </c>
      <c r="D785" s="21" t="str">
        <f t="array" ref="D785">iferror(VLOOKUP(INDIRECT(ADDRESS(ROW()+1,COLUMN(), 4)),Dex!$A$2:$C794,3,false),"")</f>
        <v/>
      </c>
      <c r="E785" s="21" t="str">
        <f t="array" ref="E785">iferror(VLOOKUP(INDIRECT(ADDRESS(ROW()+1,COLUMN(), 4)),Dex!$A$2:$C794,3,false),"")</f>
        <v/>
      </c>
      <c r="F785" s="21" t="str">
        <f t="array" ref="F785">iferror(VLOOKUP(INDIRECT(ADDRESS(ROW()+1,COLUMN(), 4)),Dex!$A$2:$C794,3,false),"")</f>
        <v/>
      </c>
      <c r="G785" s="21" t="str">
        <f t="array" ref="G785">iferror(VLOOKUP(INDIRECT(ADDRESS(ROW()+1,COLUMN(), 4)),Dex!$A$2:$C794,3,false),"")</f>
        <v/>
      </c>
      <c r="H785" s="22" t="str">
        <f t="array" ref="H785">iferror(VLOOKUP("TRAINER_PIC_LEADER_WINONA",Sprites!$A$1:$B794,2,false),"")</f>
        <v/>
      </c>
      <c r="I785" s="23"/>
    </row>
    <row r="786">
      <c r="A786" s="24"/>
      <c r="B786" s="25" t="s">
        <v>513</v>
      </c>
      <c r="C786" s="25" t="s">
        <v>798</v>
      </c>
      <c r="D786" s="25" t="s">
        <v>875</v>
      </c>
      <c r="E786" s="25" t="s">
        <v>1019</v>
      </c>
      <c r="F786" s="25" t="s">
        <v>625</v>
      </c>
      <c r="G786" s="25" t="s">
        <v>436</v>
      </c>
      <c r="H786" s="26"/>
    </row>
    <row r="787">
      <c r="A787" s="16" t="s">
        <v>1178</v>
      </c>
      <c r="B787" s="27" t="s">
        <v>2208</v>
      </c>
      <c r="C787" s="27" t="s">
        <v>2324</v>
      </c>
      <c r="D787" s="27" t="s">
        <v>2333</v>
      </c>
      <c r="E787" s="27" t="s">
        <v>2324</v>
      </c>
      <c r="F787" s="27" t="s">
        <v>2333</v>
      </c>
      <c r="G787" s="27" t="s">
        <v>2208</v>
      </c>
      <c r="H787" s="26"/>
    </row>
    <row r="788">
      <c r="A788" s="16" t="s">
        <v>1181</v>
      </c>
      <c r="B788" s="28" t="s">
        <v>1688</v>
      </c>
      <c r="C788" s="28" t="s">
        <v>1247</v>
      </c>
      <c r="D788" s="28" t="s">
        <v>1282</v>
      </c>
      <c r="E788" s="28" t="s">
        <v>1838</v>
      </c>
      <c r="F788" s="28" t="s">
        <v>1295</v>
      </c>
      <c r="G788" s="28" t="s">
        <v>2341</v>
      </c>
      <c r="H788" s="26"/>
    </row>
    <row r="789">
      <c r="A789" s="16" t="s">
        <v>1182</v>
      </c>
      <c r="B789" s="21" t="s">
        <v>1883</v>
      </c>
      <c r="C789" s="21" t="s">
        <v>1198</v>
      </c>
      <c r="D789" s="21" t="s">
        <v>1222</v>
      </c>
      <c r="E789" s="21" t="s">
        <v>2309</v>
      </c>
      <c r="F789" s="21" t="s">
        <v>1902</v>
      </c>
      <c r="G789" s="21" t="s">
        <v>2279</v>
      </c>
      <c r="H789" s="26"/>
    </row>
    <row r="790">
      <c r="A790" s="16" t="s">
        <v>1186</v>
      </c>
      <c r="B790" s="28" t="s">
        <v>1248</v>
      </c>
      <c r="C790" s="28" t="s">
        <v>1284</v>
      </c>
      <c r="D790" s="28" t="s">
        <v>1235</v>
      </c>
      <c r="E790" s="28" t="s">
        <v>1754</v>
      </c>
      <c r="F790" s="28" t="s">
        <v>1284</v>
      </c>
      <c r="G790" s="28" t="s">
        <v>1269</v>
      </c>
      <c r="H790" s="26"/>
    </row>
    <row r="791">
      <c r="A791" s="20" t="s">
        <v>1188</v>
      </c>
      <c r="B791" s="21" t="s">
        <v>1776</v>
      </c>
      <c r="C791" s="21" t="s">
        <v>1650</v>
      </c>
      <c r="D791" s="21" t="s">
        <v>1874</v>
      </c>
      <c r="E791" s="21" t="s">
        <v>1758</v>
      </c>
      <c r="F791" s="21" t="s">
        <v>2342</v>
      </c>
      <c r="G791" s="21" t="s">
        <v>1677</v>
      </c>
      <c r="H791" s="26"/>
    </row>
    <row r="792">
      <c r="A792" s="29"/>
      <c r="B792" s="21" t="s">
        <v>1805</v>
      </c>
      <c r="C792" s="21" t="s">
        <v>2343</v>
      </c>
      <c r="D792" s="21" t="s">
        <v>1238</v>
      </c>
      <c r="E792" s="21" t="s">
        <v>1677</v>
      </c>
      <c r="F792" s="21" t="s">
        <v>1619</v>
      </c>
      <c r="G792" s="21" t="s">
        <v>1778</v>
      </c>
      <c r="H792" s="26"/>
    </row>
    <row r="793">
      <c r="A793" s="29"/>
      <c r="B793" s="21" t="s">
        <v>1874</v>
      </c>
      <c r="C793" s="21" t="s">
        <v>1731</v>
      </c>
      <c r="D793" s="21" t="s">
        <v>1678</v>
      </c>
      <c r="E793" s="21" t="s">
        <v>1740</v>
      </c>
      <c r="F793" s="21" t="s">
        <v>1618</v>
      </c>
      <c r="G793" s="21" t="s">
        <v>1740</v>
      </c>
      <c r="H793" s="26"/>
    </row>
    <row r="794">
      <c r="A794" s="24"/>
      <c r="B794" s="21" t="s">
        <v>1886</v>
      </c>
      <c r="C794" s="21" t="s">
        <v>1657</v>
      </c>
      <c r="D794" s="21" t="s">
        <v>1641</v>
      </c>
      <c r="E794" s="21" t="s">
        <v>1438</v>
      </c>
      <c r="F794" s="21" t="s">
        <v>2344</v>
      </c>
      <c r="G794" s="21" t="s">
        <v>1377</v>
      </c>
      <c r="H794" s="30"/>
      <c r="I794" s="14"/>
    </row>
  </sheetData>
  <mergeCells count="297">
    <mergeCell ref="A200:A203"/>
    <mergeCell ref="A211:A214"/>
    <mergeCell ref="B215:H215"/>
    <mergeCell ref="H216:I225"/>
    <mergeCell ref="A222:A225"/>
    <mergeCell ref="B226:H226"/>
    <mergeCell ref="H227:I236"/>
    <mergeCell ref="A233:A236"/>
    <mergeCell ref="B237:H237"/>
    <mergeCell ref="H238:I247"/>
    <mergeCell ref="A244:A247"/>
    <mergeCell ref="B248:H248"/>
    <mergeCell ref="B249:H249"/>
    <mergeCell ref="H250:I259"/>
    <mergeCell ref="A417:A418"/>
    <mergeCell ref="A423:A426"/>
    <mergeCell ref="A428:A429"/>
    <mergeCell ref="A401:A404"/>
    <mergeCell ref="B405:H405"/>
    <mergeCell ref="A406:A407"/>
    <mergeCell ref="H406:I415"/>
    <mergeCell ref="A412:A415"/>
    <mergeCell ref="B416:H416"/>
    <mergeCell ref="B427:H427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7:A38"/>
    <mergeCell ref="A43:A46"/>
    <mergeCell ref="A48:A49"/>
    <mergeCell ref="B35:H35"/>
    <mergeCell ref="B36:H36"/>
    <mergeCell ref="B47:H47"/>
    <mergeCell ref="B58:H58"/>
    <mergeCell ref="B69:H69"/>
    <mergeCell ref="B80:H80"/>
    <mergeCell ref="B91:H91"/>
    <mergeCell ref="H14:I23"/>
    <mergeCell ref="H25:I34"/>
    <mergeCell ref="H37:I46"/>
    <mergeCell ref="H48:I57"/>
    <mergeCell ref="H59:I68"/>
    <mergeCell ref="H70:I79"/>
    <mergeCell ref="H81:I90"/>
    <mergeCell ref="B102:H102"/>
    <mergeCell ref="B103:H103"/>
    <mergeCell ref="B114:H114"/>
    <mergeCell ref="B125:H125"/>
    <mergeCell ref="B126:H126"/>
    <mergeCell ref="B137:H137"/>
    <mergeCell ref="B148:H148"/>
    <mergeCell ref="H92:I101"/>
    <mergeCell ref="H104:I113"/>
    <mergeCell ref="H115:I124"/>
    <mergeCell ref="H127:I136"/>
    <mergeCell ref="H138:I147"/>
    <mergeCell ref="H149:I158"/>
    <mergeCell ref="H160:I169"/>
    <mergeCell ref="H417:I426"/>
    <mergeCell ref="H428:I437"/>
    <mergeCell ref="A434:A437"/>
    <mergeCell ref="B438:H438"/>
    <mergeCell ref="A439:A440"/>
    <mergeCell ref="H439:I448"/>
    <mergeCell ref="A445:A448"/>
    <mergeCell ref="A501:A504"/>
    <mergeCell ref="A506:A507"/>
    <mergeCell ref="A512:A515"/>
    <mergeCell ref="A517:A518"/>
    <mergeCell ref="A523:A526"/>
    <mergeCell ref="A528:A529"/>
    <mergeCell ref="A534:A537"/>
    <mergeCell ref="A539:A540"/>
    <mergeCell ref="A545:A548"/>
    <mergeCell ref="A550:A551"/>
    <mergeCell ref="A556:A559"/>
    <mergeCell ref="A561:A562"/>
    <mergeCell ref="A567:A570"/>
    <mergeCell ref="A572:A573"/>
    <mergeCell ref="A634:A637"/>
    <mergeCell ref="A639:A640"/>
    <mergeCell ref="A645:A648"/>
    <mergeCell ref="A651:A652"/>
    <mergeCell ref="A657:A660"/>
    <mergeCell ref="A662:A663"/>
    <mergeCell ref="A668:A671"/>
    <mergeCell ref="A673:A674"/>
    <mergeCell ref="A679:A682"/>
    <mergeCell ref="A684:A685"/>
    <mergeCell ref="A690:A693"/>
    <mergeCell ref="A695:A696"/>
    <mergeCell ref="A701:A704"/>
    <mergeCell ref="A707:A708"/>
    <mergeCell ref="A752:A753"/>
    <mergeCell ref="A758:A761"/>
    <mergeCell ref="A763:A764"/>
    <mergeCell ref="A769:A772"/>
    <mergeCell ref="A774:A775"/>
    <mergeCell ref="A780:A783"/>
    <mergeCell ref="A785:A786"/>
    <mergeCell ref="A791:A794"/>
    <mergeCell ref="A713:A716"/>
    <mergeCell ref="A718:A719"/>
    <mergeCell ref="A724:A727"/>
    <mergeCell ref="A730:A731"/>
    <mergeCell ref="A736:A739"/>
    <mergeCell ref="A741:A742"/>
    <mergeCell ref="A747:A750"/>
    <mergeCell ref="H539:I548"/>
    <mergeCell ref="H550:I559"/>
    <mergeCell ref="H561:I570"/>
    <mergeCell ref="H572:I581"/>
    <mergeCell ref="H583:I592"/>
    <mergeCell ref="H595:I604"/>
    <mergeCell ref="H606:I615"/>
    <mergeCell ref="H617:I626"/>
    <mergeCell ref="H628:I637"/>
    <mergeCell ref="H639:I648"/>
    <mergeCell ref="H651:I660"/>
    <mergeCell ref="H662:I671"/>
    <mergeCell ref="H673:I682"/>
    <mergeCell ref="H684:I693"/>
    <mergeCell ref="H774:I783"/>
    <mergeCell ref="H785:I794"/>
    <mergeCell ref="H695:I704"/>
    <mergeCell ref="H707:I716"/>
    <mergeCell ref="H718:I727"/>
    <mergeCell ref="H730:I739"/>
    <mergeCell ref="H741:I750"/>
    <mergeCell ref="H752:I761"/>
    <mergeCell ref="H763:I772"/>
    <mergeCell ref="B627:H627"/>
    <mergeCell ref="B638:H638"/>
    <mergeCell ref="B649:H649"/>
    <mergeCell ref="B650:H650"/>
    <mergeCell ref="B661:H661"/>
    <mergeCell ref="B672:H672"/>
    <mergeCell ref="B683:H683"/>
    <mergeCell ref="B751:H751"/>
    <mergeCell ref="B762:H762"/>
    <mergeCell ref="B773:H773"/>
    <mergeCell ref="B784:H784"/>
    <mergeCell ref="B694:H694"/>
    <mergeCell ref="B705:H705"/>
    <mergeCell ref="B706:H706"/>
    <mergeCell ref="B717:H717"/>
    <mergeCell ref="B728:H728"/>
    <mergeCell ref="B729:H729"/>
    <mergeCell ref="B740:H740"/>
    <mergeCell ref="B449:H449"/>
    <mergeCell ref="B450:H450"/>
    <mergeCell ref="A451:A452"/>
    <mergeCell ref="H451:I460"/>
    <mergeCell ref="A457:A460"/>
    <mergeCell ref="B461:H461"/>
    <mergeCell ref="B472:H472"/>
    <mergeCell ref="A462:A463"/>
    <mergeCell ref="A468:A471"/>
    <mergeCell ref="A473:A474"/>
    <mergeCell ref="A479:A482"/>
    <mergeCell ref="A484:A485"/>
    <mergeCell ref="A490:A493"/>
    <mergeCell ref="A495:A496"/>
    <mergeCell ref="H462:I471"/>
    <mergeCell ref="H473:I482"/>
    <mergeCell ref="H484:I493"/>
    <mergeCell ref="H495:I504"/>
    <mergeCell ref="H506:I515"/>
    <mergeCell ref="H517:I526"/>
    <mergeCell ref="H528:I537"/>
    <mergeCell ref="B483:H483"/>
    <mergeCell ref="B494:H494"/>
    <mergeCell ref="B505:H505"/>
    <mergeCell ref="B516:H516"/>
    <mergeCell ref="B527:H527"/>
    <mergeCell ref="B538:H538"/>
    <mergeCell ref="B549:H549"/>
    <mergeCell ref="A617:A618"/>
    <mergeCell ref="A623:A626"/>
    <mergeCell ref="A628:A629"/>
    <mergeCell ref="A578:A581"/>
    <mergeCell ref="A583:A584"/>
    <mergeCell ref="A589:A592"/>
    <mergeCell ref="A595:A596"/>
    <mergeCell ref="A601:A604"/>
    <mergeCell ref="A606:A607"/>
    <mergeCell ref="A612:A615"/>
    <mergeCell ref="B560:H560"/>
    <mergeCell ref="B571:H571"/>
    <mergeCell ref="B582:H582"/>
    <mergeCell ref="B593:H593"/>
    <mergeCell ref="B594:H594"/>
    <mergeCell ref="B605:H605"/>
    <mergeCell ref="B616:H616"/>
    <mergeCell ref="A54:A57"/>
    <mergeCell ref="A59:A60"/>
    <mergeCell ref="A65:A68"/>
    <mergeCell ref="A70:A71"/>
    <mergeCell ref="A76:A79"/>
    <mergeCell ref="A81:A82"/>
    <mergeCell ref="A87:A90"/>
    <mergeCell ref="A92:A93"/>
    <mergeCell ref="A98:A101"/>
    <mergeCell ref="A104:A105"/>
    <mergeCell ref="A110:A113"/>
    <mergeCell ref="A115:A116"/>
    <mergeCell ref="A121:A124"/>
    <mergeCell ref="A127:A128"/>
    <mergeCell ref="A133:A136"/>
    <mergeCell ref="A138:A139"/>
    <mergeCell ref="A144:A147"/>
    <mergeCell ref="A149:A150"/>
    <mergeCell ref="A155:A158"/>
    <mergeCell ref="A160:A161"/>
    <mergeCell ref="A166:A169"/>
    <mergeCell ref="A171:A172"/>
    <mergeCell ref="A177:A180"/>
    <mergeCell ref="A182:A183"/>
    <mergeCell ref="A194:A195"/>
    <mergeCell ref="A205:A206"/>
    <mergeCell ref="A216:A217"/>
    <mergeCell ref="A227:A228"/>
    <mergeCell ref="A317:A318"/>
    <mergeCell ref="A328:A329"/>
    <mergeCell ref="A339:A340"/>
    <mergeCell ref="A350:A351"/>
    <mergeCell ref="A361:A362"/>
    <mergeCell ref="A372:A373"/>
    <mergeCell ref="A383:A384"/>
    <mergeCell ref="A395:A396"/>
    <mergeCell ref="A238:A239"/>
    <mergeCell ref="A250:A251"/>
    <mergeCell ref="A261:A262"/>
    <mergeCell ref="A272:A273"/>
    <mergeCell ref="A283:A284"/>
    <mergeCell ref="A294:A295"/>
    <mergeCell ref="A305:A306"/>
    <mergeCell ref="H171:I180"/>
    <mergeCell ref="H182:I191"/>
    <mergeCell ref="H194:I203"/>
    <mergeCell ref="H205:I214"/>
    <mergeCell ref="B159:H159"/>
    <mergeCell ref="B170:H170"/>
    <mergeCell ref="B181:H181"/>
    <mergeCell ref="A188:A191"/>
    <mergeCell ref="B192:H192"/>
    <mergeCell ref="B193:H193"/>
    <mergeCell ref="B204:H204"/>
    <mergeCell ref="H272:I281"/>
    <mergeCell ref="H283:I292"/>
    <mergeCell ref="A256:A259"/>
    <mergeCell ref="B260:H260"/>
    <mergeCell ref="H261:I270"/>
    <mergeCell ref="A267:A270"/>
    <mergeCell ref="B271:H271"/>
    <mergeCell ref="A278:A281"/>
    <mergeCell ref="B282:H282"/>
    <mergeCell ref="A289:A292"/>
    <mergeCell ref="B293:H293"/>
    <mergeCell ref="H294:I303"/>
    <mergeCell ref="A300:A303"/>
    <mergeCell ref="B304:H304"/>
    <mergeCell ref="H305:I314"/>
    <mergeCell ref="A311:A314"/>
    <mergeCell ref="B315:H315"/>
    <mergeCell ref="B316:H316"/>
    <mergeCell ref="H317:I326"/>
    <mergeCell ref="A323:A326"/>
    <mergeCell ref="B327:H327"/>
    <mergeCell ref="A334:A337"/>
    <mergeCell ref="B338:H338"/>
    <mergeCell ref="A356:A359"/>
    <mergeCell ref="A367:A370"/>
    <mergeCell ref="H328:I337"/>
    <mergeCell ref="H339:I348"/>
    <mergeCell ref="A345:A348"/>
    <mergeCell ref="B349:H349"/>
    <mergeCell ref="H350:I359"/>
    <mergeCell ref="B360:H360"/>
    <mergeCell ref="B371:H371"/>
    <mergeCell ref="H383:I392"/>
    <mergeCell ref="H395:I404"/>
    <mergeCell ref="H361:I370"/>
    <mergeCell ref="H372:I381"/>
    <mergeCell ref="A378:A381"/>
    <mergeCell ref="B382:H382"/>
    <mergeCell ref="A389:A392"/>
    <mergeCell ref="B393:H393"/>
    <mergeCell ref="B394:H394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2326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2345</v>
      </c>
      <c r="C2" s="18"/>
      <c r="D2" s="18"/>
      <c r="E2" s="18"/>
      <c r="F2" s="18"/>
      <c r="G2" s="18"/>
      <c r="H2" s="18"/>
      <c r="I2" s="19"/>
    </row>
    <row r="3" ht="60.0" customHeight="1">
      <c r="A3" s="20" t="s">
        <v>1176</v>
      </c>
      <c r="B3" s="21" t="str">
        <f t="array" ref="B3">iferror(VLOOKUP(INDIRECT(ADDRESS(ROW()+1,COLUMN(), 4)),Dex!$A$2:$C954,3,false),"")</f>
        <v/>
      </c>
      <c r="C3" s="21" t="str">
        <f t="array" ref="C3">iferror(VLOOKUP(INDIRECT(ADDRESS(ROW()+1,COLUMN(), 4)),Dex!$A$2:$C954,3,false),"")</f>
        <v/>
      </c>
      <c r="D3" s="21" t="str">
        <f t="array" ref="D3">iferror(VLOOKUP(INDIRECT(ADDRESS(ROW()+1,COLUMN(), 4)),Dex!$A$2:$C954,3,false),"")</f>
        <v/>
      </c>
      <c r="E3" s="21" t="s">
        <v>1177</v>
      </c>
      <c r="F3" s="21" t="s">
        <v>1177</v>
      </c>
      <c r="G3" s="21" t="s">
        <v>1177</v>
      </c>
      <c r="H3" s="22" t="str">
        <f t="array" ref="H3">iferror(VLOOKUP("TRAINER_PIC_BIRD_KEEPER",Sprites!$A$1:$B954,2,false),"")</f>
        <v/>
      </c>
      <c r="I3" s="23"/>
    </row>
    <row r="4">
      <c r="A4" s="24"/>
      <c r="B4" s="25" t="s">
        <v>208</v>
      </c>
      <c r="C4" s="25" t="s">
        <v>10</v>
      </c>
      <c r="D4" s="25" t="s">
        <v>510</v>
      </c>
      <c r="E4" s="25" t="s">
        <v>1177</v>
      </c>
      <c r="F4" s="25" t="s">
        <v>1177</v>
      </c>
      <c r="G4" s="25" t="s">
        <v>1177</v>
      </c>
      <c r="H4" s="26"/>
    </row>
    <row r="5">
      <c r="A5" s="16" t="s">
        <v>1178</v>
      </c>
      <c r="B5" s="27" t="s">
        <v>2333</v>
      </c>
      <c r="C5" s="27" t="s">
        <v>2324</v>
      </c>
      <c r="D5" s="27" t="s">
        <v>2333</v>
      </c>
      <c r="E5" s="21" t="s">
        <v>1177</v>
      </c>
      <c r="F5" s="21" t="s">
        <v>1177</v>
      </c>
      <c r="G5" s="21" t="s">
        <v>1177</v>
      </c>
      <c r="H5" s="26"/>
    </row>
    <row r="6">
      <c r="A6" s="16" t="s">
        <v>1181</v>
      </c>
      <c r="B6" s="28" t="s">
        <v>1613</v>
      </c>
      <c r="C6" s="28" t="s">
        <v>1247</v>
      </c>
      <c r="D6" s="28" t="s">
        <v>1962</v>
      </c>
      <c r="E6" s="28" t="s">
        <v>1177</v>
      </c>
      <c r="F6" s="28" t="s">
        <v>1177</v>
      </c>
      <c r="G6" s="28" t="s">
        <v>1177</v>
      </c>
      <c r="H6" s="26"/>
    </row>
    <row r="7">
      <c r="A7" s="16" t="s">
        <v>1182</v>
      </c>
      <c r="B7" s="21" t="s">
        <v>1211</v>
      </c>
      <c r="C7" s="21" t="s">
        <v>1444</v>
      </c>
      <c r="D7" s="21" t="s">
        <v>1405</v>
      </c>
      <c r="E7" s="21" t="s">
        <v>1177</v>
      </c>
      <c r="F7" s="21" t="s">
        <v>1177</v>
      </c>
      <c r="G7" s="21" t="s">
        <v>1177</v>
      </c>
      <c r="H7" s="26"/>
    </row>
    <row r="8">
      <c r="A8" s="16" t="s">
        <v>1186</v>
      </c>
      <c r="B8" s="28" t="s">
        <v>1235</v>
      </c>
      <c r="C8" s="28" t="s">
        <v>1284</v>
      </c>
      <c r="D8" s="28" t="s">
        <v>1235</v>
      </c>
      <c r="E8" s="28" t="s">
        <v>1177</v>
      </c>
      <c r="F8" s="28" t="s">
        <v>1177</v>
      </c>
      <c r="G8" s="28" t="s">
        <v>1177</v>
      </c>
      <c r="H8" s="26"/>
    </row>
    <row r="9">
      <c r="A9" s="20" t="s">
        <v>1188</v>
      </c>
      <c r="B9" s="21" t="s">
        <v>1678</v>
      </c>
      <c r="C9" s="21" t="s">
        <v>2185</v>
      </c>
      <c r="D9" s="21" t="s">
        <v>1607</v>
      </c>
      <c r="E9" s="21" t="s">
        <v>1177</v>
      </c>
      <c r="F9" s="21" t="s">
        <v>1177</v>
      </c>
      <c r="G9" s="21" t="s">
        <v>1177</v>
      </c>
      <c r="H9" s="26"/>
    </row>
    <row r="10">
      <c r="A10" s="29"/>
      <c r="B10" s="21" t="s">
        <v>1817</v>
      </c>
      <c r="C10" s="21" t="s">
        <v>1822</v>
      </c>
      <c r="D10" s="21" t="s">
        <v>1236</v>
      </c>
      <c r="E10" s="21" t="s">
        <v>1177</v>
      </c>
      <c r="F10" s="21" t="s">
        <v>1177</v>
      </c>
      <c r="G10" s="21" t="s">
        <v>1177</v>
      </c>
      <c r="H10" s="26"/>
    </row>
    <row r="11">
      <c r="A11" s="29"/>
      <c r="B11" s="21" t="s">
        <v>1959</v>
      </c>
      <c r="C11" s="21" t="s">
        <v>2022</v>
      </c>
      <c r="D11" s="21" t="s">
        <v>1671</v>
      </c>
      <c r="E11" s="21" t="s">
        <v>1177</v>
      </c>
      <c r="F11" s="21" t="s">
        <v>1177</v>
      </c>
      <c r="G11" s="21" t="s">
        <v>1177</v>
      </c>
      <c r="H11" s="26"/>
    </row>
    <row r="12">
      <c r="A12" s="24"/>
      <c r="B12" s="21" t="s">
        <v>1194</v>
      </c>
      <c r="C12" s="21" t="s">
        <v>1896</v>
      </c>
      <c r="D12" s="21" t="s">
        <v>1641</v>
      </c>
      <c r="E12" s="21" t="s">
        <v>1177</v>
      </c>
      <c r="F12" s="21" t="s">
        <v>1177</v>
      </c>
      <c r="G12" s="21" t="s">
        <v>1177</v>
      </c>
      <c r="H12" s="30"/>
      <c r="I12" s="14"/>
    </row>
    <row r="13">
      <c r="A13" s="16" t="s">
        <v>1174</v>
      </c>
      <c r="B13" s="17" t="s">
        <v>2346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4)),Dex!$A$2:$C954,3,false),"")</f>
        <v/>
      </c>
      <c r="C14" s="21" t="str">
        <f t="array" ref="C14">iferror(VLOOKUP(INDIRECT(ADDRESS(ROW()+1,COLUMN(), 4)),Dex!$A$2:$C954,3,false),"")</f>
        <v/>
      </c>
      <c r="D14" s="21" t="str">
        <f t="array" ref="D14">iferror(VLOOKUP(INDIRECT(ADDRESS(ROW()+1,COLUMN(), 4)),Dex!$A$2:$C954,3,false),"")</f>
        <v/>
      </c>
      <c r="E14" s="21" t="str">
        <f t="array" ref="E14">iferror(VLOOKUP(INDIRECT(ADDRESS(ROW()+1,COLUMN(), 4)),Dex!$A$2:$C954,3,false),"")</f>
        <v/>
      </c>
      <c r="F14" s="21" t="str">
        <f t="array" ref="F14">iferror(VLOOKUP(INDIRECT(ADDRESS(ROW()+1,COLUMN(), 4)),Dex!$A$2:$C954,3,false),"")</f>
        <v/>
      </c>
      <c r="G14" s="21" t="s">
        <v>1177</v>
      </c>
      <c r="H14" s="22" t="str">
        <f t="array" ref="H14">iferror(VLOOKUP("TRAINER_PIC_COOLTRAINER_M",Sprites!$A$1:$B954,2,false),"")</f>
        <v/>
      </c>
      <c r="I14" s="23"/>
    </row>
    <row r="15">
      <c r="A15" s="24"/>
      <c r="B15" s="25" t="s">
        <v>543</v>
      </c>
      <c r="C15" s="25" t="s">
        <v>350</v>
      </c>
      <c r="D15" s="25" t="s">
        <v>1132</v>
      </c>
      <c r="E15" s="25" t="s">
        <v>97</v>
      </c>
      <c r="F15" s="25" t="s">
        <v>1113</v>
      </c>
      <c r="G15" s="25" t="s">
        <v>1177</v>
      </c>
      <c r="H15" s="26"/>
    </row>
    <row r="16">
      <c r="A16" s="16" t="s">
        <v>1178</v>
      </c>
      <c r="B16" s="27" t="s">
        <v>2324</v>
      </c>
      <c r="C16" s="27" t="s">
        <v>2324</v>
      </c>
      <c r="D16" s="27" t="s">
        <v>2333</v>
      </c>
      <c r="E16" s="27" t="s">
        <v>2333</v>
      </c>
      <c r="F16" s="27" t="s">
        <v>2208</v>
      </c>
      <c r="G16" s="21" t="s">
        <v>1177</v>
      </c>
      <c r="H16" s="26"/>
    </row>
    <row r="17">
      <c r="A17" s="16" t="s">
        <v>1181</v>
      </c>
      <c r="B17" s="28" t="s">
        <v>2145</v>
      </c>
      <c r="C17" s="28" t="s">
        <v>1333</v>
      </c>
      <c r="D17" s="28" t="s">
        <v>1295</v>
      </c>
      <c r="E17" s="28" t="s">
        <v>1247</v>
      </c>
      <c r="F17" s="28" t="s">
        <v>2347</v>
      </c>
      <c r="G17" s="28" t="s">
        <v>1177</v>
      </c>
      <c r="H17" s="26"/>
    </row>
    <row r="18">
      <c r="A18" s="16" t="s">
        <v>1182</v>
      </c>
      <c r="B18" s="21" t="s">
        <v>2103</v>
      </c>
      <c r="C18" s="21" t="s">
        <v>1648</v>
      </c>
      <c r="D18" s="21" t="s">
        <v>2030</v>
      </c>
      <c r="E18" s="21" t="s">
        <v>1356</v>
      </c>
      <c r="F18" s="21" t="s">
        <v>1917</v>
      </c>
      <c r="G18" s="21" t="s">
        <v>1177</v>
      </c>
      <c r="H18" s="26"/>
    </row>
    <row r="19">
      <c r="A19" s="16" t="s">
        <v>1186</v>
      </c>
      <c r="B19" s="28" t="s">
        <v>1284</v>
      </c>
      <c r="C19" s="28" t="s">
        <v>1248</v>
      </c>
      <c r="D19" s="28" t="s">
        <v>1234</v>
      </c>
      <c r="E19" s="28" t="s">
        <v>1284</v>
      </c>
      <c r="F19" s="28" t="s">
        <v>1257</v>
      </c>
      <c r="G19" s="28" t="s">
        <v>1177</v>
      </c>
      <c r="H19" s="26"/>
    </row>
    <row r="20">
      <c r="A20" s="20" t="s">
        <v>1188</v>
      </c>
      <c r="B20" s="21" t="s">
        <v>1619</v>
      </c>
      <c r="C20" s="21" t="s">
        <v>1760</v>
      </c>
      <c r="D20" s="21" t="s">
        <v>2268</v>
      </c>
      <c r="E20" s="21" t="s">
        <v>1731</v>
      </c>
      <c r="F20" s="21" t="s">
        <v>1261</v>
      </c>
      <c r="G20" s="21" t="s">
        <v>1177</v>
      </c>
      <c r="H20" s="26"/>
    </row>
    <row r="21">
      <c r="A21" s="29"/>
      <c r="B21" s="21" t="s">
        <v>1830</v>
      </c>
      <c r="C21" s="21" t="s">
        <v>2098</v>
      </c>
      <c r="D21" s="21" t="s">
        <v>1452</v>
      </c>
      <c r="E21" s="21" t="s">
        <v>1605</v>
      </c>
      <c r="F21" s="21" t="s">
        <v>1711</v>
      </c>
      <c r="G21" s="21" t="s">
        <v>1177</v>
      </c>
      <c r="H21" s="26"/>
    </row>
    <row r="22">
      <c r="A22" s="29"/>
      <c r="B22" s="21" t="s">
        <v>1663</v>
      </c>
      <c r="C22" s="21" t="s">
        <v>1677</v>
      </c>
      <c r="D22" s="21" t="s">
        <v>1758</v>
      </c>
      <c r="E22" s="21" t="s">
        <v>1587</v>
      </c>
      <c r="F22" s="21" t="s">
        <v>1921</v>
      </c>
      <c r="G22" s="21" t="s">
        <v>1177</v>
      </c>
      <c r="H22" s="26"/>
    </row>
    <row r="23">
      <c r="A23" s="24"/>
      <c r="B23" s="21" t="s">
        <v>2022</v>
      </c>
      <c r="C23" s="21" t="s">
        <v>1705</v>
      </c>
      <c r="D23" s="21" t="s">
        <v>1804</v>
      </c>
      <c r="E23" s="21" t="s">
        <v>1896</v>
      </c>
      <c r="F23" s="21" t="s">
        <v>1698</v>
      </c>
      <c r="G23" s="21" t="s">
        <v>1177</v>
      </c>
      <c r="H23" s="30"/>
      <c r="I23" s="14"/>
    </row>
    <row r="24">
      <c r="A24" s="16" t="s">
        <v>1174</v>
      </c>
      <c r="B24" s="17" t="s">
        <v>2348</v>
      </c>
      <c r="C24" s="18"/>
      <c r="D24" s="18"/>
      <c r="E24" s="18"/>
      <c r="F24" s="18"/>
      <c r="G24" s="18"/>
      <c r="H24" s="18"/>
      <c r="I24" s="19"/>
    </row>
    <row r="25" ht="60.0" customHeight="1">
      <c r="A25" s="20" t="s">
        <v>1176</v>
      </c>
      <c r="B25" s="21" t="str">
        <f t="array" ref="B25">iferror(VLOOKUP(INDIRECT(ADDRESS(ROW()+1,COLUMN(), 4)),Dex!$A$2:$C954,3,false),"")</f>
        <v/>
      </c>
      <c r="C25" s="21" t="str">
        <f t="array" ref="C25">iferror(VLOOKUP(INDIRECT(ADDRESS(ROW()+1,COLUMN(), 4)),Dex!$A$2:$C954,3,false),"")</f>
        <v/>
      </c>
      <c r="D25" s="21" t="str">
        <f t="array" ref="D25">iferror(VLOOKUP(INDIRECT(ADDRESS(ROW()+1,COLUMN(), 4)),Dex!$A$2:$C954,3,false),"")</f>
        <v/>
      </c>
      <c r="E25" s="21" t="s">
        <v>1177</v>
      </c>
      <c r="F25" s="21" t="str">
        <f t="array" ref="F25">iferror(VLOOKUP(INDIRECT(ADDRESS(ROW()+1,COLUMN(), 4)),Dex!$A$2:$C954,3,false),"")</f>
        <v/>
      </c>
      <c r="G25" s="21" t="str">
        <f t="array" ref="G25">iferror(VLOOKUP(INDIRECT(ADDRESS(ROW()+1,COLUMN(), 4)),Dex!$A$2:$C954,3,false),"")</f>
        <v/>
      </c>
      <c r="H25" s="22" t="str">
        <f t="array" ref="H25">iferror(VLOOKUP("TRAINER_PIC_BATTLE_GIRL",Sprites!$A$1:$B954,2,false),"")</f>
        <v/>
      </c>
      <c r="I25" s="23"/>
    </row>
    <row r="26">
      <c r="A26" s="24"/>
      <c r="B26" s="25" t="s">
        <v>482</v>
      </c>
      <c r="C26" s="25" t="s">
        <v>301</v>
      </c>
      <c r="D26" s="25" t="s">
        <v>674</v>
      </c>
      <c r="E26" s="25" t="s">
        <v>1177</v>
      </c>
      <c r="F26" s="25" t="s">
        <v>691</v>
      </c>
      <c r="G26" s="25" t="s">
        <v>94</v>
      </c>
      <c r="H26" s="26"/>
    </row>
    <row r="27">
      <c r="A27" s="16" t="s">
        <v>1178</v>
      </c>
      <c r="B27" s="27" t="s">
        <v>2324</v>
      </c>
      <c r="C27" s="27" t="s">
        <v>2324</v>
      </c>
      <c r="D27" s="27" t="s">
        <v>2208</v>
      </c>
      <c r="E27" s="21" t="s">
        <v>1177</v>
      </c>
      <c r="F27" s="27" t="s">
        <v>2208</v>
      </c>
      <c r="G27" s="27" t="s">
        <v>2208</v>
      </c>
      <c r="H27" s="26"/>
    </row>
    <row r="28">
      <c r="A28" s="16" t="s">
        <v>1181</v>
      </c>
      <c r="B28" s="28" t="s">
        <v>1838</v>
      </c>
      <c r="C28" s="28" t="s">
        <v>1434</v>
      </c>
      <c r="D28" s="28" t="s">
        <v>1882</v>
      </c>
      <c r="E28" s="28" t="s">
        <v>1177</v>
      </c>
      <c r="F28" s="28" t="s">
        <v>1209</v>
      </c>
      <c r="G28" s="28" t="s">
        <v>1209</v>
      </c>
      <c r="H28" s="26"/>
    </row>
    <row r="29">
      <c r="A29" s="16" t="s">
        <v>1182</v>
      </c>
      <c r="B29" s="21" t="s">
        <v>1783</v>
      </c>
      <c r="C29" s="21" t="s">
        <v>1626</v>
      </c>
      <c r="D29" s="21" t="s">
        <v>1669</v>
      </c>
      <c r="E29" s="21" t="s">
        <v>1177</v>
      </c>
      <c r="F29" s="21" t="s">
        <v>1199</v>
      </c>
      <c r="G29" s="21" t="s">
        <v>1212</v>
      </c>
      <c r="H29" s="26"/>
    </row>
    <row r="30">
      <c r="A30" s="16" t="s">
        <v>1186</v>
      </c>
      <c r="B30" s="28" t="s">
        <v>1235</v>
      </c>
      <c r="C30" s="28" t="s">
        <v>1235</v>
      </c>
      <c r="D30" s="28" t="s">
        <v>1235</v>
      </c>
      <c r="E30" s="28" t="s">
        <v>1177</v>
      </c>
      <c r="F30" s="28" t="s">
        <v>1235</v>
      </c>
      <c r="G30" s="28" t="s">
        <v>1300</v>
      </c>
      <c r="H30" s="26"/>
    </row>
    <row r="31">
      <c r="A31" s="20" t="s">
        <v>1188</v>
      </c>
      <c r="B31" s="21" t="s">
        <v>2317</v>
      </c>
      <c r="C31" s="21" t="s">
        <v>1432</v>
      </c>
      <c r="D31" s="21" t="s">
        <v>1609</v>
      </c>
      <c r="E31" s="21" t="s">
        <v>1177</v>
      </c>
      <c r="F31" s="21" t="s">
        <v>1874</v>
      </c>
      <c r="G31" s="21" t="s">
        <v>1874</v>
      </c>
      <c r="H31" s="26"/>
    </row>
    <row r="32">
      <c r="A32" s="29"/>
      <c r="B32" s="21" t="s">
        <v>1469</v>
      </c>
      <c r="C32" s="21" t="s">
        <v>1466</v>
      </c>
      <c r="D32" s="21" t="s">
        <v>1779</v>
      </c>
      <c r="E32" s="21" t="s">
        <v>1177</v>
      </c>
      <c r="F32" s="21" t="s">
        <v>1967</v>
      </c>
      <c r="G32" s="21" t="s">
        <v>1251</v>
      </c>
      <c r="H32" s="26"/>
    </row>
    <row r="33">
      <c r="A33" s="29"/>
      <c r="B33" s="21" t="s">
        <v>1425</v>
      </c>
      <c r="C33" s="21" t="s">
        <v>1814</v>
      </c>
      <c r="D33" s="21" t="s">
        <v>1759</v>
      </c>
      <c r="E33" s="21" t="s">
        <v>1177</v>
      </c>
      <c r="F33" s="21" t="s">
        <v>2349</v>
      </c>
      <c r="G33" s="21" t="s">
        <v>2349</v>
      </c>
      <c r="H33" s="26"/>
    </row>
    <row r="34">
      <c r="A34" s="24"/>
      <c r="B34" s="21" t="s">
        <v>1621</v>
      </c>
      <c r="C34" s="21" t="s">
        <v>1779</v>
      </c>
      <c r="D34" s="21" t="s">
        <v>1743</v>
      </c>
      <c r="E34" s="21" t="s">
        <v>1177</v>
      </c>
      <c r="F34" s="21" t="s">
        <v>1389</v>
      </c>
      <c r="G34" s="21" t="s">
        <v>1311</v>
      </c>
      <c r="H34" s="30"/>
      <c r="I34" s="14"/>
    </row>
    <row r="35">
      <c r="A35" s="16" t="s">
        <v>1174</v>
      </c>
      <c r="B35" s="17" t="s">
        <v>2350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4)),Dex!$A$2:$C954,3,false),"")</f>
        <v/>
      </c>
      <c r="C36" s="21" t="str">
        <f t="array" ref="C36">iferror(VLOOKUP(INDIRECT(ADDRESS(ROW()+1,COLUMN(), 4)),Dex!$A$2:$C954,3,false),"")</f>
        <v/>
      </c>
      <c r="D36" s="21" t="str">
        <f t="array" ref="D36">iferror(VLOOKUP(INDIRECT(ADDRESS(ROW()+1,COLUMN(), 4)),Dex!$A$2:$C954,3,false),"")</f>
        <v/>
      </c>
      <c r="E36" s="21" t="str">
        <f t="array" ref="E36">iferror(VLOOKUP(INDIRECT(ADDRESS(ROW()+1,COLUMN(), 4)),Dex!$A$2:$C954,3,false),"")</f>
        <v/>
      </c>
      <c r="F36" s="21" t="s">
        <v>1177</v>
      </c>
      <c r="G36" s="21" t="s">
        <v>1177</v>
      </c>
      <c r="H36" s="22" t="str">
        <f t="array" ref="H36">iferror(VLOOKUP("TRAINER_PIC_PARASOL_LADY",Sprites!$A$1:$B954,2,false),"")</f>
        <v/>
      </c>
      <c r="I36" s="23"/>
    </row>
    <row r="37">
      <c r="A37" s="24"/>
      <c r="B37" s="25" t="s">
        <v>777</v>
      </c>
      <c r="C37" s="25" t="s">
        <v>168</v>
      </c>
      <c r="D37" s="25" t="s">
        <v>547</v>
      </c>
      <c r="E37" s="25" t="s">
        <v>669</v>
      </c>
      <c r="F37" s="25" t="s">
        <v>1177</v>
      </c>
      <c r="G37" s="25" t="s">
        <v>1177</v>
      </c>
      <c r="H37" s="26"/>
    </row>
    <row r="38">
      <c r="A38" s="16" t="s">
        <v>1178</v>
      </c>
      <c r="B38" s="27" t="s">
        <v>2208</v>
      </c>
      <c r="C38" s="27" t="s">
        <v>2351</v>
      </c>
      <c r="D38" s="27" t="s">
        <v>2324</v>
      </c>
      <c r="E38" s="27" t="s">
        <v>2324</v>
      </c>
      <c r="F38" s="21" t="s">
        <v>1177</v>
      </c>
      <c r="G38" s="21" t="s">
        <v>1177</v>
      </c>
      <c r="H38" s="26"/>
    </row>
    <row r="39">
      <c r="A39" s="16" t="s">
        <v>1181</v>
      </c>
      <c r="B39" s="28" t="s">
        <v>1209</v>
      </c>
      <c r="C39" s="28" t="s">
        <v>1403</v>
      </c>
      <c r="D39" s="28" t="s">
        <v>2352</v>
      </c>
      <c r="E39" s="28" t="s">
        <v>2145</v>
      </c>
      <c r="F39" s="28" t="s">
        <v>1177</v>
      </c>
      <c r="G39" s="28" t="s">
        <v>1177</v>
      </c>
      <c r="H39" s="26"/>
    </row>
    <row r="40">
      <c r="A40" s="16" t="s">
        <v>1182</v>
      </c>
      <c r="B40" s="21" t="s">
        <v>1357</v>
      </c>
      <c r="C40" s="21" t="s">
        <v>1283</v>
      </c>
      <c r="D40" s="21" t="s">
        <v>1368</v>
      </c>
      <c r="E40" s="21" t="s">
        <v>1844</v>
      </c>
      <c r="F40" s="21" t="s">
        <v>1177</v>
      </c>
      <c r="G40" s="21" t="s">
        <v>1177</v>
      </c>
      <c r="H40" s="26"/>
    </row>
    <row r="41">
      <c r="A41" s="16" t="s">
        <v>1186</v>
      </c>
      <c r="B41" s="28" t="s">
        <v>1234</v>
      </c>
      <c r="C41" s="28" t="s">
        <v>1257</v>
      </c>
      <c r="D41" s="28" t="s">
        <v>1284</v>
      </c>
      <c r="E41" s="28" t="s">
        <v>1257</v>
      </c>
      <c r="F41" s="28" t="s">
        <v>1177</v>
      </c>
      <c r="G41" s="28" t="s">
        <v>1177</v>
      </c>
      <c r="H41" s="26"/>
    </row>
    <row r="42">
      <c r="A42" s="20" t="s">
        <v>1188</v>
      </c>
      <c r="B42" s="21" t="s">
        <v>1677</v>
      </c>
      <c r="C42" s="21" t="s">
        <v>1288</v>
      </c>
      <c r="D42" s="21" t="s">
        <v>1742</v>
      </c>
      <c r="E42" s="21" t="s">
        <v>1731</v>
      </c>
      <c r="F42" s="21" t="s">
        <v>1177</v>
      </c>
      <c r="G42" s="21" t="s">
        <v>1177</v>
      </c>
      <c r="H42" s="26"/>
    </row>
    <row r="43">
      <c r="A43" s="29"/>
      <c r="B43" s="21" t="s">
        <v>1670</v>
      </c>
      <c r="C43" s="21" t="s">
        <v>1896</v>
      </c>
      <c r="D43" s="21" t="s">
        <v>1605</v>
      </c>
      <c r="E43" s="21" t="s">
        <v>1815</v>
      </c>
      <c r="F43" s="21" t="s">
        <v>1177</v>
      </c>
      <c r="G43" s="21" t="s">
        <v>1177</v>
      </c>
      <c r="H43" s="26"/>
    </row>
    <row r="44">
      <c r="A44" s="29"/>
      <c r="B44" s="21" t="s">
        <v>1695</v>
      </c>
      <c r="C44" s="21" t="s">
        <v>1980</v>
      </c>
      <c r="D44" s="21" t="s">
        <v>1726</v>
      </c>
      <c r="E44" s="21" t="s">
        <v>1698</v>
      </c>
      <c r="F44" s="21" t="s">
        <v>1177</v>
      </c>
      <c r="G44" s="21" t="s">
        <v>1177</v>
      </c>
      <c r="H44" s="26"/>
    </row>
    <row r="45">
      <c r="A45" s="24"/>
      <c r="B45" s="21" t="s">
        <v>1705</v>
      </c>
      <c r="C45" s="21" t="s">
        <v>1362</v>
      </c>
      <c r="D45" s="21" t="s">
        <v>1771</v>
      </c>
      <c r="E45" s="21" t="s">
        <v>1750</v>
      </c>
      <c r="F45" s="21" t="s">
        <v>1177</v>
      </c>
      <c r="G45" s="21" t="s">
        <v>1177</v>
      </c>
      <c r="H45" s="30"/>
      <c r="I45" s="14"/>
    </row>
    <row r="46">
      <c r="A46" s="16" t="s">
        <v>1174</v>
      </c>
      <c r="B46" s="17" t="s">
        <v>2353</v>
      </c>
      <c r="C46" s="18"/>
      <c r="D46" s="18"/>
      <c r="E46" s="18"/>
      <c r="F46" s="18"/>
      <c r="G46" s="18"/>
      <c r="H46" s="18"/>
      <c r="I46" s="16"/>
    </row>
    <row r="47" ht="60.0" customHeight="1">
      <c r="A47" s="20" t="s">
        <v>1176</v>
      </c>
      <c r="B47" s="21" t="str">
        <f t="array" ref="B47">iferror(VLOOKUP(INDIRECT(ADDRESS(ROW()+1,COLUMN(), 4)),Dex!$A$2:$C954,3,false),"")</f>
        <v/>
      </c>
      <c r="C47" s="21" t="str">
        <f t="array" ref="C47">iferror(VLOOKUP(INDIRECT(ADDRESS(ROW()+1,COLUMN(), 4)),Dex!$A$2:$C954,3,false),"")</f>
        <v/>
      </c>
      <c r="D47" s="21" t="str">
        <f t="array" ref="D47">iferror(VLOOKUP(INDIRECT(ADDRESS(ROW()+1,COLUMN(), 4)),Dex!$A$2:$C954,3,false),"")</f>
        <v/>
      </c>
      <c r="E47" s="21" t="str">
        <f t="array" ref="E47">iferror(VLOOKUP(INDIRECT(ADDRESS(ROW()+1,COLUMN(), 4)),Dex!$A$2:$C954,3,false),"")</f>
        <v/>
      </c>
      <c r="F47" s="21" t="s">
        <v>1177</v>
      </c>
      <c r="G47" s="21" t="s">
        <v>1177</v>
      </c>
      <c r="H47" s="22" t="str">
        <f t="array" ref="H47">iferror(VLOOKUP("TRAINER_PIC_POKEMON_RANGER_F",Sprites!$A$1:$B954,2,false),"")</f>
        <v/>
      </c>
      <c r="I47" s="23"/>
    </row>
    <row r="48">
      <c r="A48" s="24"/>
      <c r="B48" s="25" t="s">
        <v>865</v>
      </c>
      <c r="C48" s="25" t="s">
        <v>847</v>
      </c>
      <c r="D48" s="25" t="s">
        <v>735</v>
      </c>
      <c r="E48" s="25" t="s">
        <v>701</v>
      </c>
      <c r="F48" s="25" t="s">
        <v>1177</v>
      </c>
      <c r="G48" s="25" t="s">
        <v>1177</v>
      </c>
      <c r="H48" s="26"/>
    </row>
    <row r="49">
      <c r="A49" s="16" t="s">
        <v>1178</v>
      </c>
      <c r="B49" s="27" t="s">
        <v>2324</v>
      </c>
      <c r="C49" s="27" t="s">
        <v>2324</v>
      </c>
      <c r="D49" s="27" t="s">
        <v>2208</v>
      </c>
      <c r="E49" s="27" t="s">
        <v>2324</v>
      </c>
      <c r="F49" s="21" t="s">
        <v>1177</v>
      </c>
      <c r="G49" s="21" t="s">
        <v>1177</v>
      </c>
      <c r="H49" s="26"/>
    </row>
    <row r="50">
      <c r="A50" s="16" t="s">
        <v>1181</v>
      </c>
      <c r="B50" s="28" t="s">
        <v>1702</v>
      </c>
      <c r="C50" s="28" t="s">
        <v>2354</v>
      </c>
      <c r="D50" s="28" t="s">
        <v>1247</v>
      </c>
      <c r="E50" s="28" t="s">
        <v>1295</v>
      </c>
      <c r="F50" s="28" t="s">
        <v>1177</v>
      </c>
      <c r="G50" s="28" t="s">
        <v>1177</v>
      </c>
      <c r="H50" s="26"/>
    </row>
    <row r="51">
      <c r="A51" s="16" t="s">
        <v>1182</v>
      </c>
      <c r="B51" s="21" t="s">
        <v>2082</v>
      </c>
      <c r="C51" s="21" t="s">
        <v>1907</v>
      </c>
      <c r="D51" s="21" t="s">
        <v>1730</v>
      </c>
      <c r="E51" s="21" t="s">
        <v>1223</v>
      </c>
      <c r="F51" s="21" t="s">
        <v>1177</v>
      </c>
      <c r="G51" s="21" t="s">
        <v>1177</v>
      </c>
      <c r="H51" s="26"/>
    </row>
    <row r="52">
      <c r="A52" s="16" t="s">
        <v>1186</v>
      </c>
      <c r="B52" s="28" t="s">
        <v>1256</v>
      </c>
      <c r="C52" s="28" t="s">
        <v>1235</v>
      </c>
      <c r="D52" s="28" t="s">
        <v>1284</v>
      </c>
      <c r="E52" s="28" t="s">
        <v>1257</v>
      </c>
      <c r="F52" s="28" t="s">
        <v>1177</v>
      </c>
      <c r="G52" s="28" t="s">
        <v>1177</v>
      </c>
      <c r="H52" s="26"/>
    </row>
    <row r="53">
      <c r="A53" s="20" t="s">
        <v>1188</v>
      </c>
      <c r="B53" s="21" t="s">
        <v>2198</v>
      </c>
      <c r="C53" s="21" t="s">
        <v>1874</v>
      </c>
      <c r="D53" s="21" t="s">
        <v>1731</v>
      </c>
      <c r="E53" s="21" t="s">
        <v>2355</v>
      </c>
      <c r="F53" s="21" t="s">
        <v>1177</v>
      </c>
      <c r="G53" s="21" t="s">
        <v>1177</v>
      </c>
      <c r="H53" s="26"/>
    </row>
    <row r="54">
      <c r="A54" s="29"/>
      <c r="B54" s="21" t="s">
        <v>1828</v>
      </c>
      <c r="C54" s="21" t="s">
        <v>1307</v>
      </c>
      <c r="D54" s="21" t="s">
        <v>1724</v>
      </c>
      <c r="E54" s="21" t="s">
        <v>1622</v>
      </c>
      <c r="F54" s="21" t="s">
        <v>1177</v>
      </c>
      <c r="G54" s="21" t="s">
        <v>1177</v>
      </c>
      <c r="H54" s="26"/>
    </row>
    <row r="55">
      <c r="A55" s="29"/>
      <c r="B55" s="21" t="s">
        <v>1695</v>
      </c>
      <c r="C55" s="21" t="s">
        <v>1814</v>
      </c>
      <c r="D55" s="21" t="s">
        <v>1726</v>
      </c>
      <c r="E55" s="21" t="s">
        <v>1217</v>
      </c>
      <c r="F55" s="21" t="s">
        <v>1177</v>
      </c>
      <c r="G55" s="21" t="s">
        <v>1177</v>
      </c>
      <c r="H55" s="26"/>
    </row>
    <row r="56">
      <c r="A56" s="24"/>
      <c r="B56" s="21" t="s">
        <v>1854</v>
      </c>
      <c r="C56" s="21" t="s">
        <v>1177</v>
      </c>
      <c r="D56" s="21" t="s">
        <v>1652</v>
      </c>
      <c r="E56" s="21" t="s">
        <v>1657</v>
      </c>
      <c r="F56" s="21" t="s">
        <v>1177</v>
      </c>
      <c r="G56" s="21" t="s">
        <v>1177</v>
      </c>
      <c r="H56" s="30"/>
      <c r="I56" s="14"/>
    </row>
    <row r="57">
      <c r="A57" s="16" t="s">
        <v>1174</v>
      </c>
      <c r="B57" s="17" t="s">
        <v>2356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4)),Dex!$A$2:$C954,3,false),"")</f>
        <v/>
      </c>
      <c r="C58" s="21" t="str">
        <f t="array" ref="C58">iferror(VLOOKUP(INDIRECT(ADDRESS(ROW()+1,COLUMN(), 4)),Dex!$A$2:$C954,3,false),"")</f>
        <v/>
      </c>
      <c r="D58" s="21" t="str">
        <f t="array" ref="D58">iferror(VLOOKUP(INDIRECT(ADDRESS(ROW()+1,COLUMN(), 4)),Dex!$A$2:$C954,3,false),"")</f>
        <v/>
      </c>
      <c r="E58" s="21" t="str">
        <f t="array" ref="E58">iferror(VLOOKUP(INDIRECT(ADDRESS(ROW()+1,COLUMN(), 4)),Dex!$A$2:$C954,3,false),"")</f>
        <v/>
      </c>
      <c r="F58" s="21" t="s">
        <v>1177</v>
      </c>
      <c r="G58" s="21" t="s">
        <v>1177</v>
      </c>
      <c r="H58" s="22" t="str">
        <f t="array" ref="H58">iferror(VLOOKUP("TRAINER_PIC_POKEMON_RANGER_M",Sprites!$A$1:$B954,2,false),"")</f>
        <v/>
      </c>
      <c r="I58" s="23"/>
    </row>
    <row r="59">
      <c r="A59" s="24"/>
      <c r="B59" s="25" t="s">
        <v>963</v>
      </c>
      <c r="C59" s="25" t="s">
        <v>1078</v>
      </c>
      <c r="D59" s="25" t="s">
        <v>327</v>
      </c>
      <c r="E59" s="25" t="s">
        <v>178</v>
      </c>
      <c r="F59" s="25" t="s">
        <v>1177</v>
      </c>
      <c r="G59" s="25" t="s">
        <v>1177</v>
      </c>
      <c r="H59" s="26"/>
    </row>
    <row r="60">
      <c r="A60" s="16" t="s">
        <v>1178</v>
      </c>
      <c r="B60" s="27" t="s">
        <v>2324</v>
      </c>
      <c r="C60" s="27" t="s">
        <v>2208</v>
      </c>
      <c r="D60" s="27" t="s">
        <v>2208</v>
      </c>
      <c r="E60" s="27" t="s">
        <v>2208</v>
      </c>
      <c r="F60" s="21" t="s">
        <v>1177</v>
      </c>
      <c r="G60" s="21" t="s">
        <v>1177</v>
      </c>
      <c r="H60" s="26"/>
    </row>
    <row r="61">
      <c r="A61" s="16" t="s">
        <v>1181</v>
      </c>
      <c r="B61" s="28" t="s">
        <v>1832</v>
      </c>
      <c r="C61" s="28" t="s">
        <v>1209</v>
      </c>
      <c r="D61" s="28" t="s">
        <v>1572</v>
      </c>
      <c r="E61" s="28" t="s">
        <v>1882</v>
      </c>
      <c r="F61" s="28" t="s">
        <v>1177</v>
      </c>
      <c r="G61" s="28" t="s">
        <v>1177</v>
      </c>
      <c r="H61" s="26"/>
    </row>
    <row r="62">
      <c r="A62" s="16" t="s">
        <v>1182</v>
      </c>
      <c r="B62" s="21" t="s">
        <v>2047</v>
      </c>
      <c r="C62" s="21" t="s">
        <v>1748</v>
      </c>
      <c r="D62" s="21" t="s">
        <v>1907</v>
      </c>
      <c r="E62" s="21" t="s">
        <v>2083</v>
      </c>
      <c r="F62" s="21" t="s">
        <v>1177</v>
      </c>
      <c r="G62" s="21" t="s">
        <v>1177</v>
      </c>
      <c r="H62" s="26"/>
    </row>
    <row r="63">
      <c r="A63" s="16" t="s">
        <v>1186</v>
      </c>
      <c r="B63" s="28" t="s">
        <v>1248</v>
      </c>
      <c r="C63" s="28" t="s">
        <v>1257</v>
      </c>
      <c r="D63" s="28" t="s">
        <v>1235</v>
      </c>
      <c r="E63" s="28" t="s">
        <v>1284</v>
      </c>
      <c r="F63" s="28" t="s">
        <v>1177</v>
      </c>
      <c r="G63" s="28" t="s">
        <v>1177</v>
      </c>
      <c r="H63" s="26"/>
    </row>
    <row r="64">
      <c r="A64" s="20" t="s">
        <v>1188</v>
      </c>
      <c r="B64" s="21" t="s">
        <v>1655</v>
      </c>
      <c r="C64" s="21" t="s">
        <v>2061</v>
      </c>
      <c r="D64" s="21" t="s">
        <v>1407</v>
      </c>
      <c r="E64" s="21" t="s">
        <v>1815</v>
      </c>
      <c r="F64" s="21" t="s">
        <v>1177</v>
      </c>
      <c r="G64" s="21" t="s">
        <v>1177</v>
      </c>
      <c r="H64" s="26"/>
    </row>
    <row r="65">
      <c r="A65" s="29"/>
      <c r="B65" s="21" t="s">
        <v>1760</v>
      </c>
      <c r="C65" s="21" t="s">
        <v>1804</v>
      </c>
      <c r="D65" s="21" t="s">
        <v>1804</v>
      </c>
      <c r="E65" s="21" t="s">
        <v>1731</v>
      </c>
      <c r="F65" s="21" t="s">
        <v>1177</v>
      </c>
      <c r="G65" s="21" t="s">
        <v>1177</v>
      </c>
      <c r="H65" s="26"/>
    </row>
    <row r="66">
      <c r="A66" s="29"/>
      <c r="B66" s="21" t="s">
        <v>1575</v>
      </c>
      <c r="C66" s="21" t="s">
        <v>1204</v>
      </c>
      <c r="D66" s="21" t="s">
        <v>1469</v>
      </c>
      <c r="E66" s="21" t="s">
        <v>1726</v>
      </c>
      <c r="F66" s="21" t="s">
        <v>1177</v>
      </c>
      <c r="G66" s="21" t="s">
        <v>1177</v>
      </c>
      <c r="H66" s="26"/>
    </row>
    <row r="67">
      <c r="A67" s="24"/>
      <c r="B67" s="21" t="s">
        <v>1307</v>
      </c>
      <c r="C67" s="21" t="s">
        <v>1398</v>
      </c>
      <c r="D67" s="21" t="s">
        <v>1761</v>
      </c>
      <c r="E67" s="21" t="s">
        <v>1652</v>
      </c>
      <c r="F67" s="21" t="s">
        <v>1177</v>
      </c>
      <c r="G67" s="21" t="s">
        <v>1177</v>
      </c>
      <c r="H67" s="30"/>
      <c r="I67" s="14"/>
    </row>
    <row r="68">
      <c r="A68" s="16" t="s">
        <v>1174</v>
      </c>
      <c r="B68" s="17" t="s">
        <v>2357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4)),Dex!$A$2:$C954,3,false),"")</f>
        <v/>
      </c>
      <c r="C69" s="21" t="str">
        <f t="array" ref="C69">iferror(VLOOKUP(INDIRECT(ADDRESS(ROW()+1,COLUMN(), 4)),Dex!$A$2:$C954,3,false),"")</f>
        <v/>
      </c>
      <c r="D69" s="21" t="str">
        <f t="array" ref="D69">iferror(VLOOKUP(INDIRECT(ADDRESS(ROW()+1,COLUMN(), 4)),Dex!$A$2:$C954,3,false),"")</f>
        <v/>
      </c>
      <c r="E69" s="21" t="s">
        <v>1177</v>
      </c>
      <c r="F69" s="21" t="s">
        <v>1177</v>
      </c>
      <c r="G69" s="21" t="s">
        <v>1177</v>
      </c>
      <c r="H69" s="22" t="str">
        <f t="array" ref="H69">iferror(VLOOKUP("TRAINER_PIC_BUG_MANIAC",Sprites!$A$1:$B954,2,false),"")</f>
        <v/>
      </c>
      <c r="I69" s="23"/>
    </row>
    <row r="70">
      <c r="A70" s="24"/>
      <c r="B70" s="25" t="s">
        <v>837</v>
      </c>
      <c r="C70" s="25" t="s">
        <v>837</v>
      </c>
      <c r="D70" s="25" t="s">
        <v>837</v>
      </c>
      <c r="E70" s="25" t="s">
        <v>1177</v>
      </c>
      <c r="F70" s="25" t="s">
        <v>1177</v>
      </c>
      <c r="G70" s="25" t="s">
        <v>1177</v>
      </c>
      <c r="H70" s="26"/>
    </row>
    <row r="71">
      <c r="A71" s="16" t="s">
        <v>1178</v>
      </c>
      <c r="B71" s="27" t="s">
        <v>2358</v>
      </c>
      <c r="C71" s="27" t="s">
        <v>2358</v>
      </c>
      <c r="D71" s="27" t="s">
        <v>2358</v>
      </c>
      <c r="E71" s="21" t="s">
        <v>1177</v>
      </c>
      <c r="F71" s="21" t="s">
        <v>1177</v>
      </c>
      <c r="G71" s="21" t="s">
        <v>1177</v>
      </c>
      <c r="H71" s="26"/>
    </row>
    <row r="72">
      <c r="A72" s="16" t="s">
        <v>1181</v>
      </c>
      <c r="B72" s="28" t="s">
        <v>1247</v>
      </c>
      <c r="C72" s="28" t="s">
        <v>1247</v>
      </c>
      <c r="D72" s="28" t="s">
        <v>1882</v>
      </c>
      <c r="E72" s="28" t="s">
        <v>1177</v>
      </c>
      <c r="F72" s="28" t="s">
        <v>1177</v>
      </c>
      <c r="G72" s="28" t="s">
        <v>1177</v>
      </c>
      <c r="H72" s="26"/>
    </row>
    <row r="73">
      <c r="A73" s="16" t="s">
        <v>1182</v>
      </c>
      <c r="B73" s="21" t="s">
        <v>1342</v>
      </c>
      <c r="C73" s="21" t="s">
        <v>1342</v>
      </c>
      <c r="D73" s="21" t="s">
        <v>1746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1186</v>
      </c>
      <c r="B74" s="28" t="s">
        <v>1284</v>
      </c>
      <c r="C74" s="28" t="s">
        <v>1284</v>
      </c>
      <c r="D74" s="28" t="s">
        <v>1284</v>
      </c>
      <c r="E74" s="28" t="s">
        <v>1177</v>
      </c>
      <c r="F74" s="28" t="s">
        <v>1177</v>
      </c>
      <c r="G74" s="28" t="s">
        <v>1177</v>
      </c>
      <c r="H74" s="26"/>
    </row>
    <row r="75">
      <c r="A75" s="20" t="s">
        <v>1188</v>
      </c>
      <c r="B75" s="21" t="s">
        <v>1619</v>
      </c>
      <c r="C75" s="21" t="s">
        <v>1650</v>
      </c>
      <c r="D75" s="21" t="s">
        <v>1822</v>
      </c>
      <c r="E75" s="21" t="s">
        <v>1177</v>
      </c>
      <c r="F75" s="21" t="s">
        <v>1177</v>
      </c>
      <c r="G75" s="21" t="s">
        <v>1177</v>
      </c>
      <c r="H75" s="26"/>
    </row>
    <row r="76">
      <c r="A76" s="29"/>
      <c r="B76" s="21" t="s">
        <v>1371</v>
      </c>
      <c r="C76" s="21" t="s">
        <v>1619</v>
      </c>
      <c r="D76" s="21" t="s">
        <v>1650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1608</v>
      </c>
      <c r="C77" s="21" t="s">
        <v>1731</v>
      </c>
      <c r="D77" s="21" t="s">
        <v>1657</v>
      </c>
      <c r="E77" s="21" t="s">
        <v>1177</v>
      </c>
      <c r="F77" s="21" t="s">
        <v>1177</v>
      </c>
      <c r="G77" s="21" t="s">
        <v>1177</v>
      </c>
      <c r="H77" s="26"/>
    </row>
    <row r="78">
      <c r="A78" s="24"/>
      <c r="B78" s="21" t="s">
        <v>1836</v>
      </c>
      <c r="C78" s="21" t="s">
        <v>1657</v>
      </c>
      <c r="D78" s="21" t="s">
        <v>1622</v>
      </c>
      <c r="E78" s="21" t="s">
        <v>1177</v>
      </c>
      <c r="F78" s="21" t="s">
        <v>1177</v>
      </c>
      <c r="G78" s="21" t="s">
        <v>1177</v>
      </c>
      <c r="H78" s="30"/>
      <c r="I78" s="14"/>
    </row>
    <row r="79">
      <c r="A79" s="16" t="s">
        <v>1174</v>
      </c>
      <c r="B79" s="17" t="s">
        <v>2359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4)),Dex!$A$2:$C954,3,false),"")</f>
        <v/>
      </c>
      <c r="C80" s="21" t="str">
        <f t="array" ref="C80">iferror(VLOOKUP(INDIRECT(ADDRESS(ROW()+1,COLUMN(), 4)),Dex!$A$2:$C954,3,false),"")</f>
        <v/>
      </c>
      <c r="D80" s="21" t="str">
        <f t="array" ref="D80">iferror(VLOOKUP(INDIRECT(ADDRESS(ROW()+1,COLUMN(), 4)),Dex!$A$2:$C954,3,false),"")</f>
        <v/>
      </c>
      <c r="E80" s="21" t="str">
        <f t="array" ref="E80">iferror(VLOOKUP(INDIRECT(ADDRESS(ROW()+1,COLUMN(), 4)),Dex!$A$2:$C954,3,false),"")</f>
        <v/>
      </c>
      <c r="F80" s="21" t="s">
        <v>1177</v>
      </c>
      <c r="G80" s="21" t="s">
        <v>1177</v>
      </c>
      <c r="H80" s="22" t="str">
        <f t="array" ref="H80">iferror(VLOOKUP("TRAINER_PIC_RUIN_MANIAC",Sprites!$A$1:$B954,2,false),"")</f>
        <v/>
      </c>
      <c r="I80" s="23"/>
    </row>
    <row r="81">
      <c r="A81" s="24"/>
      <c r="B81" s="25" t="s">
        <v>450</v>
      </c>
      <c r="C81" s="25" t="s">
        <v>448</v>
      </c>
      <c r="D81" s="25" t="s">
        <v>871</v>
      </c>
      <c r="E81" s="25" t="s">
        <v>873</v>
      </c>
      <c r="F81" s="25" t="s">
        <v>1177</v>
      </c>
      <c r="G81" s="25" t="s">
        <v>1177</v>
      </c>
      <c r="H81" s="26"/>
    </row>
    <row r="82">
      <c r="A82" s="16" t="s">
        <v>1178</v>
      </c>
      <c r="B82" s="27" t="s">
        <v>2208</v>
      </c>
      <c r="C82" s="27" t="s">
        <v>2208</v>
      </c>
      <c r="D82" s="27" t="s">
        <v>2324</v>
      </c>
      <c r="E82" s="27" t="s">
        <v>2324</v>
      </c>
      <c r="F82" s="21" t="s">
        <v>1177</v>
      </c>
      <c r="G82" s="21" t="s">
        <v>1177</v>
      </c>
      <c r="H82" s="26"/>
    </row>
    <row r="83">
      <c r="A83" s="16" t="s">
        <v>1181</v>
      </c>
      <c r="B83" s="28" t="s">
        <v>1457</v>
      </c>
      <c r="C83" s="28" t="s">
        <v>1295</v>
      </c>
      <c r="D83" s="28" t="s">
        <v>2276</v>
      </c>
      <c r="E83" s="28" t="s">
        <v>1961</v>
      </c>
      <c r="F83" s="28" t="s">
        <v>1177</v>
      </c>
      <c r="G83" s="28" t="s">
        <v>1177</v>
      </c>
      <c r="H83" s="26"/>
    </row>
    <row r="84">
      <c r="A84" s="16" t="s">
        <v>1182</v>
      </c>
      <c r="B84" s="21" t="s">
        <v>2156</v>
      </c>
      <c r="C84" s="21" t="s">
        <v>2121</v>
      </c>
      <c r="D84" s="21" t="s">
        <v>1692</v>
      </c>
      <c r="E84" s="21" t="s">
        <v>1709</v>
      </c>
      <c r="F84" s="21" t="s">
        <v>1177</v>
      </c>
      <c r="G84" s="21" t="s">
        <v>1177</v>
      </c>
      <c r="H84" s="26"/>
    </row>
    <row r="85">
      <c r="A85" s="16" t="s">
        <v>1186</v>
      </c>
      <c r="B85" s="28" t="s">
        <v>1235</v>
      </c>
      <c r="C85" s="28" t="s">
        <v>1406</v>
      </c>
      <c r="D85" s="28" t="s">
        <v>1235</v>
      </c>
      <c r="E85" s="28" t="s">
        <v>1284</v>
      </c>
      <c r="F85" s="28" t="s">
        <v>1177</v>
      </c>
      <c r="G85" s="28" t="s">
        <v>1177</v>
      </c>
      <c r="H85" s="26"/>
    </row>
    <row r="86">
      <c r="A86" s="20" t="s">
        <v>1188</v>
      </c>
      <c r="B86" s="21" t="s">
        <v>1575</v>
      </c>
      <c r="C86" s="21" t="s">
        <v>1983</v>
      </c>
      <c r="D86" s="21" t="s">
        <v>1974</v>
      </c>
      <c r="E86" s="21" t="s">
        <v>1778</v>
      </c>
      <c r="F86" s="21" t="s">
        <v>1177</v>
      </c>
      <c r="G86" s="21" t="s">
        <v>1177</v>
      </c>
      <c r="H86" s="26"/>
    </row>
    <row r="87">
      <c r="A87" s="29"/>
      <c r="B87" s="21" t="s">
        <v>1360</v>
      </c>
      <c r="C87" s="21" t="s">
        <v>1438</v>
      </c>
      <c r="D87" s="21" t="s">
        <v>1919</v>
      </c>
      <c r="E87" s="21" t="s">
        <v>1835</v>
      </c>
      <c r="F87" s="21" t="s">
        <v>1177</v>
      </c>
      <c r="G87" s="21" t="s">
        <v>1177</v>
      </c>
      <c r="H87" s="26"/>
    </row>
    <row r="88">
      <c r="A88" s="29"/>
      <c r="B88" s="21" t="s">
        <v>1307</v>
      </c>
      <c r="C88" s="21" t="s">
        <v>1761</v>
      </c>
      <c r="D88" s="21" t="s">
        <v>1677</v>
      </c>
      <c r="E88" s="21" t="s">
        <v>1618</v>
      </c>
      <c r="F88" s="21" t="s">
        <v>1177</v>
      </c>
      <c r="G88" s="21" t="s">
        <v>1177</v>
      </c>
      <c r="H88" s="26"/>
    </row>
    <row r="89">
      <c r="A89" s="24"/>
      <c r="B89" s="21" t="s">
        <v>1705</v>
      </c>
      <c r="C89" s="21" t="s">
        <v>1473</v>
      </c>
      <c r="D89" s="21" t="s">
        <v>1959</v>
      </c>
      <c r="E89" s="21" t="s">
        <v>1959</v>
      </c>
      <c r="F89" s="21" t="s">
        <v>1177</v>
      </c>
      <c r="G89" s="21" t="s">
        <v>1177</v>
      </c>
      <c r="H89" s="30"/>
      <c r="I89" s="14"/>
    </row>
    <row r="90">
      <c r="A90" s="16" t="s">
        <v>1174</v>
      </c>
      <c r="B90" s="17" t="s">
        <v>2360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4)),Dex!$A$2:$C954,3,false),"")</f>
        <v/>
      </c>
      <c r="C91" s="21" t="str">
        <f t="array" ref="C91">iferror(VLOOKUP(INDIRECT(ADDRESS(ROW()+1,COLUMN(), 4)),Dex!$A$2:$C954,3,false),"")</f>
        <v/>
      </c>
      <c r="D91" s="21" t="str">
        <f t="array" ref="D91">iferror(VLOOKUP(INDIRECT(ADDRESS(ROW()+1,COLUMN(), 4)),Dex!$A$2:$C954,3,false),"")</f>
        <v/>
      </c>
      <c r="E91" s="21" t="str">
        <f t="array" ref="E91">iferror(VLOOKUP(INDIRECT(ADDRESS(ROW()+1,COLUMN(), 4)),Dex!$A$2:$C954,3,false),"")</f>
        <v/>
      </c>
      <c r="F91" s="21" t="s">
        <v>1177</v>
      </c>
      <c r="G91" s="21" t="s">
        <v>1177</v>
      </c>
      <c r="H91" s="22" t="str">
        <f t="array" ref="H91">iferror(VLOOKUP("TRAINER_PIC_NINJA_BOY",Sprites!$A$1:$B954,2,false),"")</f>
        <v/>
      </c>
      <c r="I91" s="23"/>
    </row>
    <row r="92">
      <c r="A92" s="24"/>
      <c r="B92" s="25" t="s">
        <v>585</v>
      </c>
      <c r="C92" s="25" t="s">
        <v>1106</v>
      </c>
      <c r="D92" s="25" t="s">
        <v>466</v>
      </c>
      <c r="E92" s="25" t="s">
        <v>730</v>
      </c>
      <c r="F92" s="25" t="s">
        <v>1177</v>
      </c>
      <c r="G92" s="25" t="s">
        <v>1177</v>
      </c>
      <c r="H92" s="26"/>
    </row>
    <row r="93">
      <c r="A93" s="16" t="s">
        <v>1178</v>
      </c>
      <c r="B93" s="27" t="s">
        <v>2324</v>
      </c>
      <c r="C93" s="27" t="s">
        <v>2208</v>
      </c>
      <c r="D93" s="27" t="s">
        <v>2208</v>
      </c>
      <c r="E93" s="27" t="s">
        <v>2208</v>
      </c>
      <c r="F93" s="21" t="s">
        <v>1177</v>
      </c>
      <c r="G93" s="21" t="s">
        <v>1177</v>
      </c>
      <c r="H93" s="26"/>
    </row>
    <row r="94">
      <c r="A94" s="16" t="s">
        <v>1181</v>
      </c>
      <c r="B94" s="28" t="s">
        <v>1643</v>
      </c>
      <c r="C94" s="28" t="s">
        <v>1703</v>
      </c>
      <c r="D94" s="28" t="s">
        <v>1295</v>
      </c>
      <c r="E94" s="28" t="s">
        <v>2139</v>
      </c>
      <c r="F94" s="28" t="s">
        <v>1177</v>
      </c>
      <c r="G94" s="28" t="s">
        <v>1177</v>
      </c>
      <c r="H94" s="26"/>
    </row>
    <row r="95">
      <c r="A95" s="16" t="s">
        <v>1182</v>
      </c>
      <c r="B95" s="21" t="s">
        <v>1223</v>
      </c>
      <c r="C95" s="21" t="s">
        <v>2361</v>
      </c>
      <c r="D95" s="21" t="s">
        <v>2362</v>
      </c>
      <c r="E95" s="21" t="s">
        <v>1906</v>
      </c>
      <c r="F95" s="21" t="s">
        <v>1177</v>
      </c>
      <c r="G95" s="21" t="s">
        <v>1177</v>
      </c>
      <c r="H95" s="26"/>
    </row>
    <row r="96">
      <c r="A96" s="16" t="s">
        <v>1186</v>
      </c>
      <c r="B96" s="28" t="s">
        <v>1248</v>
      </c>
      <c r="C96" s="28" t="s">
        <v>1447</v>
      </c>
      <c r="D96" s="28" t="s">
        <v>1249</v>
      </c>
      <c r="E96" s="28" t="s">
        <v>1284</v>
      </c>
      <c r="F96" s="28" t="s">
        <v>1177</v>
      </c>
      <c r="G96" s="28" t="s">
        <v>1177</v>
      </c>
      <c r="H96" s="26"/>
    </row>
    <row r="97">
      <c r="A97" s="20" t="s">
        <v>1188</v>
      </c>
      <c r="B97" s="21" t="s">
        <v>1830</v>
      </c>
      <c r="C97" s="21" t="s">
        <v>1742</v>
      </c>
      <c r="D97" s="21" t="s">
        <v>1835</v>
      </c>
      <c r="E97" s="21" t="s">
        <v>1908</v>
      </c>
      <c r="F97" s="21" t="s">
        <v>1177</v>
      </c>
      <c r="G97" s="21" t="s">
        <v>1177</v>
      </c>
      <c r="H97" s="26"/>
    </row>
    <row r="98">
      <c r="A98" s="29"/>
      <c r="B98" s="21" t="s">
        <v>1407</v>
      </c>
      <c r="C98" s="21" t="s">
        <v>1830</v>
      </c>
      <c r="D98" s="21" t="s">
        <v>1621</v>
      </c>
      <c r="E98" s="21" t="s">
        <v>1740</v>
      </c>
      <c r="F98" s="21" t="s">
        <v>1177</v>
      </c>
      <c r="G98" s="21" t="s">
        <v>1177</v>
      </c>
      <c r="H98" s="26"/>
    </row>
    <row r="99">
      <c r="A99" s="29"/>
      <c r="B99" s="21" t="s">
        <v>1983</v>
      </c>
      <c r="C99" s="21" t="s">
        <v>1251</v>
      </c>
      <c r="D99" s="21" t="s">
        <v>1830</v>
      </c>
      <c r="E99" s="21" t="s">
        <v>1739</v>
      </c>
      <c r="F99" s="21" t="s">
        <v>1177</v>
      </c>
      <c r="G99" s="21" t="s">
        <v>1177</v>
      </c>
      <c r="H99" s="26"/>
    </row>
    <row r="100">
      <c r="A100" s="24"/>
      <c r="B100" s="21" t="s">
        <v>1307</v>
      </c>
      <c r="C100" s="21" t="s">
        <v>2196</v>
      </c>
      <c r="D100" s="21" t="s">
        <v>1389</v>
      </c>
      <c r="E100" s="21" t="s">
        <v>1771</v>
      </c>
      <c r="F100" s="21" t="s">
        <v>1177</v>
      </c>
      <c r="G100" s="21" t="s">
        <v>1177</v>
      </c>
      <c r="H100" s="30"/>
      <c r="I100" s="14"/>
    </row>
    <row r="101">
      <c r="A101" s="16" t="s">
        <v>1174</v>
      </c>
      <c r="B101" s="17" t="s">
        <v>2363</v>
      </c>
      <c r="C101" s="18"/>
      <c r="D101" s="18"/>
      <c r="E101" s="18"/>
      <c r="F101" s="18"/>
      <c r="G101" s="18"/>
      <c r="H101" s="18"/>
      <c r="I101" s="16"/>
    </row>
    <row r="102" ht="60.0" customHeight="1">
      <c r="A102" s="20" t="s">
        <v>1176</v>
      </c>
      <c r="B102" s="21" t="str">
        <f t="array" ref="B102">iferror(VLOOKUP(INDIRECT(ADDRESS(ROW()+1,COLUMN(), 4)),Dex!$A$2:$C954,3,false),"")</f>
        <v/>
      </c>
      <c r="C102" s="21" t="str">
        <f t="array" ref="C102">iferror(VLOOKUP(INDIRECT(ADDRESS(ROW()+1,COLUMN(), 4)),Dex!$A$2:$C954,3,false),"")</f>
        <v/>
      </c>
      <c r="D102" s="21" t="str">
        <f t="array" ref="D102">iferror(VLOOKUP(INDIRECT(ADDRESS(ROW()+1,COLUMN(), 4)),Dex!$A$2:$C954,3,false),"")</f>
        <v/>
      </c>
      <c r="E102" s="21" t="str">
        <f t="array" ref="E102">iferror(VLOOKUP(INDIRECT(ADDRESS(ROW()+1,COLUMN(), 4)),Dex!$A$2:$C954,3,false),"")</f>
        <v/>
      </c>
      <c r="F102" s="21" t="s">
        <v>1177</v>
      </c>
      <c r="G102" s="21" t="s">
        <v>1177</v>
      </c>
      <c r="H102" s="22" t="str">
        <f t="array" ref="H102">iferror(VLOOKUP("TRAINER_PIC_NINJA_BOY",Sprites!$A$1:$B954,2,false),"")</f>
        <v/>
      </c>
      <c r="I102" s="23"/>
    </row>
    <row r="103">
      <c r="A103" s="24"/>
      <c r="B103" s="25" t="s">
        <v>828</v>
      </c>
      <c r="C103" s="25" t="s">
        <v>76</v>
      </c>
      <c r="D103" s="25" t="s">
        <v>785</v>
      </c>
      <c r="E103" s="25" t="s">
        <v>793</v>
      </c>
      <c r="F103" s="25" t="s">
        <v>1177</v>
      </c>
      <c r="G103" s="25" t="s">
        <v>1177</v>
      </c>
      <c r="H103" s="26"/>
    </row>
    <row r="104">
      <c r="A104" s="16" t="s">
        <v>1178</v>
      </c>
      <c r="B104" s="27" t="s">
        <v>2208</v>
      </c>
      <c r="C104" s="27" t="s">
        <v>2208</v>
      </c>
      <c r="D104" s="27" t="s">
        <v>2324</v>
      </c>
      <c r="E104" s="27" t="s">
        <v>2208</v>
      </c>
      <c r="F104" s="21" t="s">
        <v>1177</v>
      </c>
      <c r="G104" s="21" t="s">
        <v>1177</v>
      </c>
      <c r="H104" s="26"/>
    </row>
    <row r="105">
      <c r="A105" s="16" t="s">
        <v>1181</v>
      </c>
      <c r="B105" s="28" t="s">
        <v>1882</v>
      </c>
      <c r="C105" s="28" t="s">
        <v>2239</v>
      </c>
      <c r="D105" s="28" t="s">
        <v>1766</v>
      </c>
      <c r="E105" s="28" t="s">
        <v>1247</v>
      </c>
      <c r="F105" s="28" t="s">
        <v>1177</v>
      </c>
      <c r="G105" s="28" t="s">
        <v>1177</v>
      </c>
      <c r="H105" s="26"/>
    </row>
    <row r="106">
      <c r="A106" s="16" t="s">
        <v>1182</v>
      </c>
      <c r="B106" s="21" t="s">
        <v>1443</v>
      </c>
      <c r="C106" s="21" t="s">
        <v>1675</v>
      </c>
      <c r="D106" s="21" t="s">
        <v>1405</v>
      </c>
      <c r="E106" s="21" t="s">
        <v>1198</v>
      </c>
      <c r="F106" s="21" t="s">
        <v>1177</v>
      </c>
      <c r="G106" s="21" t="s">
        <v>1177</v>
      </c>
      <c r="H106" s="26"/>
    </row>
    <row r="107">
      <c r="A107" s="16" t="s">
        <v>1186</v>
      </c>
      <c r="B107" s="28" t="s">
        <v>1269</v>
      </c>
      <c r="C107" s="28" t="s">
        <v>1235</v>
      </c>
      <c r="D107" s="28" t="s">
        <v>1235</v>
      </c>
      <c r="E107" s="28" t="s">
        <v>1235</v>
      </c>
      <c r="F107" s="28" t="s">
        <v>1177</v>
      </c>
      <c r="G107" s="28" t="s">
        <v>1177</v>
      </c>
      <c r="H107" s="26"/>
    </row>
    <row r="108">
      <c r="A108" s="20" t="s">
        <v>1188</v>
      </c>
      <c r="B108" s="21" t="s">
        <v>1251</v>
      </c>
      <c r="C108" s="21" t="s">
        <v>1677</v>
      </c>
      <c r="D108" s="21" t="s">
        <v>1607</v>
      </c>
      <c r="E108" s="21" t="s">
        <v>1586</v>
      </c>
      <c r="F108" s="21" t="s">
        <v>1177</v>
      </c>
      <c r="G108" s="21" t="s">
        <v>1177</v>
      </c>
      <c r="H108" s="26"/>
    </row>
    <row r="109">
      <c r="A109" s="29"/>
      <c r="B109" s="21" t="s">
        <v>1814</v>
      </c>
      <c r="C109" s="21" t="s">
        <v>1678</v>
      </c>
      <c r="D109" s="21" t="s">
        <v>1471</v>
      </c>
      <c r="E109" s="21" t="s">
        <v>1438</v>
      </c>
      <c r="F109" s="21" t="s">
        <v>1177</v>
      </c>
      <c r="G109" s="21" t="s">
        <v>1177</v>
      </c>
      <c r="H109" s="26"/>
    </row>
    <row r="110">
      <c r="A110" s="29"/>
      <c r="B110" s="21" t="s">
        <v>1468</v>
      </c>
      <c r="C110" s="21" t="s">
        <v>2063</v>
      </c>
      <c r="D110" s="21" t="s">
        <v>1336</v>
      </c>
      <c r="E110" s="21" t="s">
        <v>1472</v>
      </c>
      <c r="F110" s="21" t="s">
        <v>1177</v>
      </c>
      <c r="G110" s="21" t="s">
        <v>1177</v>
      </c>
      <c r="H110" s="26"/>
    </row>
    <row r="111">
      <c r="A111" s="24"/>
      <c r="B111" s="21" t="s">
        <v>1786</v>
      </c>
      <c r="C111" s="21" t="s">
        <v>2364</v>
      </c>
      <c r="D111" s="21" t="s">
        <v>1469</v>
      </c>
      <c r="E111" s="21" t="s">
        <v>1641</v>
      </c>
      <c r="F111" s="21" t="s">
        <v>1177</v>
      </c>
      <c r="G111" s="21" t="s">
        <v>1177</v>
      </c>
      <c r="H111" s="30"/>
      <c r="I111" s="14"/>
    </row>
    <row r="112">
      <c r="A112" s="37"/>
      <c r="B112" s="38" t="s">
        <v>2365</v>
      </c>
      <c r="C112" s="14"/>
      <c r="D112" s="14"/>
      <c r="E112" s="14"/>
      <c r="F112" s="14"/>
      <c r="G112" s="14"/>
      <c r="H112" s="24"/>
      <c r="I112" s="33"/>
    </row>
    <row r="113">
      <c r="A113" s="16" t="s">
        <v>1174</v>
      </c>
      <c r="B113" s="17" t="s">
        <v>2366</v>
      </c>
      <c r="C113" s="18"/>
      <c r="D113" s="18"/>
      <c r="E113" s="18"/>
      <c r="F113" s="18"/>
      <c r="G113" s="18"/>
      <c r="H113" s="18"/>
      <c r="I113" s="16"/>
    </row>
    <row r="114" ht="60.0" customHeight="1">
      <c r="A114" s="20" t="s">
        <v>1176</v>
      </c>
      <c r="B114" s="21" t="str">
        <f t="array" ref="B114">iferror(VLOOKUP(INDIRECT(ADDRESS(ROW()+1,COLUMN(), 4)),Dex!$A$2:$C954,3,false),"")</f>
        <v/>
      </c>
      <c r="C114" s="21" t="str">
        <f t="array" ref="C114">iferror(VLOOKUP(INDIRECT(ADDRESS(ROW()+1,COLUMN(), 4)),Dex!$A$2:$C954,3,false),"")</f>
        <v/>
      </c>
      <c r="D114" s="21" t="s">
        <v>1177</v>
      </c>
      <c r="E114" s="21" t="str">
        <f t="array" ref="E114">iferror(VLOOKUP(INDIRECT(ADDRESS(ROW()+1,COLUMN(), 4)),Dex!$A$2:$C954,3,false),"")</f>
        <v/>
      </c>
      <c r="F114" s="21" t="str">
        <f t="array" ref="F114">iferror(VLOOKUP(INDIRECT(ADDRESS(ROW()+1,COLUMN(), 4)),Dex!$A$2:$C954,3,false),"")</f>
        <v/>
      </c>
      <c r="G114" s="21" t="s">
        <v>1177</v>
      </c>
      <c r="H114" s="22" t="str">
        <f t="array" ref="H114">iferror(VLOOKUP("TRAINER_PIC_BUG_MANIAC",Sprites!$A$1:$B954,2,false),"")</f>
        <v/>
      </c>
      <c r="I114" s="23"/>
    </row>
    <row r="115">
      <c r="A115" s="24"/>
      <c r="B115" s="25" t="s">
        <v>383</v>
      </c>
      <c r="C115" s="25" t="s">
        <v>723</v>
      </c>
      <c r="D115" s="25" t="s">
        <v>1177</v>
      </c>
      <c r="E115" s="25" t="s">
        <v>165</v>
      </c>
      <c r="F115" s="25" t="s">
        <v>164</v>
      </c>
      <c r="G115" s="25" t="s">
        <v>1177</v>
      </c>
      <c r="H115" s="26"/>
    </row>
    <row r="116">
      <c r="A116" s="16" t="s">
        <v>1178</v>
      </c>
      <c r="B116" s="27" t="s">
        <v>2208</v>
      </c>
      <c r="C116" s="27" t="s">
        <v>2208</v>
      </c>
      <c r="D116" s="21" t="s">
        <v>1177</v>
      </c>
      <c r="E116" s="27" t="s">
        <v>2351</v>
      </c>
      <c r="F116" s="27" t="s">
        <v>2367</v>
      </c>
      <c r="G116" s="21" t="s">
        <v>1177</v>
      </c>
      <c r="H116" s="26"/>
    </row>
    <row r="117">
      <c r="A117" s="16" t="s">
        <v>1181</v>
      </c>
      <c r="B117" s="28" t="s">
        <v>1209</v>
      </c>
      <c r="C117" s="28" t="s">
        <v>2036</v>
      </c>
      <c r="D117" s="28" t="s">
        <v>1177</v>
      </c>
      <c r="E117" s="28" t="s">
        <v>2042</v>
      </c>
      <c r="F117" s="28" t="s">
        <v>2042</v>
      </c>
      <c r="G117" s="28" t="s">
        <v>1177</v>
      </c>
      <c r="H117" s="26"/>
    </row>
    <row r="118">
      <c r="A118" s="16" t="s">
        <v>1182</v>
      </c>
      <c r="B118" s="21" t="s">
        <v>1996</v>
      </c>
      <c r="C118" s="21" t="s">
        <v>1689</v>
      </c>
      <c r="D118" s="21" t="s">
        <v>1177</v>
      </c>
      <c r="E118" s="21" t="s">
        <v>2368</v>
      </c>
      <c r="F118" s="21" t="s">
        <v>2368</v>
      </c>
      <c r="G118" s="21" t="s">
        <v>1177</v>
      </c>
      <c r="H118" s="26"/>
    </row>
    <row r="119">
      <c r="A119" s="16" t="s">
        <v>1186</v>
      </c>
      <c r="B119" s="28" t="s">
        <v>1235</v>
      </c>
      <c r="C119" s="28" t="s">
        <v>1235</v>
      </c>
      <c r="D119" s="28" t="s">
        <v>1177</v>
      </c>
      <c r="E119" s="28" t="s">
        <v>1383</v>
      </c>
      <c r="F119" s="28" t="s">
        <v>1249</v>
      </c>
      <c r="G119" s="28" t="s">
        <v>1177</v>
      </c>
      <c r="H119" s="26"/>
    </row>
    <row r="120">
      <c r="A120" s="20" t="s">
        <v>1188</v>
      </c>
      <c r="B120" s="21" t="s">
        <v>1738</v>
      </c>
      <c r="C120" s="21" t="s">
        <v>1974</v>
      </c>
      <c r="D120" s="21" t="s">
        <v>1177</v>
      </c>
      <c r="E120" s="21" t="s">
        <v>1814</v>
      </c>
      <c r="F120" s="21" t="s">
        <v>1373</v>
      </c>
      <c r="G120" s="21" t="s">
        <v>1177</v>
      </c>
      <c r="H120" s="26"/>
    </row>
    <row r="121">
      <c r="A121" s="29"/>
      <c r="B121" s="21" t="s">
        <v>1677</v>
      </c>
      <c r="C121" s="21" t="s">
        <v>1438</v>
      </c>
      <c r="D121" s="21" t="s">
        <v>1177</v>
      </c>
      <c r="E121" s="21" t="s">
        <v>2058</v>
      </c>
      <c r="F121" s="21" t="s">
        <v>2104</v>
      </c>
      <c r="G121" s="21" t="s">
        <v>1177</v>
      </c>
      <c r="H121" s="26"/>
    </row>
    <row r="122">
      <c r="A122" s="29"/>
      <c r="B122" s="21" t="s">
        <v>1320</v>
      </c>
      <c r="C122" s="21" t="s">
        <v>1415</v>
      </c>
      <c r="D122" s="21" t="s">
        <v>1177</v>
      </c>
      <c r="E122" s="21" t="s">
        <v>1929</v>
      </c>
      <c r="F122" s="21" t="s">
        <v>1929</v>
      </c>
      <c r="G122" s="21" t="s">
        <v>1177</v>
      </c>
      <c r="H122" s="26"/>
    </row>
    <row r="123">
      <c r="A123" s="24"/>
      <c r="B123" s="21" t="s">
        <v>1307</v>
      </c>
      <c r="C123" s="21" t="s">
        <v>1677</v>
      </c>
      <c r="D123" s="21" t="s">
        <v>1177</v>
      </c>
      <c r="E123" s="21" t="s">
        <v>1389</v>
      </c>
      <c r="F123" s="21" t="s">
        <v>1389</v>
      </c>
      <c r="G123" s="21" t="s">
        <v>1177</v>
      </c>
      <c r="H123" s="30"/>
      <c r="I123" s="14"/>
    </row>
    <row r="124">
      <c r="A124" s="16" t="s">
        <v>1174</v>
      </c>
      <c r="B124" s="17" t="s">
        <v>2369</v>
      </c>
      <c r="C124" s="18"/>
      <c r="D124" s="18"/>
      <c r="E124" s="18"/>
      <c r="F124" s="18"/>
      <c r="G124" s="18"/>
      <c r="H124" s="18"/>
      <c r="I124" s="16"/>
    </row>
    <row r="125" ht="60.0" customHeight="1">
      <c r="A125" s="20" t="s">
        <v>1176</v>
      </c>
      <c r="B125" s="21" t="str">
        <f t="array" ref="B125">iferror(VLOOKUP(INDIRECT(ADDRESS(ROW()+1,COLUMN(), 4)),Dex!$A$2:$C954,3,false),"")</f>
        <v/>
      </c>
      <c r="C125" s="21" t="str">
        <f t="array" ref="C125">iferror(VLOOKUP(INDIRECT(ADDRESS(ROW()+1,COLUMN(), 4)),Dex!$A$2:$C954,3,false),"")</f>
        <v/>
      </c>
      <c r="D125" s="21" t="str">
        <f t="array" ref="D125">iferror(VLOOKUP(INDIRECT(ADDRESS(ROW()+1,COLUMN(), 4)),Dex!$A$2:$C954,3,false),"")</f>
        <v/>
      </c>
      <c r="E125" s="21" t="str">
        <f t="array" ref="E125">iferror(VLOOKUP(INDIRECT(ADDRESS(ROW()+1,COLUMN(), 4)),Dex!$A$2:$C954,3,false),"")</f>
        <v/>
      </c>
      <c r="F125" s="21" t="s">
        <v>1177</v>
      </c>
      <c r="G125" s="21" t="s">
        <v>1177</v>
      </c>
      <c r="H125" s="22" t="str">
        <f t="array" ref="H125">iferror(VLOOKUP("TRAINER_PIC_BEAUTY",Sprites!$A$1:$B954,2,false),"")</f>
        <v/>
      </c>
      <c r="I125" s="23"/>
    </row>
    <row r="126">
      <c r="A126" s="24"/>
      <c r="B126" s="25" t="s">
        <v>602</v>
      </c>
      <c r="C126" s="25" t="s">
        <v>183</v>
      </c>
      <c r="D126" s="25" t="s">
        <v>843</v>
      </c>
      <c r="E126" s="25" t="s">
        <v>170</v>
      </c>
      <c r="F126" s="25" t="s">
        <v>1177</v>
      </c>
      <c r="G126" s="25" t="s">
        <v>1177</v>
      </c>
      <c r="H126" s="26"/>
    </row>
    <row r="127">
      <c r="A127" s="16" t="s">
        <v>1178</v>
      </c>
      <c r="B127" s="27" t="s">
        <v>2351</v>
      </c>
      <c r="C127" s="27" t="s">
        <v>2324</v>
      </c>
      <c r="D127" s="27" t="s">
        <v>2208</v>
      </c>
      <c r="E127" s="27" t="s">
        <v>2208</v>
      </c>
      <c r="F127" s="21" t="s">
        <v>1177</v>
      </c>
      <c r="G127" s="21" t="s">
        <v>1177</v>
      </c>
      <c r="H127" s="26"/>
    </row>
    <row r="128">
      <c r="A128" s="16" t="s">
        <v>1181</v>
      </c>
      <c r="B128" s="28" t="s">
        <v>1961</v>
      </c>
      <c r="C128" s="28" t="s">
        <v>1460</v>
      </c>
      <c r="D128" s="28" t="s">
        <v>1295</v>
      </c>
      <c r="E128" s="28" t="s">
        <v>1295</v>
      </c>
      <c r="F128" s="28" t="s">
        <v>1177</v>
      </c>
      <c r="G128" s="28" t="s">
        <v>1177</v>
      </c>
      <c r="H128" s="26"/>
    </row>
    <row r="129">
      <c r="A129" s="16" t="s">
        <v>1182</v>
      </c>
      <c r="B129" s="21" t="s">
        <v>1393</v>
      </c>
      <c r="C129" s="21" t="s">
        <v>1931</v>
      </c>
      <c r="D129" s="21" t="s">
        <v>1951</v>
      </c>
      <c r="E129" s="21" t="s">
        <v>1907</v>
      </c>
      <c r="F129" s="21" t="s">
        <v>1177</v>
      </c>
      <c r="G129" s="21" t="s">
        <v>1177</v>
      </c>
      <c r="H129" s="26"/>
    </row>
    <row r="130">
      <c r="A130" s="16" t="s">
        <v>1186</v>
      </c>
      <c r="B130" s="28" t="s">
        <v>1284</v>
      </c>
      <c r="C130" s="28" t="s">
        <v>1284</v>
      </c>
      <c r="D130" s="28" t="s">
        <v>1257</v>
      </c>
      <c r="E130" s="28" t="s">
        <v>1235</v>
      </c>
      <c r="F130" s="28" t="s">
        <v>1177</v>
      </c>
      <c r="G130" s="28" t="s">
        <v>1177</v>
      </c>
      <c r="H130" s="26"/>
    </row>
    <row r="131">
      <c r="A131" s="20" t="s">
        <v>1188</v>
      </c>
      <c r="B131" s="21" t="s">
        <v>2054</v>
      </c>
      <c r="C131" s="21" t="s">
        <v>1468</v>
      </c>
      <c r="D131" s="21" t="s">
        <v>1815</v>
      </c>
      <c r="E131" s="21" t="s">
        <v>1805</v>
      </c>
      <c r="F131" s="21" t="s">
        <v>1177</v>
      </c>
      <c r="G131" s="21" t="s">
        <v>1177</v>
      </c>
      <c r="H131" s="26"/>
    </row>
    <row r="132">
      <c r="A132" s="29"/>
      <c r="B132" s="21" t="s">
        <v>1742</v>
      </c>
      <c r="C132" s="21" t="s">
        <v>1731</v>
      </c>
      <c r="D132" s="21" t="s">
        <v>1731</v>
      </c>
      <c r="E132" s="21" t="s">
        <v>1677</v>
      </c>
      <c r="F132" s="21" t="s">
        <v>1177</v>
      </c>
      <c r="G132" s="21" t="s">
        <v>1177</v>
      </c>
      <c r="H132" s="26"/>
    </row>
    <row r="133">
      <c r="A133" s="29"/>
      <c r="B133" s="21" t="s">
        <v>1835</v>
      </c>
      <c r="C133" s="21" t="s">
        <v>1739</v>
      </c>
      <c r="D133" s="21" t="s">
        <v>1679</v>
      </c>
      <c r="E133" s="21" t="s">
        <v>1423</v>
      </c>
      <c r="F133" s="21" t="s">
        <v>1177</v>
      </c>
      <c r="G133" s="21" t="s">
        <v>1177</v>
      </c>
      <c r="H133" s="26"/>
    </row>
    <row r="134">
      <c r="A134" s="24"/>
      <c r="B134" s="21" t="s">
        <v>2026</v>
      </c>
      <c r="C134" s="21" t="s">
        <v>1322</v>
      </c>
      <c r="D134" s="21" t="s">
        <v>1389</v>
      </c>
      <c r="E134" s="21" t="s">
        <v>1780</v>
      </c>
      <c r="F134" s="21" t="s">
        <v>1177</v>
      </c>
      <c r="G134" s="21" t="s">
        <v>1177</v>
      </c>
      <c r="H134" s="30"/>
      <c r="I134" s="14"/>
    </row>
    <row r="135">
      <c r="A135" s="16" t="s">
        <v>1174</v>
      </c>
      <c r="B135" s="17" t="s">
        <v>2370</v>
      </c>
      <c r="C135" s="18"/>
      <c r="D135" s="18"/>
      <c r="E135" s="18"/>
      <c r="F135" s="18"/>
      <c r="G135" s="18"/>
      <c r="H135" s="18"/>
      <c r="I135" s="16"/>
    </row>
    <row r="136" ht="60.0" customHeight="1">
      <c r="A136" s="20" t="s">
        <v>1176</v>
      </c>
      <c r="B136" s="21" t="str">
        <f t="array" ref="B136">iferror(VLOOKUP(INDIRECT(ADDRESS(ROW()+1,COLUMN(), 4)),Dex!$A$2:$C954,3,false),"")</f>
        <v/>
      </c>
      <c r="C136" s="21" t="str">
        <f t="array" ref="C136">iferror(VLOOKUP(INDIRECT(ADDRESS(ROW()+1,COLUMN(), 4)),Dex!$A$2:$C954,3,false),"")</f>
        <v/>
      </c>
      <c r="D136" s="21" t="str">
        <f t="array" ref="D136">iferror(VLOOKUP(INDIRECT(ADDRESS(ROW()+1,COLUMN(), 4)),Dex!$A$2:$C954,3,false),"")</f>
        <v/>
      </c>
      <c r="E136" s="21" t="str">
        <f t="array" ref="E136">iferror(VLOOKUP(INDIRECT(ADDRESS(ROW()+1,COLUMN(), 4)),Dex!$A$2:$C954,3,false),"")</f>
        <v/>
      </c>
      <c r="F136" s="21" t="str">
        <f t="array" ref="F136">iferror(VLOOKUP(INDIRECT(ADDRESS(ROW()+1,COLUMN(), 4)),Dex!$A$2:$C954,3,false),"")</f>
        <v/>
      </c>
      <c r="G136" s="21" t="s">
        <v>1177</v>
      </c>
      <c r="H136" s="22" t="str">
        <f t="array" ref="H136">iferror(VLOOKUP("TRAINER_PIC_POKEMON_BREEDER_F",Sprites!$A$1:$B954,2,false),"")</f>
        <v/>
      </c>
      <c r="I136" s="23"/>
    </row>
    <row r="137">
      <c r="A137" s="24"/>
      <c r="B137" s="25" t="s">
        <v>262</v>
      </c>
      <c r="C137" s="25" t="s">
        <v>319</v>
      </c>
      <c r="D137" s="25" t="s">
        <v>124</v>
      </c>
      <c r="E137" s="25" t="s">
        <v>725</v>
      </c>
      <c r="F137" s="25" t="s">
        <v>1073</v>
      </c>
      <c r="G137" s="25" t="s">
        <v>1177</v>
      </c>
      <c r="H137" s="26"/>
    </row>
    <row r="138">
      <c r="A138" s="16" t="s">
        <v>1178</v>
      </c>
      <c r="B138" s="27" t="s">
        <v>2208</v>
      </c>
      <c r="C138" s="27" t="s">
        <v>2324</v>
      </c>
      <c r="D138" s="27" t="s">
        <v>2208</v>
      </c>
      <c r="E138" s="27" t="s">
        <v>2208</v>
      </c>
      <c r="F138" s="27" t="s">
        <v>2351</v>
      </c>
      <c r="G138" s="21" t="s">
        <v>1177</v>
      </c>
      <c r="H138" s="26"/>
    </row>
    <row r="139">
      <c r="A139" s="16" t="s">
        <v>1181</v>
      </c>
      <c r="B139" s="28" t="s">
        <v>1703</v>
      </c>
      <c r="C139" s="28" t="s">
        <v>1403</v>
      </c>
      <c r="D139" s="28" t="s">
        <v>1403</v>
      </c>
      <c r="E139" s="28" t="s">
        <v>1702</v>
      </c>
      <c r="F139" s="28" t="s">
        <v>2102</v>
      </c>
      <c r="G139" s="28" t="s">
        <v>1177</v>
      </c>
      <c r="H139" s="26"/>
    </row>
    <row r="140">
      <c r="A140" s="16" t="s">
        <v>1182</v>
      </c>
      <c r="B140" s="21" t="s">
        <v>1199</v>
      </c>
      <c r="C140" s="21" t="s">
        <v>1860</v>
      </c>
      <c r="D140" s="21" t="s">
        <v>1885</v>
      </c>
      <c r="E140" s="21" t="s">
        <v>1296</v>
      </c>
      <c r="F140" s="21" t="s">
        <v>1693</v>
      </c>
      <c r="G140" s="21" t="s">
        <v>1177</v>
      </c>
      <c r="H140" s="26"/>
    </row>
    <row r="141">
      <c r="A141" s="16" t="s">
        <v>1186</v>
      </c>
      <c r="B141" s="28" t="s">
        <v>1248</v>
      </c>
      <c r="C141" s="28" t="s">
        <v>1256</v>
      </c>
      <c r="D141" s="28" t="s">
        <v>1284</v>
      </c>
      <c r="E141" s="28" t="s">
        <v>1235</v>
      </c>
      <c r="F141" s="28" t="s">
        <v>1256</v>
      </c>
      <c r="G141" s="28" t="s">
        <v>1177</v>
      </c>
      <c r="H141" s="26"/>
    </row>
    <row r="142">
      <c r="A142" s="20" t="s">
        <v>1188</v>
      </c>
      <c r="B142" s="21" t="s">
        <v>1678</v>
      </c>
      <c r="C142" s="21" t="s">
        <v>1863</v>
      </c>
      <c r="D142" s="21" t="s">
        <v>1724</v>
      </c>
      <c r="E142" s="21" t="s">
        <v>1814</v>
      </c>
      <c r="F142" s="21" t="s">
        <v>2185</v>
      </c>
      <c r="G142" s="21" t="s">
        <v>1177</v>
      </c>
      <c r="H142" s="26"/>
    </row>
    <row r="143">
      <c r="A143" s="29"/>
      <c r="B143" s="21" t="s">
        <v>1830</v>
      </c>
      <c r="C143" s="21" t="s">
        <v>1731</v>
      </c>
      <c r="D143" s="21" t="s">
        <v>1723</v>
      </c>
      <c r="E143" s="21" t="s">
        <v>1830</v>
      </c>
      <c r="F143" s="21" t="s">
        <v>1713</v>
      </c>
      <c r="G143" s="21" t="s">
        <v>1177</v>
      </c>
      <c r="H143" s="26"/>
    </row>
    <row r="144">
      <c r="A144" s="29"/>
      <c r="B144" s="21" t="s">
        <v>1677</v>
      </c>
      <c r="C144" s="21" t="s">
        <v>1890</v>
      </c>
      <c r="D144" s="21" t="s">
        <v>1470</v>
      </c>
      <c r="E144" s="21" t="s">
        <v>1630</v>
      </c>
      <c r="F144" s="21" t="s">
        <v>1618</v>
      </c>
      <c r="G144" s="21" t="s">
        <v>1177</v>
      </c>
      <c r="H144" s="26"/>
    </row>
    <row r="145">
      <c r="A145" s="24"/>
      <c r="B145" s="21" t="s">
        <v>1252</v>
      </c>
      <c r="C145" s="21" t="s">
        <v>1891</v>
      </c>
      <c r="D145" s="21" t="s">
        <v>1743</v>
      </c>
      <c r="E145" s="21" t="s">
        <v>1423</v>
      </c>
      <c r="F145" s="21" t="s">
        <v>1590</v>
      </c>
      <c r="G145" s="21" t="s">
        <v>1177</v>
      </c>
      <c r="H145" s="30"/>
      <c r="I145" s="14"/>
    </row>
    <row r="146">
      <c r="A146" s="16" t="s">
        <v>1174</v>
      </c>
      <c r="B146" s="17" t="s">
        <v>2371</v>
      </c>
      <c r="C146" s="18"/>
      <c r="D146" s="18"/>
      <c r="E146" s="18"/>
      <c r="F146" s="18"/>
      <c r="G146" s="18"/>
      <c r="H146" s="18"/>
      <c r="I146" s="19"/>
    </row>
    <row r="147" ht="60.0" customHeight="1">
      <c r="A147" s="20" t="s">
        <v>1176</v>
      </c>
      <c r="B147" s="21" t="str">
        <f t="array" ref="B147">iferror(VLOOKUP(INDIRECT(ADDRESS(ROW()+1,COLUMN(), 4)),Dex!$A$2:$C954,3,false),"")</f>
        <v/>
      </c>
      <c r="C147" s="21" t="str">
        <f t="array" ref="C147">iferror(VLOOKUP(INDIRECT(ADDRESS(ROW()+1,COLUMN(), 4)),Dex!$A$2:$C954,3,false),"")</f>
        <v/>
      </c>
      <c r="D147" s="21" t="str">
        <f t="array" ref="D147">iferror(VLOOKUP(INDIRECT(ADDRESS(ROW()+1,COLUMN(), 4)),Dex!$A$2:$C954,3,false),"")</f>
        <v/>
      </c>
      <c r="E147" s="21" t="str">
        <f t="array" ref="E147">iferror(VLOOKUP(INDIRECT(ADDRESS(ROW()+1,COLUMN(), 4)),Dex!$A$2:$C954,3,false),"")</f>
        <v/>
      </c>
      <c r="F147" s="21" t="str">
        <f t="array" ref="F147">iferror(VLOOKUP(INDIRECT(ADDRESS(ROW()+1,COLUMN(), 4)),Dex!$A$2:$C954,3,false),"")</f>
        <v/>
      </c>
      <c r="G147" s="21" t="s">
        <v>1177</v>
      </c>
      <c r="H147" s="22" t="str">
        <f t="array" ref="H147">iferror(VLOOKUP("TRAINER_PIC_POKEMON_BREEDER_M",Sprites!$A$1:$B954,2,false),"")</f>
        <v/>
      </c>
      <c r="I147" s="23"/>
    </row>
    <row r="148">
      <c r="A148" s="24"/>
      <c r="B148" s="25" t="s">
        <v>839</v>
      </c>
      <c r="C148" s="25" t="s">
        <v>960</v>
      </c>
      <c r="D148" s="25" t="s">
        <v>961</v>
      </c>
      <c r="E148" s="25" t="s">
        <v>945</v>
      </c>
      <c r="F148" s="25" t="s">
        <v>238</v>
      </c>
      <c r="G148" s="25" t="s">
        <v>1177</v>
      </c>
      <c r="H148" s="26"/>
    </row>
    <row r="149">
      <c r="A149" s="16" t="s">
        <v>1178</v>
      </c>
      <c r="B149" s="27" t="s">
        <v>2351</v>
      </c>
      <c r="C149" s="27" t="s">
        <v>2324</v>
      </c>
      <c r="D149" s="27" t="s">
        <v>2208</v>
      </c>
      <c r="E149" s="27" t="s">
        <v>2324</v>
      </c>
      <c r="F149" s="27" t="s">
        <v>2367</v>
      </c>
      <c r="G149" s="21" t="s">
        <v>1177</v>
      </c>
      <c r="H149" s="26"/>
    </row>
    <row r="150">
      <c r="A150" s="16" t="s">
        <v>1181</v>
      </c>
      <c r="B150" s="28" t="s">
        <v>1901</v>
      </c>
      <c r="C150" s="28" t="s">
        <v>2145</v>
      </c>
      <c r="D150" s="28" t="s">
        <v>1209</v>
      </c>
      <c r="E150" s="28" t="s">
        <v>1295</v>
      </c>
      <c r="F150" s="28" t="s">
        <v>2139</v>
      </c>
      <c r="G150" s="28" t="s">
        <v>1177</v>
      </c>
      <c r="H150" s="26"/>
    </row>
    <row r="151">
      <c r="A151" s="16" t="s">
        <v>1182</v>
      </c>
      <c r="B151" s="21" t="s">
        <v>1211</v>
      </c>
      <c r="C151" s="21" t="s">
        <v>1356</v>
      </c>
      <c r="D151" s="21" t="s">
        <v>1405</v>
      </c>
      <c r="E151" s="21" t="s">
        <v>1982</v>
      </c>
      <c r="F151" s="21" t="s">
        <v>1185</v>
      </c>
      <c r="G151" s="21" t="s">
        <v>1177</v>
      </c>
      <c r="H151" s="26"/>
    </row>
    <row r="152">
      <c r="A152" s="16" t="s">
        <v>1186</v>
      </c>
      <c r="B152" s="28" t="s">
        <v>1284</v>
      </c>
      <c r="C152" s="28" t="s">
        <v>1257</v>
      </c>
      <c r="D152" s="28" t="s">
        <v>1235</v>
      </c>
      <c r="E152" s="28" t="s">
        <v>1406</v>
      </c>
      <c r="F152" s="28" t="s">
        <v>1235</v>
      </c>
      <c r="G152" s="28" t="s">
        <v>1177</v>
      </c>
      <c r="H152" s="26"/>
    </row>
    <row r="153">
      <c r="A153" s="20" t="s">
        <v>1188</v>
      </c>
      <c r="B153" s="21" t="s">
        <v>2104</v>
      </c>
      <c r="C153" s="21" t="s">
        <v>1731</v>
      </c>
      <c r="D153" s="21" t="s">
        <v>1874</v>
      </c>
      <c r="E153" s="21" t="s">
        <v>1677</v>
      </c>
      <c r="F153" s="21" t="s">
        <v>1805</v>
      </c>
      <c r="G153" s="21" t="s">
        <v>1177</v>
      </c>
      <c r="H153" s="26"/>
    </row>
    <row r="154">
      <c r="A154" s="29"/>
      <c r="B154" s="21" t="s">
        <v>1778</v>
      </c>
      <c r="C154" s="21" t="s">
        <v>1739</v>
      </c>
      <c r="D154" s="21" t="s">
        <v>1662</v>
      </c>
      <c r="E154" s="21" t="s">
        <v>1804</v>
      </c>
      <c r="F154" s="21" t="s">
        <v>1471</v>
      </c>
      <c r="G154" s="21" t="s">
        <v>1177</v>
      </c>
      <c r="H154" s="26"/>
    </row>
    <row r="155">
      <c r="A155" s="29"/>
      <c r="B155" s="21" t="s">
        <v>1914</v>
      </c>
      <c r="C155" s="21" t="s">
        <v>1742</v>
      </c>
      <c r="D155" s="21" t="s">
        <v>1307</v>
      </c>
      <c r="E155" s="21" t="s">
        <v>2372</v>
      </c>
      <c r="F155" s="21" t="s">
        <v>1856</v>
      </c>
      <c r="G155" s="21" t="s">
        <v>1177</v>
      </c>
      <c r="H155" s="26"/>
    </row>
    <row r="156">
      <c r="A156" s="24"/>
      <c r="B156" s="21" t="s">
        <v>1697</v>
      </c>
      <c r="C156" s="21" t="s">
        <v>1698</v>
      </c>
      <c r="D156" s="21" t="s">
        <v>1438</v>
      </c>
      <c r="E156" s="21" t="s">
        <v>1959</v>
      </c>
      <c r="F156" s="21" t="s">
        <v>1641</v>
      </c>
      <c r="G156" s="21" t="s">
        <v>1177</v>
      </c>
      <c r="H156" s="30"/>
      <c r="I156" s="14"/>
    </row>
    <row r="157">
      <c r="A157" s="16" t="s">
        <v>1174</v>
      </c>
      <c r="B157" s="17" t="s">
        <v>2373</v>
      </c>
      <c r="C157" s="18"/>
      <c r="D157" s="18"/>
      <c r="E157" s="18"/>
      <c r="F157" s="18"/>
      <c r="G157" s="18"/>
      <c r="H157" s="18"/>
      <c r="I157" s="16"/>
    </row>
    <row r="158" ht="60.0" customHeight="1">
      <c r="A158" s="20" t="s">
        <v>1176</v>
      </c>
      <c r="B158" s="21" t="str">
        <f t="array" ref="B158">iferror(VLOOKUP(INDIRECT(ADDRESS(ROW()+1,COLUMN(), 4)),Dex!$A$2:$C954,3,false),"")</f>
        <v/>
      </c>
      <c r="C158" s="21" t="str">
        <f t="array" ref="C158">iferror(VLOOKUP(INDIRECT(ADDRESS(ROW()+1,COLUMN(), 4)),Dex!$A$2:$C954,3,false),"")</f>
        <v/>
      </c>
      <c r="D158" s="21" t="str">
        <f t="array" ref="D158">iferror(VLOOKUP(INDIRECT(ADDRESS(ROW()+1,COLUMN(), 4)),Dex!$A$2:$C954,3,false),"")</f>
        <v/>
      </c>
      <c r="E158" s="21" t="str">
        <f t="array" ref="E158">iferror(VLOOKUP(INDIRECT(ADDRESS(ROW()+1,COLUMN(), 4)),Dex!$A$2:$C954,3,false),"")</f>
        <v/>
      </c>
      <c r="F158" s="21" t="str">
        <f t="array" ref="F158">iferror(VLOOKUP(INDIRECT(ADDRESS(ROW()+1,COLUMN(), 4)),Dex!$A$2:$C954,3,false),"")</f>
        <v/>
      </c>
      <c r="G158" s="21" t="s">
        <v>1177</v>
      </c>
      <c r="H158" s="22" t="str">
        <f t="array" ref="H158">iferror(VLOOKUP("TRAINER_PIC_COOLTRAINER_M",Sprites!$A$1:$B954,2,false),"")</f>
        <v/>
      </c>
      <c r="I158" s="23"/>
    </row>
    <row r="159">
      <c r="A159" s="24"/>
      <c r="B159" s="25" t="s">
        <v>763</v>
      </c>
      <c r="C159" s="25" t="s">
        <v>686</v>
      </c>
      <c r="D159" s="25" t="s">
        <v>752</v>
      </c>
      <c r="E159" s="25" t="s">
        <v>715</v>
      </c>
      <c r="F159" s="25" t="s">
        <v>796</v>
      </c>
      <c r="G159" s="25" t="s">
        <v>1177</v>
      </c>
      <c r="H159" s="26"/>
    </row>
    <row r="160">
      <c r="A160" s="16" t="s">
        <v>1178</v>
      </c>
      <c r="B160" s="27" t="s">
        <v>2208</v>
      </c>
      <c r="C160" s="27" t="s">
        <v>2208</v>
      </c>
      <c r="D160" s="27" t="s">
        <v>2351</v>
      </c>
      <c r="E160" s="27" t="s">
        <v>2351</v>
      </c>
      <c r="F160" s="27" t="s">
        <v>2208</v>
      </c>
      <c r="G160" s="21" t="s">
        <v>1177</v>
      </c>
      <c r="H160" s="26"/>
    </row>
    <row r="161">
      <c r="A161" s="16" t="s">
        <v>1181</v>
      </c>
      <c r="B161" s="28" t="s">
        <v>1209</v>
      </c>
      <c r="C161" s="28" t="s">
        <v>1838</v>
      </c>
      <c r="D161" s="28" t="s">
        <v>1295</v>
      </c>
      <c r="E161" s="28" t="s">
        <v>2374</v>
      </c>
      <c r="F161" s="28" t="s">
        <v>1209</v>
      </c>
      <c r="G161" s="28" t="s">
        <v>1177</v>
      </c>
      <c r="H161" s="26"/>
    </row>
    <row r="162">
      <c r="A162" s="16" t="s">
        <v>1182</v>
      </c>
      <c r="B162" s="21" t="s">
        <v>1368</v>
      </c>
      <c r="C162" s="21" t="s">
        <v>1420</v>
      </c>
      <c r="D162" s="21" t="s">
        <v>1393</v>
      </c>
      <c r="E162" s="21" t="s">
        <v>2015</v>
      </c>
      <c r="F162" s="21" t="s">
        <v>1368</v>
      </c>
      <c r="G162" s="21" t="s">
        <v>1177</v>
      </c>
      <c r="H162" s="26"/>
    </row>
    <row r="163">
      <c r="A163" s="16" t="s">
        <v>1186</v>
      </c>
      <c r="B163" s="28" t="s">
        <v>1257</v>
      </c>
      <c r="C163" s="28" t="s">
        <v>1406</v>
      </c>
      <c r="D163" s="28" t="s">
        <v>1257</v>
      </c>
      <c r="E163" s="28" t="s">
        <v>1235</v>
      </c>
      <c r="F163" s="28" t="s">
        <v>1284</v>
      </c>
      <c r="G163" s="28" t="s">
        <v>1177</v>
      </c>
      <c r="H163" s="26"/>
    </row>
    <row r="164">
      <c r="A164" s="20" t="s">
        <v>1188</v>
      </c>
      <c r="B164" s="21" t="s">
        <v>1724</v>
      </c>
      <c r="C164" s="21" t="s">
        <v>1423</v>
      </c>
      <c r="D164" s="21" t="s">
        <v>1695</v>
      </c>
      <c r="E164" s="21" t="s">
        <v>1874</v>
      </c>
      <c r="F164" s="21" t="s">
        <v>1828</v>
      </c>
      <c r="G164" s="21" t="s">
        <v>1177</v>
      </c>
      <c r="H164" s="26"/>
    </row>
    <row r="165">
      <c r="A165" s="29"/>
      <c r="B165" s="21" t="s">
        <v>1740</v>
      </c>
      <c r="C165" s="21" t="s">
        <v>1324</v>
      </c>
      <c r="D165" s="21" t="s">
        <v>1395</v>
      </c>
      <c r="E165" s="21" t="s">
        <v>1594</v>
      </c>
      <c r="F165" s="21" t="s">
        <v>1890</v>
      </c>
      <c r="G165" s="21" t="s">
        <v>1177</v>
      </c>
      <c r="H165" s="26"/>
    </row>
    <row r="166">
      <c r="A166" s="29"/>
      <c r="B166" s="21" t="s">
        <v>1652</v>
      </c>
      <c r="C166" s="21" t="s">
        <v>1323</v>
      </c>
      <c r="D166" s="21" t="s">
        <v>1362</v>
      </c>
      <c r="E166" s="21" t="s">
        <v>1749</v>
      </c>
      <c r="F166" s="21" t="s">
        <v>1771</v>
      </c>
      <c r="G166" s="21" t="s">
        <v>1177</v>
      </c>
      <c r="H166" s="26"/>
    </row>
    <row r="167">
      <c r="A167" s="24"/>
      <c r="B167" s="21" t="s">
        <v>1362</v>
      </c>
      <c r="C167" s="21" t="s">
        <v>1896</v>
      </c>
      <c r="D167" s="21" t="s">
        <v>1623</v>
      </c>
      <c r="E167" s="21" t="s">
        <v>1915</v>
      </c>
      <c r="F167" s="21" t="s">
        <v>1377</v>
      </c>
      <c r="G167" s="21" t="s">
        <v>1177</v>
      </c>
      <c r="H167" s="30"/>
      <c r="I167" s="14"/>
    </row>
    <row r="168">
      <c r="A168" s="16" t="s">
        <v>1174</v>
      </c>
      <c r="B168" s="17" t="s">
        <v>2375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4)),Dex!$A$2:$C954,3,false),"")</f>
        <v/>
      </c>
      <c r="C169" s="21" t="str">
        <f t="array" ref="C169">iferror(VLOOKUP(INDIRECT(ADDRESS(ROW()+1,COLUMN(), 4)),Dex!$A$2:$C954,3,false),"")</f>
        <v/>
      </c>
      <c r="D169" s="21" t="str">
        <f t="array" ref="D169">iferror(VLOOKUP(INDIRECT(ADDRESS(ROW()+1,COLUMN(), 4)),Dex!$A$2:$C954,3,false),"")</f>
        <v/>
      </c>
      <c r="E169" s="21" t="str">
        <f t="array" ref="E169">iferror(VLOOKUP(INDIRECT(ADDRESS(ROW()+1,COLUMN(), 4)),Dex!$A$2:$C954,3,false),"")</f>
        <v/>
      </c>
      <c r="F169" s="21" t="s">
        <v>1177</v>
      </c>
      <c r="G169" s="21" t="s">
        <v>1177</v>
      </c>
      <c r="H169" s="22" t="str">
        <f t="array" ref="H169">iferror(VLOOKUP("TRAINER_PIC_COOLTRAINER_F",Sprites!$A$1:$B954,2,false),"")</f>
        <v/>
      </c>
      <c r="I169" s="23"/>
    </row>
    <row r="170">
      <c r="A170" s="24"/>
      <c r="B170" s="25" t="s">
        <v>571</v>
      </c>
      <c r="C170" s="25" t="s">
        <v>334</v>
      </c>
      <c r="D170" s="25" t="s">
        <v>659</v>
      </c>
      <c r="E170" s="25" t="s">
        <v>1128</v>
      </c>
      <c r="F170" s="25" t="s">
        <v>1177</v>
      </c>
      <c r="G170" s="25" t="s">
        <v>1177</v>
      </c>
      <c r="H170" s="26"/>
    </row>
    <row r="171">
      <c r="A171" s="16" t="s">
        <v>1178</v>
      </c>
      <c r="B171" s="27" t="s">
        <v>2351</v>
      </c>
      <c r="C171" s="27" t="s">
        <v>2208</v>
      </c>
      <c r="D171" s="27" t="s">
        <v>2351</v>
      </c>
      <c r="E171" s="27" t="s">
        <v>2208</v>
      </c>
      <c r="F171" s="21" t="s">
        <v>1177</v>
      </c>
      <c r="G171" s="21" t="s">
        <v>1177</v>
      </c>
      <c r="H171" s="26"/>
    </row>
    <row r="172">
      <c r="A172" s="16" t="s">
        <v>1181</v>
      </c>
      <c r="B172" s="28" t="s">
        <v>1209</v>
      </c>
      <c r="C172" s="28" t="s">
        <v>1643</v>
      </c>
      <c r="D172" s="28" t="s">
        <v>1833</v>
      </c>
      <c r="E172" s="28" t="s">
        <v>2276</v>
      </c>
      <c r="F172" s="28" t="s">
        <v>1177</v>
      </c>
      <c r="G172" s="28" t="s">
        <v>1177</v>
      </c>
      <c r="H172" s="26"/>
    </row>
    <row r="173">
      <c r="A173" s="16" t="s">
        <v>1182</v>
      </c>
      <c r="B173" s="21" t="s">
        <v>2376</v>
      </c>
      <c r="C173" s="21" t="s">
        <v>1211</v>
      </c>
      <c r="D173" s="21" t="s">
        <v>1722</v>
      </c>
      <c r="E173" s="21" t="s">
        <v>1722</v>
      </c>
      <c r="F173" s="21" t="s">
        <v>1177</v>
      </c>
      <c r="G173" s="21" t="s">
        <v>1177</v>
      </c>
      <c r="H173" s="26"/>
    </row>
    <row r="174">
      <c r="A174" s="16" t="s">
        <v>1186</v>
      </c>
      <c r="B174" s="28" t="s">
        <v>1406</v>
      </c>
      <c r="C174" s="28" t="s">
        <v>1248</v>
      </c>
      <c r="D174" s="28" t="s">
        <v>1248</v>
      </c>
      <c r="E174" s="28" t="s">
        <v>1300</v>
      </c>
      <c r="F174" s="28" t="s">
        <v>1177</v>
      </c>
      <c r="G174" s="28" t="s">
        <v>1177</v>
      </c>
      <c r="H174" s="26"/>
    </row>
    <row r="175">
      <c r="A175" s="20" t="s">
        <v>1188</v>
      </c>
      <c r="B175" s="21" t="s">
        <v>1677</v>
      </c>
      <c r="C175" s="21" t="s">
        <v>1678</v>
      </c>
      <c r="D175" s="21" t="s">
        <v>1738</v>
      </c>
      <c r="E175" s="21" t="s">
        <v>2268</v>
      </c>
      <c r="F175" s="21" t="s">
        <v>1177</v>
      </c>
      <c r="G175" s="21" t="s">
        <v>1177</v>
      </c>
      <c r="H175" s="26"/>
    </row>
    <row r="176">
      <c r="A176" s="29"/>
      <c r="B176" s="21" t="s">
        <v>1594</v>
      </c>
      <c r="C176" s="21" t="s">
        <v>1336</v>
      </c>
      <c r="D176" s="21" t="s">
        <v>1466</v>
      </c>
      <c r="E176" s="21" t="s">
        <v>2039</v>
      </c>
      <c r="F176" s="21" t="s">
        <v>1177</v>
      </c>
      <c r="G176" s="21" t="s">
        <v>1177</v>
      </c>
      <c r="H176" s="26"/>
    </row>
    <row r="177">
      <c r="A177" s="29"/>
      <c r="B177" s="21" t="s">
        <v>1705</v>
      </c>
      <c r="C177" s="21" t="s">
        <v>1677</v>
      </c>
      <c r="D177" s="21" t="s">
        <v>1874</v>
      </c>
      <c r="E177" s="21" t="s">
        <v>2305</v>
      </c>
      <c r="F177" s="21" t="s">
        <v>1177</v>
      </c>
      <c r="G177" s="21" t="s">
        <v>1177</v>
      </c>
      <c r="H177" s="26"/>
    </row>
    <row r="178">
      <c r="A178" s="24"/>
      <c r="B178" s="21" t="s">
        <v>1806</v>
      </c>
      <c r="C178" s="21" t="s">
        <v>1896</v>
      </c>
      <c r="D178" s="21" t="s">
        <v>1372</v>
      </c>
      <c r="E178" s="21" t="s">
        <v>1677</v>
      </c>
      <c r="F178" s="21" t="s">
        <v>1177</v>
      </c>
      <c r="G178" s="21" t="s">
        <v>1177</v>
      </c>
      <c r="H178" s="30"/>
      <c r="I178" s="14"/>
    </row>
    <row r="179">
      <c r="A179" s="16" t="s">
        <v>1174</v>
      </c>
      <c r="B179" s="17" t="s">
        <v>2377</v>
      </c>
      <c r="C179" s="18"/>
      <c r="D179" s="18"/>
      <c r="E179" s="18"/>
      <c r="F179" s="18"/>
      <c r="G179" s="18"/>
      <c r="H179" s="18"/>
      <c r="I179" s="16"/>
    </row>
    <row r="180" ht="60.0" customHeight="1">
      <c r="A180" s="20" t="s">
        <v>1176</v>
      </c>
      <c r="B180" s="21" t="str">
        <f t="array" ref="B180">iferror(VLOOKUP(INDIRECT(ADDRESS(ROW()+1,COLUMN(), 4)),Dex!$A$2:$C954,3,false),"")</f>
        <v/>
      </c>
      <c r="C180" s="21" t="str">
        <f t="array" ref="C180">iferror(VLOOKUP(INDIRECT(ADDRESS(ROW()+1,COLUMN(), 4)),Dex!$A$2:$C954,3,false),"")</f>
        <v/>
      </c>
      <c r="D180" s="21" t="str">
        <f t="array" ref="D180">iferror(VLOOKUP(INDIRECT(ADDRESS(ROW()+1,COLUMN(), 4)),Dex!$A$2:$C954,3,false),"")</f>
        <v/>
      </c>
      <c r="E180" s="21" t="str">
        <f t="array" ref="E180">iferror(VLOOKUP(INDIRECT(ADDRESS(ROW()+1,COLUMN(), 4)),Dex!$A$2:$C954,3,false),"")</f>
        <v/>
      </c>
      <c r="F180" s="21" t="s">
        <v>1177</v>
      </c>
      <c r="G180" s="21" t="s">
        <v>1177</v>
      </c>
      <c r="H180" s="22" t="str">
        <f t="array" ref="H180">iferror(VLOOKUP("TRAINER_PIC_YOUNG_COUPLE",Sprites!$A$1:$B954,2,false),"")</f>
        <v/>
      </c>
      <c r="I180" s="23"/>
    </row>
    <row r="181">
      <c r="A181" s="24"/>
      <c r="B181" s="25" t="s">
        <v>682</v>
      </c>
      <c r="C181" s="25" t="s">
        <v>141</v>
      </c>
      <c r="D181" s="25" t="s">
        <v>296</v>
      </c>
      <c r="E181" s="25" t="s">
        <v>595</v>
      </c>
      <c r="F181" s="25" t="s">
        <v>1177</v>
      </c>
      <c r="G181" s="25" t="s">
        <v>1177</v>
      </c>
      <c r="H181" s="26"/>
    </row>
    <row r="182">
      <c r="A182" s="16" t="s">
        <v>1178</v>
      </c>
      <c r="B182" s="27" t="s">
        <v>2367</v>
      </c>
      <c r="C182" s="27" t="s">
        <v>2351</v>
      </c>
      <c r="D182" s="27" t="s">
        <v>2208</v>
      </c>
      <c r="E182" s="27" t="s">
        <v>2208</v>
      </c>
      <c r="F182" s="21" t="s">
        <v>1177</v>
      </c>
      <c r="G182" s="21" t="s">
        <v>1177</v>
      </c>
      <c r="H182" s="26"/>
    </row>
    <row r="183">
      <c r="A183" s="16" t="s">
        <v>1181</v>
      </c>
      <c r="B183" s="28" t="s">
        <v>1643</v>
      </c>
      <c r="C183" s="28" t="s">
        <v>2374</v>
      </c>
      <c r="D183" s="28" t="s">
        <v>1247</v>
      </c>
      <c r="E183" s="28" t="s">
        <v>1209</v>
      </c>
      <c r="F183" s="28" t="s">
        <v>1177</v>
      </c>
      <c r="G183" s="28" t="s">
        <v>1177</v>
      </c>
      <c r="H183" s="26"/>
    </row>
    <row r="184">
      <c r="A184" s="16" t="s">
        <v>1182</v>
      </c>
      <c r="B184" s="21" t="s">
        <v>1667</v>
      </c>
      <c r="C184" s="21" t="s">
        <v>1368</v>
      </c>
      <c r="D184" s="21" t="s">
        <v>2015</v>
      </c>
      <c r="E184" s="21" t="s">
        <v>2066</v>
      </c>
      <c r="F184" s="21" t="s">
        <v>1177</v>
      </c>
      <c r="G184" s="21" t="s">
        <v>1177</v>
      </c>
      <c r="H184" s="26"/>
    </row>
    <row r="185">
      <c r="A185" s="16" t="s">
        <v>1186</v>
      </c>
      <c r="B185" s="28" t="s">
        <v>1257</v>
      </c>
      <c r="C185" s="28" t="s">
        <v>1284</v>
      </c>
      <c r="D185" s="28" t="s">
        <v>1235</v>
      </c>
      <c r="E185" s="28" t="s">
        <v>1235</v>
      </c>
      <c r="F185" s="28" t="s">
        <v>1177</v>
      </c>
      <c r="G185" s="28" t="s">
        <v>1177</v>
      </c>
      <c r="H185" s="26"/>
    </row>
    <row r="186">
      <c r="A186" s="20" t="s">
        <v>1188</v>
      </c>
      <c r="B186" s="21" t="s">
        <v>1621</v>
      </c>
      <c r="C186" s="21" t="s">
        <v>2198</v>
      </c>
      <c r="D186" s="21" t="s">
        <v>1874</v>
      </c>
      <c r="E186" s="21" t="s">
        <v>1779</v>
      </c>
      <c r="F186" s="21" t="s">
        <v>1177</v>
      </c>
      <c r="G186" s="21" t="s">
        <v>1177</v>
      </c>
      <c r="H186" s="26"/>
    </row>
    <row r="187">
      <c r="A187" s="29"/>
      <c r="B187" s="21" t="s">
        <v>2378</v>
      </c>
      <c r="C187" s="21" t="s">
        <v>1742</v>
      </c>
      <c r="D187" s="21" t="s">
        <v>1777</v>
      </c>
      <c r="E187" s="21" t="s">
        <v>2068</v>
      </c>
      <c r="F187" s="21" t="s">
        <v>1177</v>
      </c>
      <c r="G187" s="21" t="s">
        <v>1177</v>
      </c>
      <c r="H187" s="26"/>
    </row>
    <row r="188">
      <c r="A188" s="29"/>
      <c r="B188" s="21" t="s">
        <v>1361</v>
      </c>
      <c r="C188" s="21" t="s">
        <v>1739</v>
      </c>
      <c r="D188" s="21" t="s">
        <v>1438</v>
      </c>
      <c r="E188" s="21" t="s">
        <v>1651</v>
      </c>
      <c r="F188" s="21" t="s">
        <v>1177</v>
      </c>
      <c r="G188" s="21" t="s">
        <v>1177</v>
      </c>
      <c r="H188" s="26"/>
    </row>
    <row r="189">
      <c r="A189" s="24"/>
      <c r="B189" s="21" t="s">
        <v>1606</v>
      </c>
      <c r="C189" s="21" t="s">
        <v>1389</v>
      </c>
      <c r="D189" s="21" t="s">
        <v>2298</v>
      </c>
      <c r="E189" s="21" t="s">
        <v>1307</v>
      </c>
      <c r="F189" s="21" t="s">
        <v>1177</v>
      </c>
      <c r="G189" s="21" t="s">
        <v>1177</v>
      </c>
      <c r="H189" s="30"/>
      <c r="I189" s="14"/>
    </row>
    <row r="190">
      <c r="A190" s="16" t="s">
        <v>1174</v>
      </c>
      <c r="B190" s="17" t="s">
        <v>2379</v>
      </c>
      <c r="C190" s="18"/>
      <c r="D190" s="18"/>
      <c r="E190" s="18"/>
      <c r="F190" s="18"/>
      <c r="G190" s="18"/>
      <c r="H190" s="18"/>
      <c r="I190" s="16"/>
    </row>
    <row r="191" ht="60.0" customHeight="1">
      <c r="A191" s="20" t="s">
        <v>1176</v>
      </c>
      <c r="B191" s="21" t="str">
        <f t="array" ref="B191">iferror(VLOOKUP(INDIRECT(ADDRESS(ROW()+1,COLUMN(), 4)),Dex!$A$2:$C954,3,false),"")</f>
        <v/>
      </c>
      <c r="C191" s="21" t="str">
        <f t="array" ref="C191">iferror(VLOOKUP(INDIRECT(ADDRESS(ROW()+1,COLUMN(), 4)),Dex!$A$2:$C954,3,false),"")</f>
        <v/>
      </c>
      <c r="D191" s="21" t="str">
        <f t="array" ref="D191">iferror(VLOOKUP(INDIRECT(ADDRESS(ROW()+1,COLUMN(), 4)),Dex!$A$2:$C954,3,false),"")</f>
        <v/>
      </c>
      <c r="E191" s="21" t="str">
        <f t="array" ref="E191">iferror(VLOOKUP(INDIRECT(ADDRESS(ROW()+1,COLUMN(), 4)),Dex!$A$2:$C954,3,false),"")</f>
        <v/>
      </c>
      <c r="F191" s="21" t="str">
        <f t="array" ref="F191">iferror(VLOOKUP(INDIRECT(ADDRESS(ROW()+1,COLUMN(), 4)),Dex!$A$2:$C954,3,false),"")</f>
        <v/>
      </c>
      <c r="G191" s="21" t="s">
        <v>1177</v>
      </c>
      <c r="H191" s="22" t="str">
        <f t="array" ref="H191">iferror(VLOOKUP("TRAINER_PIC_GENTLEMAN",Sprites!$A$1:$B954,2,false),"")</f>
        <v/>
      </c>
      <c r="I191" s="23"/>
    </row>
    <row r="192">
      <c r="A192" s="24"/>
      <c r="B192" s="25" t="s">
        <v>290</v>
      </c>
      <c r="C192" s="25" t="s">
        <v>955</v>
      </c>
      <c r="D192" s="25" t="s">
        <v>408</v>
      </c>
      <c r="E192" s="25" t="s">
        <v>985</v>
      </c>
      <c r="F192" s="25" t="s">
        <v>261</v>
      </c>
      <c r="G192" s="25" t="s">
        <v>1177</v>
      </c>
      <c r="H192" s="26"/>
    </row>
    <row r="193">
      <c r="A193" s="16" t="s">
        <v>1178</v>
      </c>
      <c r="B193" s="27" t="s">
        <v>2351</v>
      </c>
      <c r="C193" s="27" t="s">
        <v>2351</v>
      </c>
      <c r="D193" s="27" t="s">
        <v>2208</v>
      </c>
      <c r="E193" s="27" t="s">
        <v>2208</v>
      </c>
      <c r="F193" s="27" t="s">
        <v>2208</v>
      </c>
      <c r="G193" s="21" t="s">
        <v>1177</v>
      </c>
      <c r="H193" s="26"/>
    </row>
    <row r="194">
      <c r="A194" s="16" t="s">
        <v>1181</v>
      </c>
      <c r="B194" s="28" t="s">
        <v>1457</v>
      </c>
      <c r="C194" s="28" t="s">
        <v>1295</v>
      </c>
      <c r="D194" s="28" t="s">
        <v>1882</v>
      </c>
      <c r="E194" s="28" t="s">
        <v>2380</v>
      </c>
      <c r="F194" s="28" t="s">
        <v>1962</v>
      </c>
      <c r="G194" s="28" t="s">
        <v>1177</v>
      </c>
      <c r="H194" s="26"/>
    </row>
    <row r="195">
      <c r="A195" s="16" t="s">
        <v>1182</v>
      </c>
      <c r="B195" s="21" t="s">
        <v>1298</v>
      </c>
      <c r="C195" s="21" t="s">
        <v>1404</v>
      </c>
      <c r="D195" s="21" t="s">
        <v>1357</v>
      </c>
      <c r="E195" s="21" t="s">
        <v>2381</v>
      </c>
      <c r="F195" s="21" t="s">
        <v>2004</v>
      </c>
      <c r="G195" s="21" t="s">
        <v>1177</v>
      </c>
      <c r="H195" s="26"/>
    </row>
    <row r="196">
      <c r="A196" s="16" t="s">
        <v>1186</v>
      </c>
      <c r="B196" s="28" t="s">
        <v>1406</v>
      </c>
      <c r="C196" s="28" t="s">
        <v>1406</v>
      </c>
      <c r="D196" s="28" t="s">
        <v>1284</v>
      </c>
      <c r="E196" s="28" t="s">
        <v>1269</v>
      </c>
      <c r="F196" s="28" t="s">
        <v>1235</v>
      </c>
      <c r="G196" s="28" t="s">
        <v>1177</v>
      </c>
      <c r="H196" s="26"/>
    </row>
    <row r="197">
      <c r="A197" s="20" t="s">
        <v>1188</v>
      </c>
      <c r="B197" s="21" t="s">
        <v>1372</v>
      </c>
      <c r="C197" s="21" t="s">
        <v>1423</v>
      </c>
      <c r="D197" s="21" t="s">
        <v>1724</v>
      </c>
      <c r="E197" s="21" t="s">
        <v>2382</v>
      </c>
      <c r="F197" s="21" t="s">
        <v>1817</v>
      </c>
      <c r="G197" s="21" t="s">
        <v>1177</v>
      </c>
      <c r="H197" s="26"/>
    </row>
    <row r="198">
      <c r="A198" s="29"/>
      <c r="B198" s="21" t="s">
        <v>1759</v>
      </c>
      <c r="C198" s="21" t="s">
        <v>1385</v>
      </c>
      <c r="D198" s="21" t="s">
        <v>1740</v>
      </c>
      <c r="E198" s="21" t="s">
        <v>1336</v>
      </c>
      <c r="F198" s="21" t="s">
        <v>1372</v>
      </c>
      <c r="G198" s="21" t="s">
        <v>1177</v>
      </c>
      <c r="H198" s="26"/>
    </row>
    <row r="199">
      <c r="A199" s="29"/>
      <c r="B199" s="21" t="s">
        <v>1376</v>
      </c>
      <c r="C199" s="21" t="s">
        <v>1410</v>
      </c>
      <c r="D199" s="21" t="s">
        <v>1470</v>
      </c>
      <c r="E199" s="21" t="s">
        <v>1830</v>
      </c>
      <c r="F199" s="21" t="s">
        <v>1236</v>
      </c>
      <c r="G199" s="21" t="s">
        <v>1177</v>
      </c>
      <c r="H199" s="26"/>
    </row>
    <row r="200">
      <c r="A200" s="24"/>
      <c r="B200" s="21" t="s">
        <v>1262</v>
      </c>
      <c r="C200" s="21" t="s">
        <v>1389</v>
      </c>
      <c r="D200" s="21" t="s">
        <v>1743</v>
      </c>
      <c r="E200" s="21" t="s">
        <v>1740</v>
      </c>
      <c r="F200" s="21" t="s">
        <v>1307</v>
      </c>
      <c r="G200" s="21" t="s">
        <v>1177</v>
      </c>
      <c r="H200" s="30"/>
      <c r="I200" s="14"/>
    </row>
    <row r="201">
      <c r="A201" s="16" t="s">
        <v>1174</v>
      </c>
      <c r="B201" s="17" t="s">
        <v>2383</v>
      </c>
      <c r="C201" s="18"/>
      <c r="D201" s="18"/>
      <c r="E201" s="18"/>
      <c r="F201" s="18"/>
      <c r="G201" s="18"/>
      <c r="H201" s="18"/>
      <c r="I201" s="16"/>
    </row>
    <row r="202" ht="60.0" customHeight="1">
      <c r="A202" s="20" t="s">
        <v>1176</v>
      </c>
      <c r="B202" s="21" t="str">
        <f t="array" ref="B202">iferror(VLOOKUP(INDIRECT(ADDRESS(ROW()+1,COLUMN(), 4)),Dex!$A$2:$C954,3,false),"")</f>
        <v/>
      </c>
      <c r="C202" s="21" t="str">
        <f t="array" ref="C202">iferror(VLOOKUP(INDIRECT(ADDRESS(ROW()+1,COLUMN(), 4)),Dex!$A$2:$C954,3,false),"")</f>
        <v/>
      </c>
      <c r="D202" s="21" t="str">
        <f t="array" ref="D202">iferror(VLOOKUP(INDIRECT(ADDRESS(ROW()+1,COLUMN(), 4)),Dex!$A$2:$C954,3,false),"")</f>
        <v/>
      </c>
      <c r="E202" s="21" t="s">
        <v>1177</v>
      </c>
      <c r="F202" s="21" t="s">
        <v>1177</v>
      </c>
      <c r="G202" s="21" t="s">
        <v>1177</v>
      </c>
      <c r="H202" s="22" t="str">
        <f t="array" ref="H202">iferror(VLOOKUP("TRAINER_PIC_POKEFAN_F",Sprites!$A$1:$B954,2,false),"")</f>
        <v/>
      </c>
      <c r="I202" s="23"/>
    </row>
    <row r="203">
      <c r="A203" s="24"/>
      <c r="B203" s="25" t="s">
        <v>993</v>
      </c>
      <c r="C203" s="25" t="s">
        <v>857</v>
      </c>
      <c r="D203" s="25" t="s">
        <v>738</v>
      </c>
      <c r="E203" s="25" t="s">
        <v>1177</v>
      </c>
      <c r="F203" s="25" t="s">
        <v>1177</v>
      </c>
      <c r="G203" s="25" t="s">
        <v>1177</v>
      </c>
      <c r="H203" s="26"/>
    </row>
    <row r="204">
      <c r="A204" s="16" t="s">
        <v>1178</v>
      </c>
      <c r="B204" s="27" t="s">
        <v>2367</v>
      </c>
      <c r="C204" s="27" t="s">
        <v>2367</v>
      </c>
      <c r="D204" s="27" t="s">
        <v>2351</v>
      </c>
      <c r="E204" s="21" t="s">
        <v>1177</v>
      </c>
      <c r="F204" s="21" t="s">
        <v>1177</v>
      </c>
      <c r="G204" s="21" t="s">
        <v>1177</v>
      </c>
      <c r="H204" s="26"/>
    </row>
    <row r="205">
      <c r="A205" s="16" t="s">
        <v>1181</v>
      </c>
      <c r="B205" s="28" t="s">
        <v>1230</v>
      </c>
      <c r="C205" s="28" t="s">
        <v>2151</v>
      </c>
      <c r="D205" s="28" t="s">
        <v>1882</v>
      </c>
      <c r="E205" s="28" t="s">
        <v>1177</v>
      </c>
      <c r="F205" s="28" t="s">
        <v>1177</v>
      </c>
      <c r="G205" s="28" t="s">
        <v>1177</v>
      </c>
      <c r="H205" s="26"/>
    </row>
    <row r="206">
      <c r="A206" s="16" t="s">
        <v>1182</v>
      </c>
      <c r="B206" s="21" t="s">
        <v>1947</v>
      </c>
      <c r="C206" s="21" t="s">
        <v>2384</v>
      </c>
      <c r="D206" s="21" t="s">
        <v>1604</v>
      </c>
      <c r="E206" s="21" t="s">
        <v>1177</v>
      </c>
      <c r="F206" s="21" t="s">
        <v>1177</v>
      </c>
      <c r="G206" s="21" t="s">
        <v>1177</v>
      </c>
      <c r="H206" s="26"/>
    </row>
    <row r="207">
      <c r="A207" s="16" t="s">
        <v>1186</v>
      </c>
      <c r="B207" s="28" t="s">
        <v>1754</v>
      </c>
      <c r="C207" s="28" t="s">
        <v>1447</v>
      </c>
      <c r="D207" s="28" t="s">
        <v>1447</v>
      </c>
      <c r="E207" s="28" t="s">
        <v>1177</v>
      </c>
      <c r="F207" s="28" t="s">
        <v>1177</v>
      </c>
      <c r="G207" s="28" t="s">
        <v>1177</v>
      </c>
      <c r="H207" s="26"/>
    </row>
    <row r="208">
      <c r="A208" s="20" t="s">
        <v>1188</v>
      </c>
      <c r="B208" s="21" t="s">
        <v>1372</v>
      </c>
      <c r="C208" s="21" t="s">
        <v>1815</v>
      </c>
      <c r="D208" s="21" t="s">
        <v>1731</v>
      </c>
      <c r="E208" s="21" t="s">
        <v>1177</v>
      </c>
      <c r="F208" s="21" t="s">
        <v>1177</v>
      </c>
      <c r="G208" s="21" t="s">
        <v>1177</v>
      </c>
      <c r="H208" s="26"/>
    </row>
    <row r="209">
      <c r="A209" s="29"/>
      <c r="B209" s="21" t="s">
        <v>1952</v>
      </c>
      <c r="C209" s="21" t="s">
        <v>1731</v>
      </c>
      <c r="D209" s="21" t="s">
        <v>1663</v>
      </c>
      <c r="E209" s="21" t="s">
        <v>1177</v>
      </c>
      <c r="F209" s="21" t="s">
        <v>1177</v>
      </c>
      <c r="G209" s="21" t="s">
        <v>1177</v>
      </c>
      <c r="H209" s="26"/>
    </row>
    <row r="210">
      <c r="A210" s="29"/>
      <c r="B210" s="21" t="s">
        <v>1641</v>
      </c>
      <c r="C210" s="21" t="s">
        <v>1771</v>
      </c>
      <c r="D210" s="21" t="s">
        <v>1587</v>
      </c>
      <c r="E210" s="21" t="s">
        <v>1177</v>
      </c>
      <c r="F210" s="21" t="s">
        <v>1177</v>
      </c>
      <c r="G210" s="21" t="s">
        <v>1177</v>
      </c>
      <c r="H210" s="26"/>
    </row>
    <row r="211">
      <c r="A211" s="24"/>
      <c r="B211" s="21" t="s">
        <v>1954</v>
      </c>
      <c r="C211" s="21" t="s">
        <v>1954</v>
      </c>
      <c r="D211" s="21" t="s">
        <v>1954</v>
      </c>
      <c r="E211" s="21" t="s">
        <v>1177</v>
      </c>
      <c r="F211" s="21" t="s">
        <v>1177</v>
      </c>
      <c r="G211" s="21" t="s">
        <v>1177</v>
      </c>
      <c r="H211" s="30"/>
      <c r="I211" s="14"/>
    </row>
    <row r="212">
      <c r="A212" s="37"/>
      <c r="B212" s="38" t="s">
        <v>2385</v>
      </c>
      <c r="C212" s="14"/>
      <c r="D212" s="14"/>
      <c r="E212" s="14"/>
      <c r="F212" s="14"/>
      <c r="G212" s="14"/>
      <c r="H212" s="24"/>
      <c r="I212" s="33"/>
    </row>
    <row r="213">
      <c r="A213" s="16" t="s">
        <v>1174</v>
      </c>
      <c r="B213" s="17" t="s">
        <v>2386</v>
      </c>
      <c r="C213" s="18"/>
      <c r="D213" s="18"/>
      <c r="E213" s="18"/>
      <c r="F213" s="18"/>
      <c r="G213" s="18"/>
      <c r="H213" s="18"/>
      <c r="I213" s="16"/>
    </row>
    <row r="214" ht="60.0" customHeight="1">
      <c r="A214" s="20" t="s">
        <v>1176</v>
      </c>
      <c r="B214" s="21" t="str">
        <f t="array" ref="B214">iferror(VLOOKUP(INDIRECT(ADDRESS(ROW()+1,COLUMN(), 4)),Dex!$A$2:$C954,3,false),"")</f>
        <v/>
      </c>
      <c r="C214" s="21" t="str">
        <f t="array" ref="C214">iferror(VLOOKUP(INDIRECT(ADDRESS(ROW()+1,COLUMN(), 4)),Dex!$A$2:$C954,3,false),"")</f>
        <v/>
      </c>
      <c r="D214" s="21" t="str">
        <f t="array" ref="D214">iferror(VLOOKUP(INDIRECT(ADDRESS(ROW()+1,COLUMN(), 4)),Dex!$A$2:$C954,3,false),"")</f>
        <v/>
      </c>
      <c r="E214" s="21" t="str">
        <f t="array" ref="E214">iferror(VLOOKUP(INDIRECT(ADDRESS(ROW()+1,COLUMN(), 4)),Dex!$A$2:$C954,3,false),"")</f>
        <v/>
      </c>
      <c r="F214" s="21" t="str">
        <f t="array" ref="F214">iferror(VLOOKUP(INDIRECT(ADDRESS(ROW()+1,COLUMN(), 4)),Dex!$A$2:$C954,3,false),"")</f>
        <v/>
      </c>
      <c r="G214" s="21" t="str">
        <f t="array" ref="G214">iferror(VLOOKUP(INDIRECT(ADDRESS(ROW()+1,COLUMN(), 4)),Dex!$A$2:$C954,3,false),"")</f>
        <v/>
      </c>
      <c r="H214" s="22" t="str">
        <f t="array" ref="H214">iferror(VLOOKUP("TRAINER_PIC_MAY",Sprites!$A$1:$B954,2,false),"")</f>
        <v/>
      </c>
      <c r="I214" s="23"/>
    </row>
    <row r="215">
      <c r="A215" s="24"/>
      <c r="B215" s="25" t="s">
        <v>564</v>
      </c>
      <c r="C215" s="25" t="s">
        <v>101</v>
      </c>
      <c r="D215" s="25" t="s">
        <v>97</v>
      </c>
      <c r="E215" s="25" t="s">
        <v>1036</v>
      </c>
      <c r="F215" s="25" t="s">
        <v>217</v>
      </c>
      <c r="G215" s="25" t="s">
        <v>343</v>
      </c>
      <c r="H215" s="26"/>
    </row>
    <row r="216">
      <c r="A216" s="16" t="s">
        <v>1178</v>
      </c>
      <c r="B216" s="27" t="s">
        <v>2367</v>
      </c>
      <c r="C216" s="27" t="s">
        <v>2367</v>
      </c>
      <c r="D216" s="27" t="s">
        <v>2367</v>
      </c>
      <c r="E216" s="27" t="s">
        <v>2367</v>
      </c>
      <c r="F216" s="27" t="s">
        <v>2358</v>
      </c>
      <c r="G216" s="27" t="s">
        <v>2358</v>
      </c>
      <c r="H216" s="26"/>
    </row>
    <row r="217">
      <c r="A217" s="16" t="s">
        <v>1181</v>
      </c>
      <c r="B217" s="28" t="s">
        <v>1581</v>
      </c>
      <c r="C217" s="28" t="s">
        <v>1295</v>
      </c>
      <c r="D217" s="28" t="s">
        <v>1247</v>
      </c>
      <c r="E217" s="28" t="s">
        <v>1838</v>
      </c>
      <c r="F217" s="28" t="s">
        <v>1457</v>
      </c>
      <c r="G217" s="28" t="s">
        <v>2313</v>
      </c>
      <c r="H217" s="26"/>
    </row>
    <row r="218">
      <c r="A218" s="16" t="s">
        <v>1182</v>
      </c>
      <c r="B218" s="21" t="s">
        <v>1266</v>
      </c>
      <c r="C218" s="21" t="s">
        <v>1971</v>
      </c>
      <c r="D218" s="21" t="s">
        <v>1356</v>
      </c>
      <c r="E218" s="21" t="s">
        <v>1420</v>
      </c>
      <c r="F218" s="21" t="s">
        <v>2109</v>
      </c>
      <c r="G218" s="21" t="s">
        <v>1669</v>
      </c>
      <c r="H218" s="26"/>
    </row>
    <row r="219">
      <c r="A219" s="16" t="s">
        <v>1186</v>
      </c>
      <c r="B219" s="28" t="s">
        <v>1269</v>
      </c>
      <c r="C219" s="28" t="s">
        <v>1235</v>
      </c>
      <c r="D219" s="28" t="s">
        <v>1284</v>
      </c>
      <c r="E219" s="28" t="s">
        <v>1406</v>
      </c>
      <c r="F219" s="28" t="s">
        <v>1284</v>
      </c>
      <c r="G219" s="28" t="s">
        <v>1235</v>
      </c>
      <c r="H219" s="26"/>
    </row>
    <row r="220">
      <c r="A220" s="20" t="s">
        <v>1188</v>
      </c>
      <c r="B220" s="21" t="s">
        <v>1677</v>
      </c>
      <c r="C220" s="21" t="s">
        <v>1972</v>
      </c>
      <c r="D220" s="21" t="s">
        <v>1731</v>
      </c>
      <c r="E220" s="21" t="s">
        <v>2387</v>
      </c>
      <c r="F220" s="21" t="s">
        <v>1822</v>
      </c>
      <c r="G220" s="21" t="s">
        <v>1816</v>
      </c>
      <c r="H220" s="26"/>
    </row>
    <row r="221">
      <c r="A221" s="29"/>
      <c r="B221" s="21" t="s">
        <v>2277</v>
      </c>
      <c r="C221" s="21" t="s">
        <v>1678</v>
      </c>
      <c r="D221" s="21" t="s">
        <v>1605</v>
      </c>
      <c r="E221" s="21" t="s">
        <v>1804</v>
      </c>
      <c r="F221" s="21" t="s">
        <v>2388</v>
      </c>
      <c r="G221" s="21" t="s">
        <v>1712</v>
      </c>
      <c r="H221" s="26"/>
    </row>
    <row r="222">
      <c r="A222" s="29"/>
      <c r="B222" s="21" t="s">
        <v>2104</v>
      </c>
      <c r="C222" s="21" t="s">
        <v>1307</v>
      </c>
      <c r="D222" s="21" t="s">
        <v>1742</v>
      </c>
      <c r="E222" s="21" t="s">
        <v>1323</v>
      </c>
      <c r="F222" s="21" t="s">
        <v>1629</v>
      </c>
      <c r="G222" s="21" t="s">
        <v>1677</v>
      </c>
      <c r="H222" s="26"/>
    </row>
    <row r="223">
      <c r="A223" s="24"/>
      <c r="B223" s="21" t="s">
        <v>1705</v>
      </c>
      <c r="C223" s="21" t="s">
        <v>1959</v>
      </c>
      <c r="D223" s="21" t="s">
        <v>1771</v>
      </c>
      <c r="E223" s="21" t="s">
        <v>1425</v>
      </c>
      <c r="F223" s="21" t="s">
        <v>1891</v>
      </c>
      <c r="G223" s="21" t="s">
        <v>1641</v>
      </c>
      <c r="H223" s="30"/>
      <c r="I223" s="14"/>
    </row>
    <row r="224">
      <c r="A224" s="16" t="s">
        <v>1174</v>
      </c>
      <c r="B224" s="17" t="s">
        <v>2389</v>
      </c>
      <c r="C224" s="18"/>
      <c r="D224" s="18"/>
      <c r="E224" s="18"/>
      <c r="F224" s="18"/>
      <c r="G224" s="18"/>
      <c r="H224" s="18"/>
      <c r="I224" s="16"/>
    </row>
    <row r="225" ht="60.0" customHeight="1">
      <c r="A225" s="20" t="s">
        <v>1176</v>
      </c>
      <c r="B225" s="21" t="str">
        <f t="array" ref="B225">iferror(VLOOKUP(INDIRECT(ADDRESS(ROW()+1,COLUMN(), 4)),Dex!$A$2:$C954,3,false),"")</f>
        <v/>
      </c>
      <c r="C225" s="21" t="str">
        <f t="array" ref="C225">iferror(VLOOKUP(INDIRECT(ADDRESS(ROW()+1,COLUMN(), 4)),Dex!$A$2:$C954,3,false),"")</f>
        <v/>
      </c>
      <c r="D225" s="21" t="str">
        <f t="array" ref="D225">iferror(VLOOKUP(INDIRECT(ADDRESS(ROW()+1,COLUMN(), 4)),Dex!$A$2:$C954,3,false),"")</f>
        <v/>
      </c>
      <c r="E225" s="21" t="str">
        <f t="array" ref="E225">iferror(VLOOKUP(INDIRECT(ADDRESS(ROW()+1,COLUMN(), 4)),Dex!$A$2:$C954,3,false),"")</f>
        <v/>
      </c>
      <c r="F225" s="21" t="str">
        <f t="array" ref="F225">iferror(VLOOKUP(INDIRECT(ADDRESS(ROW()+1,COLUMN(), 4)),Dex!$A$2:$C954,3,false),"")</f>
        <v/>
      </c>
      <c r="G225" s="21" t="str">
        <f t="array" ref="G225">iferror(VLOOKUP(INDIRECT(ADDRESS(ROW()+1,COLUMN(), 4)),Dex!$A$2:$C954,3,false),"")</f>
        <v/>
      </c>
      <c r="H225" s="22" t="str">
        <f t="array" ref="H225">iferror(VLOOKUP("TRAINER_PIC_MAY",Sprites!$A$1:$B954,2,false),"")</f>
        <v/>
      </c>
      <c r="I225" s="23"/>
    </row>
    <row r="226">
      <c r="A226" s="24"/>
      <c r="B226" s="25" t="s">
        <v>564</v>
      </c>
      <c r="C226" s="25" t="s">
        <v>101</v>
      </c>
      <c r="D226" s="25" t="s">
        <v>583</v>
      </c>
      <c r="E226" s="25" t="s">
        <v>1036</v>
      </c>
      <c r="F226" s="25" t="s">
        <v>213</v>
      </c>
      <c r="G226" s="25" t="s">
        <v>347</v>
      </c>
      <c r="H226" s="26"/>
    </row>
    <row r="227">
      <c r="A227" s="16" t="s">
        <v>1178</v>
      </c>
      <c r="B227" s="27" t="s">
        <v>2367</v>
      </c>
      <c r="C227" s="27" t="s">
        <v>2367</v>
      </c>
      <c r="D227" s="27" t="s">
        <v>2367</v>
      </c>
      <c r="E227" s="27" t="s">
        <v>2367</v>
      </c>
      <c r="F227" s="27" t="s">
        <v>2358</v>
      </c>
      <c r="G227" s="27" t="s">
        <v>2358</v>
      </c>
      <c r="H227" s="26"/>
    </row>
    <row r="228">
      <c r="A228" s="16" t="s">
        <v>1181</v>
      </c>
      <c r="B228" s="28" t="s">
        <v>1581</v>
      </c>
      <c r="C228" s="28" t="s">
        <v>1295</v>
      </c>
      <c r="D228" s="28" t="s">
        <v>1882</v>
      </c>
      <c r="E228" s="28" t="s">
        <v>1838</v>
      </c>
      <c r="F228" s="28" t="s">
        <v>1209</v>
      </c>
      <c r="G228" s="28" t="s">
        <v>2316</v>
      </c>
      <c r="H228" s="26"/>
    </row>
    <row r="229">
      <c r="A229" s="16" t="s">
        <v>1182</v>
      </c>
      <c r="B229" s="21" t="s">
        <v>1266</v>
      </c>
      <c r="C229" s="21" t="s">
        <v>1971</v>
      </c>
      <c r="D229" s="21" t="s">
        <v>1356</v>
      </c>
      <c r="E229" s="21" t="s">
        <v>1420</v>
      </c>
      <c r="F229" s="21" t="s">
        <v>1895</v>
      </c>
      <c r="G229" s="21" t="s">
        <v>1233</v>
      </c>
      <c r="H229" s="26"/>
    </row>
    <row r="230">
      <c r="A230" s="16" t="s">
        <v>1186</v>
      </c>
      <c r="B230" s="28" t="s">
        <v>1269</v>
      </c>
      <c r="C230" s="28" t="s">
        <v>1235</v>
      </c>
      <c r="D230" s="28" t="s">
        <v>1235</v>
      </c>
      <c r="E230" s="28" t="s">
        <v>1406</v>
      </c>
      <c r="F230" s="28" t="s">
        <v>1284</v>
      </c>
      <c r="G230" s="28" t="s">
        <v>1235</v>
      </c>
      <c r="H230" s="26"/>
    </row>
    <row r="231">
      <c r="A231" s="20" t="s">
        <v>1188</v>
      </c>
      <c r="B231" s="21" t="s">
        <v>1677</v>
      </c>
      <c r="C231" s="21" t="s">
        <v>1972</v>
      </c>
      <c r="D231" s="21" t="s">
        <v>1307</v>
      </c>
      <c r="E231" s="21" t="s">
        <v>2387</v>
      </c>
      <c r="F231" s="21" t="s">
        <v>1822</v>
      </c>
      <c r="G231" s="21" t="s">
        <v>1874</v>
      </c>
      <c r="H231" s="26"/>
    </row>
    <row r="232">
      <c r="A232" s="29"/>
      <c r="B232" s="21" t="s">
        <v>2277</v>
      </c>
      <c r="C232" s="21" t="s">
        <v>1678</v>
      </c>
      <c r="D232" s="21" t="s">
        <v>1651</v>
      </c>
      <c r="E232" s="21" t="s">
        <v>1804</v>
      </c>
      <c r="F232" s="21" t="s">
        <v>2390</v>
      </c>
      <c r="G232" s="21" t="s">
        <v>1737</v>
      </c>
      <c r="H232" s="26"/>
    </row>
    <row r="233">
      <c r="A233" s="29"/>
      <c r="B233" s="21" t="s">
        <v>2104</v>
      </c>
      <c r="C233" s="21" t="s">
        <v>1307</v>
      </c>
      <c r="D233" s="21" t="s">
        <v>1336</v>
      </c>
      <c r="E233" s="21" t="s">
        <v>1323</v>
      </c>
      <c r="F233" s="21" t="s">
        <v>1698</v>
      </c>
      <c r="G233" s="21" t="s">
        <v>1307</v>
      </c>
      <c r="H233" s="26"/>
    </row>
    <row r="234">
      <c r="A234" s="24"/>
      <c r="B234" s="21" t="s">
        <v>1705</v>
      </c>
      <c r="C234" s="21" t="s">
        <v>1959</v>
      </c>
      <c r="D234" s="21" t="s">
        <v>1440</v>
      </c>
      <c r="E234" s="21" t="s">
        <v>1425</v>
      </c>
      <c r="F234" s="21" t="s">
        <v>1398</v>
      </c>
      <c r="G234" s="21" t="s">
        <v>1641</v>
      </c>
      <c r="H234" s="30"/>
      <c r="I234" s="14"/>
    </row>
    <row r="235">
      <c r="A235" s="16" t="s">
        <v>1174</v>
      </c>
      <c r="B235" s="17" t="s">
        <v>2391</v>
      </c>
      <c r="C235" s="18"/>
      <c r="D235" s="18"/>
      <c r="E235" s="18"/>
      <c r="F235" s="18"/>
      <c r="G235" s="18"/>
      <c r="H235" s="18"/>
      <c r="I235" s="16"/>
    </row>
    <row r="236" ht="60.0" customHeight="1">
      <c r="A236" s="20" t="s">
        <v>1176</v>
      </c>
      <c r="B236" s="21" t="str">
        <f t="array" ref="B236">iferror(VLOOKUP(INDIRECT(ADDRESS(ROW()+1,COLUMN(), 4)),Dex!$A$2:$C954,3,false),"")</f>
        <v/>
      </c>
      <c r="C236" s="21" t="str">
        <f t="array" ref="C236">iferror(VLOOKUP(INDIRECT(ADDRESS(ROW()+1,COLUMN(), 4)),Dex!$A$2:$C954,3,false),"")</f>
        <v/>
      </c>
      <c r="D236" s="21" t="str">
        <f t="array" ref="D236">iferror(VLOOKUP(INDIRECT(ADDRESS(ROW()+1,COLUMN(), 4)),Dex!$A$2:$C954,3,false),"")</f>
        <v/>
      </c>
      <c r="E236" s="21" t="str">
        <f t="array" ref="E236">iferror(VLOOKUP(INDIRECT(ADDRESS(ROW()+1,COLUMN(), 4)),Dex!$A$2:$C954,3,false),"")</f>
        <v/>
      </c>
      <c r="F236" s="21" t="str">
        <f t="array" ref="F236">iferror(VLOOKUP(INDIRECT(ADDRESS(ROW()+1,COLUMN(), 4)),Dex!$A$2:$C954,3,false),"")</f>
        <v/>
      </c>
      <c r="G236" s="21" t="str">
        <f t="array" ref="G236">iferror(VLOOKUP(INDIRECT(ADDRESS(ROW()+1,COLUMN(), 4)),Dex!$A$2:$C954,3,false),"")</f>
        <v/>
      </c>
      <c r="H236" s="22" t="str">
        <f t="array" ref="H236">iferror(VLOOKUP("TRAINER_PIC_MAY",Sprites!$A$1:$B954,2,false),"")</f>
        <v/>
      </c>
      <c r="I236" s="23"/>
    </row>
    <row r="237">
      <c r="A237" s="24"/>
      <c r="B237" s="25" t="s">
        <v>564</v>
      </c>
      <c r="C237" s="25" t="s">
        <v>97</v>
      </c>
      <c r="D237" s="25" t="s">
        <v>583</v>
      </c>
      <c r="E237" s="25" t="s">
        <v>1036</v>
      </c>
      <c r="F237" s="25" t="s">
        <v>215</v>
      </c>
      <c r="G237" s="25" t="s">
        <v>351</v>
      </c>
      <c r="H237" s="26"/>
    </row>
    <row r="238">
      <c r="A238" s="16" t="s">
        <v>1178</v>
      </c>
      <c r="B238" s="27" t="s">
        <v>2367</v>
      </c>
      <c r="C238" s="27" t="s">
        <v>2367</v>
      </c>
      <c r="D238" s="27" t="s">
        <v>2367</v>
      </c>
      <c r="E238" s="27" t="s">
        <v>2367</v>
      </c>
      <c r="F238" s="27" t="s">
        <v>2358</v>
      </c>
      <c r="G238" s="27" t="s">
        <v>2358</v>
      </c>
      <c r="H238" s="26"/>
    </row>
    <row r="239">
      <c r="A239" s="16" t="s">
        <v>1181</v>
      </c>
      <c r="B239" s="28" t="s">
        <v>1581</v>
      </c>
      <c r="C239" s="28" t="s">
        <v>1247</v>
      </c>
      <c r="D239" s="28" t="s">
        <v>1882</v>
      </c>
      <c r="E239" s="28" t="s">
        <v>1838</v>
      </c>
      <c r="F239" s="28" t="s">
        <v>1457</v>
      </c>
      <c r="G239" s="28" t="s">
        <v>2319</v>
      </c>
      <c r="H239" s="26"/>
    </row>
    <row r="240">
      <c r="A240" s="16" t="s">
        <v>1182</v>
      </c>
      <c r="B240" s="21" t="s">
        <v>1266</v>
      </c>
      <c r="C240" s="21" t="s">
        <v>1356</v>
      </c>
      <c r="D240" s="21" t="s">
        <v>1356</v>
      </c>
      <c r="E240" s="21" t="s">
        <v>1420</v>
      </c>
      <c r="F240" s="21" t="s">
        <v>1405</v>
      </c>
      <c r="G240" s="21" t="s">
        <v>1212</v>
      </c>
      <c r="H240" s="26"/>
    </row>
    <row r="241">
      <c r="A241" s="16" t="s">
        <v>1186</v>
      </c>
      <c r="B241" s="28" t="s">
        <v>1269</v>
      </c>
      <c r="C241" s="28" t="s">
        <v>1284</v>
      </c>
      <c r="D241" s="28" t="s">
        <v>1235</v>
      </c>
      <c r="E241" s="28" t="s">
        <v>1406</v>
      </c>
      <c r="F241" s="28" t="s">
        <v>1235</v>
      </c>
      <c r="G241" s="28" t="s">
        <v>1235</v>
      </c>
      <c r="H241" s="26"/>
    </row>
    <row r="242">
      <c r="A242" s="20" t="s">
        <v>1188</v>
      </c>
      <c r="B242" s="21" t="s">
        <v>1677</v>
      </c>
      <c r="C242" s="21" t="s">
        <v>1731</v>
      </c>
      <c r="D242" s="21" t="s">
        <v>1307</v>
      </c>
      <c r="E242" s="21" t="s">
        <v>2387</v>
      </c>
      <c r="F242" s="21" t="s">
        <v>1776</v>
      </c>
      <c r="G242" s="21" t="s">
        <v>1677</v>
      </c>
      <c r="H242" s="26"/>
    </row>
    <row r="243">
      <c r="A243" s="29"/>
      <c r="B243" s="21" t="s">
        <v>2277</v>
      </c>
      <c r="C243" s="21" t="s">
        <v>1605</v>
      </c>
      <c r="D243" s="21" t="s">
        <v>1651</v>
      </c>
      <c r="E243" s="21" t="s">
        <v>1804</v>
      </c>
      <c r="F243" s="21" t="s">
        <v>2392</v>
      </c>
      <c r="G243" s="21" t="s">
        <v>1760</v>
      </c>
      <c r="H243" s="26"/>
    </row>
    <row r="244">
      <c r="A244" s="29"/>
      <c r="B244" s="21" t="s">
        <v>2104</v>
      </c>
      <c r="C244" s="21" t="s">
        <v>1742</v>
      </c>
      <c r="D244" s="21" t="s">
        <v>1336</v>
      </c>
      <c r="E244" s="21" t="s">
        <v>1323</v>
      </c>
      <c r="F244" s="21" t="s">
        <v>1967</v>
      </c>
      <c r="G244" s="21" t="s">
        <v>1323</v>
      </c>
      <c r="H244" s="26"/>
    </row>
    <row r="245">
      <c r="A245" s="24"/>
      <c r="B245" s="21" t="s">
        <v>1705</v>
      </c>
      <c r="C245" s="21" t="s">
        <v>1771</v>
      </c>
      <c r="D245" s="21" t="s">
        <v>1440</v>
      </c>
      <c r="E245" s="21" t="s">
        <v>1425</v>
      </c>
      <c r="F245" s="21" t="s">
        <v>1410</v>
      </c>
      <c r="G245" s="21" t="s">
        <v>1422</v>
      </c>
      <c r="H245" s="30"/>
      <c r="I245" s="14"/>
    </row>
    <row r="246">
      <c r="A246" s="37"/>
      <c r="B246" s="38" t="s">
        <v>2393</v>
      </c>
      <c r="C246" s="14"/>
      <c r="D246" s="14"/>
      <c r="E246" s="14"/>
      <c r="F246" s="14"/>
      <c r="G246" s="14"/>
      <c r="H246" s="24"/>
      <c r="I246" s="33"/>
    </row>
    <row r="247">
      <c r="A247" s="16" t="s">
        <v>1174</v>
      </c>
      <c r="B247" s="17" t="s">
        <v>2394</v>
      </c>
      <c r="C247" s="18"/>
      <c r="D247" s="18"/>
      <c r="E247" s="18"/>
      <c r="F247" s="18"/>
      <c r="G247" s="18"/>
      <c r="H247" s="18"/>
      <c r="I247" s="16"/>
    </row>
    <row r="248" ht="60.0" customHeight="1">
      <c r="A248" s="20" t="s">
        <v>1176</v>
      </c>
      <c r="B248" s="21" t="str">
        <f t="array" ref="B248">iferror(VLOOKUP(INDIRECT(ADDRESS(ROW()+1,COLUMN(), 4)),Dex!$A$2:$C954,3,false),"")</f>
        <v/>
      </c>
      <c r="C248" s="21" t="str">
        <f t="array" ref="C248">iferror(VLOOKUP(INDIRECT(ADDRESS(ROW()+1,COLUMN(), 4)),Dex!$A$2:$C954,3,false),"")</f>
        <v/>
      </c>
      <c r="D248" s="21" t="str">
        <f t="array" ref="D248">iferror(VLOOKUP(INDIRECT(ADDRESS(ROW()+1,COLUMN(), 4)),Dex!$A$2:$C954,3,false),"")</f>
        <v/>
      </c>
      <c r="E248" s="21" t="str">
        <f t="array" ref="E248">iferror(VLOOKUP(INDIRECT(ADDRESS(ROW()+1,COLUMN(), 4)),Dex!$A$2:$C954,3,false),"")</f>
        <v/>
      </c>
      <c r="F248" s="21" t="str">
        <f t="array" ref="F248">iferror(VLOOKUP(INDIRECT(ADDRESS(ROW()+1,COLUMN(), 4)),Dex!$A$2:$C954,3,false),"")</f>
        <v/>
      </c>
      <c r="G248" s="21" t="s">
        <v>1177</v>
      </c>
      <c r="H248" s="22" t="str">
        <f t="array" ref="H248">iferror(VLOOKUP("TRAINER_PIC_YOUNG_COUPLE",Sprites!$A$1:$B954,2,false),"")</f>
        <v/>
      </c>
      <c r="I248" s="23"/>
    </row>
    <row r="249">
      <c r="A249" s="24"/>
      <c r="B249" s="25" t="s">
        <v>1105</v>
      </c>
      <c r="C249" s="25" t="s">
        <v>850</v>
      </c>
      <c r="D249" s="25" t="s">
        <v>90</v>
      </c>
      <c r="E249" s="25" t="s">
        <v>321</v>
      </c>
      <c r="F249" s="25" t="s">
        <v>36</v>
      </c>
      <c r="G249" s="25" t="s">
        <v>1177</v>
      </c>
      <c r="H249" s="26"/>
    </row>
    <row r="250">
      <c r="A250" s="16" t="s">
        <v>1178</v>
      </c>
      <c r="B250" s="27" t="s">
        <v>2367</v>
      </c>
      <c r="C250" s="27" t="s">
        <v>2358</v>
      </c>
      <c r="D250" s="27" t="s">
        <v>2358</v>
      </c>
      <c r="E250" s="27" t="s">
        <v>2358</v>
      </c>
      <c r="F250" s="27" t="s">
        <v>2358</v>
      </c>
      <c r="G250" s="21" t="s">
        <v>1177</v>
      </c>
      <c r="H250" s="26"/>
    </row>
    <row r="251">
      <c r="A251" s="16" t="s">
        <v>1181</v>
      </c>
      <c r="B251" s="28" t="s">
        <v>1457</v>
      </c>
      <c r="C251" s="28" t="s">
        <v>1898</v>
      </c>
      <c r="D251" s="28" t="s">
        <v>2102</v>
      </c>
      <c r="E251" s="28" t="s">
        <v>1295</v>
      </c>
      <c r="F251" s="28" t="s">
        <v>2139</v>
      </c>
      <c r="G251" s="28" t="s">
        <v>1177</v>
      </c>
      <c r="H251" s="26"/>
    </row>
    <row r="252">
      <c r="A252" s="16" t="s">
        <v>1182</v>
      </c>
      <c r="B252" s="21" t="s">
        <v>1661</v>
      </c>
      <c r="C252" s="21" t="s">
        <v>1636</v>
      </c>
      <c r="D252" s="21" t="s">
        <v>1298</v>
      </c>
      <c r="E252" s="21" t="s">
        <v>2362</v>
      </c>
      <c r="F252" s="21" t="s">
        <v>2131</v>
      </c>
      <c r="G252" s="21" t="s">
        <v>1177</v>
      </c>
      <c r="H252" s="26"/>
    </row>
    <row r="253">
      <c r="A253" s="16" t="s">
        <v>1186</v>
      </c>
      <c r="B253" s="28" t="s">
        <v>1248</v>
      </c>
      <c r="C253" s="28" t="s">
        <v>1284</v>
      </c>
      <c r="D253" s="28" t="s">
        <v>1249</v>
      </c>
      <c r="E253" s="28" t="s">
        <v>1235</v>
      </c>
      <c r="F253" s="28" t="s">
        <v>1235</v>
      </c>
      <c r="G253" s="28" t="s">
        <v>1177</v>
      </c>
      <c r="H253" s="26"/>
    </row>
    <row r="254">
      <c r="A254" s="20" t="s">
        <v>1188</v>
      </c>
      <c r="B254" s="21" t="s">
        <v>1662</v>
      </c>
      <c r="C254" s="21" t="s">
        <v>1731</v>
      </c>
      <c r="D254" s="21" t="s">
        <v>2185</v>
      </c>
      <c r="E254" s="21" t="s">
        <v>1216</v>
      </c>
      <c r="F254" s="21" t="s">
        <v>1805</v>
      </c>
      <c r="G254" s="21" t="s">
        <v>1177</v>
      </c>
      <c r="H254" s="26"/>
    </row>
    <row r="255">
      <c r="A255" s="29"/>
      <c r="B255" s="21" t="s">
        <v>1426</v>
      </c>
      <c r="C255" s="21" t="s">
        <v>1742</v>
      </c>
      <c r="D255" s="21" t="s">
        <v>1737</v>
      </c>
      <c r="E255" s="21" t="s">
        <v>1750</v>
      </c>
      <c r="F255" s="21" t="s">
        <v>1471</v>
      </c>
      <c r="G255" s="21" t="s">
        <v>1177</v>
      </c>
      <c r="H255" s="26"/>
    </row>
    <row r="256">
      <c r="A256" s="29"/>
      <c r="B256" s="21" t="s">
        <v>1874</v>
      </c>
      <c r="C256" s="21" t="s">
        <v>1879</v>
      </c>
      <c r="D256" s="21" t="s">
        <v>1874</v>
      </c>
      <c r="E256" s="21" t="s">
        <v>1389</v>
      </c>
      <c r="F256" s="21" t="s">
        <v>1469</v>
      </c>
      <c r="G256" s="21" t="s">
        <v>1177</v>
      </c>
      <c r="H256" s="26"/>
    </row>
    <row r="257">
      <c r="A257" s="24"/>
      <c r="B257" s="21" t="s">
        <v>1225</v>
      </c>
      <c r="C257" s="21" t="s">
        <v>1880</v>
      </c>
      <c r="D257" s="21" t="s">
        <v>1672</v>
      </c>
      <c r="E257" s="21" t="s">
        <v>1959</v>
      </c>
      <c r="F257" s="21" t="s">
        <v>1411</v>
      </c>
      <c r="G257" s="21" t="s">
        <v>1177</v>
      </c>
      <c r="H257" s="30"/>
      <c r="I257" s="14"/>
    </row>
    <row r="258">
      <c r="A258" s="16" t="s">
        <v>1174</v>
      </c>
      <c r="B258" s="17" t="s">
        <v>2395</v>
      </c>
      <c r="C258" s="18"/>
      <c r="D258" s="18"/>
      <c r="E258" s="18"/>
      <c r="F258" s="18"/>
      <c r="G258" s="18"/>
      <c r="H258" s="18"/>
      <c r="I258" s="16"/>
    </row>
    <row r="259" ht="60.0" customHeight="1">
      <c r="A259" s="20" t="s">
        <v>1176</v>
      </c>
      <c r="B259" s="21" t="str">
        <f t="array" ref="B259">iferror(VLOOKUP(INDIRECT(ADDRESS(ROW()+1,COLUMN(), 4)),Dex!$A$2:$C954,3,false),"")</f>
        <v/>
      </c>
      <c r="C259" s="21" t="str">
        <f t="array" ref="C259">iferror(VLOOKUP(INDIRECT(ADDRESS(ROW()+1,COLUMN(), 4)),Dex!$A$2:$C954,3,false),"")</f>
        <v/>
      </c>
      <c r="D259" s="21" t="str">
        <f t="array" ref="D259">iferror(VLOOKUP(INDIRECT(ADDRESS(ROW()+1,COLUMN(), 4)),Dex!$A$2:$C954,3,false),"")</f>
        <v/>
      </c>
      <c r="E259" s="21" t="str">
        <f t="array" ref="E259">iferror(VLOOKUP(INDIRECT(ADDRESS(ROW()+1,COLUMN(), 4)),Dex!$A$2:$C954,3,false),"")</f>
        <v/>
      </c>
      <c r="F259" s="21" t="s">
        <v>1177</v>
      </c>
      <c r="G259" s="21" t="s">
        <v>1177</v>
      </c>
      <c r="H259" s="22" t="str">
        <f t="array" ref="H259">iferror(VLOOKUP("TRAINER_PIC_HEX_MANIAC",Sprites!$A$1:$B954,2,false),"")</f>
        <v/>
      </c>
      <c r="I259" s="23"/>
    </row>
    <row r="260">
      <c r="A260" s="24"/>
      <c r="B260" s="25" t="s">
        <v>391</v>
      </c>
      <c r="C260" s="25" t="s">
        <v>275</v>
      </c>
      <c r="D260" s="25" t="s">
        <v>765</v>
      </c>
      <c r="E260" s="25" t="s">
        <v>825</v>
      </c>
      <c r="F260" s="25" t="s">
        <v>1177</v>
      </c>
      <c r="G260" s="25" t="s">
        <v>1177</v>
      </c>
      <c r="H260" s="26"/>
    </row>
    <row r="261">
      <c r="A261" s="16" t="s">
        <v>1178</v>
      </c>
      <c r="B261" s="27" t="s">
        <v>2367</v>
      </c>
      <c r="C261" s="27" t="s">
        <v>2358</v>
      </c>
      <c r="D261" s="27" t="s">
        <v>2358</v>
      </c>
      <c r="E261" s="27" t="s">
        <v>2358</v>
      </c>
      <c r="F261" s="21" t="s">
        <v>1177</v>
      </c>
      <c r="G261" s="21" t="s">
        <v>1177</v>
      </c>
      <c r="H261" s="26"/>
    </row>
    <row r="262">
      <c r="A262" s="16" t="s">
        <v>1181</v>
      </c>
      <c r="B262" s="28" t="s">
        <v>1417</v>
      </c>
      <c r="C262" s="28" t="s">
        <v>1295</v>
      </c>
      <c r="D262" s="28" t="s">
        <v>1901</v>
      </c>
      <c r="E262" s="28" t="s">
        <v>1572</v>
      </c>
      <c r="F262" s="28" t="s">
        <v>1177</v>
      </c>
      <c r="G262" s="28" t="s">
        <v>1177</v>
      </c>
      <c r="H262" s="26"/>
    </row>
    <row r="263">
      <c r="A263" s="16" t="s">
        <v>1182</v>
      </c>
      <c r="B263" s="21" t="s">
        <v>1419</v>
      </c>
      <c r="C263" s="21" t="s">
        <v>1356</v>
      </c>
      <c r="D263" s="21" t="s">
        <v>1811</v>
      </c>
      <c r="E263" s="21" t="s">
        <v>1604</v>
      </c>
      <c r="F263" s="21" t="s">
        <v>1177</v>
      </c>
      <c r="G263" s="21" t="s">
        <v>1177</v>
      </c>
      <c r="H263" s="26"/>
    </row>
    <row r="264">
      <c r="A264" s="16" t="s">
        <v>1186</v>
      </c>
      <c r="B264" s="28" t="s">
        <v>1235</v>
      </c>
      <c r="C264" s="28" t="s">
        <v>1446</v>
      </c>
      <c r="D264" s="28" t="s">
        <v>1447</v>
      </c>
      <c r="E264" s="28" t="s">
        <v>1284</v>
      </c>
      <c r="F264" s="28" t="s">
        <v>1177</v>
      </c>
      <c r="G264" s="28" t="s">
        <v>1177</v>
      </c>
      <c r="H264" s="26"/>
    </row>
    <row r="265">
      <c r="A265" s="20" t="s">
        <v>1188</v>
      </c>
      <c r="B265" s="21" t="s">
        <v>1874</v>
      </c>
      <c r="C265" s="21" t="s">
        <v>1732</v>
      </c>
      <c r="D265" s="21" t="s">
        <v>1731</v>
      </c>
      <c r="E265" s="21" t="s">
        <v>1740</v>
      </c>
      <c r="F265" s="21" t="s">
        <v>1177</v>
      </c>
      <c r="G265" s="21" t="s">
        <v>1177</v>
      </c>
      <c r="H265" s="26"/>
    </row>
    <row r="266">
      <c r="A266" s="29"/>
      <c r="B266" s="21" t="s">
        <v>1307</v>
      </c>
      <c r="C266" s="21" t="s">
        <v>1385</v>
      </c>
      <c r="D266" s="21" t="s">
        <v>2214</v>
      </c>
      <c r="E266" s="21" t="s">
        <v>1731</v>
      </c>
      <c r="F266" s="21" t="s">
        <v>1177</v>
      </c>
      <c r="G266" s="21" t="s">
        <v>1177</v>
      </c>
      <c r="H266" s="26"/>
    </row>
    <row r="267">
      <c r="A267" s="29"/>
      <c r="B267" s="21" t="s">
        <v>1225</v>
      </c>
      <c r="C267" s="21" t="s">
        <v>1856</v>
      </c>
      <c r="D267" s="21" t="s">
        <v>1587</v>
      </c>
      <c r="E267" s="21" t="s">
        <v>1711</v>
      </c>
      <c r="F267" s="21" t="s">
        <v>1177</v>
      </c>
      <c r="G267" s="21" t="s">
        <v>1177</v>
      </c>
      <c r="H267" s="26"/>
    </row>
    <row r="268">
      <c r="A268" s="24"/>
      <c r="B268" s="21" t="s">
        <v>1758</v>
      </c>
      <c r="C268" s="21" t="s">
        <v>1761</v>
      </c>
      <c r="D268" s="21" t="s">
        <v>1398</v>
      </c>
      <c r="E268" s="21" t="s">
        <v>1698</v>
      </c>
      <c r="F268" s="21" t="s">
        <v>1177</v>
      </c>
      <c r="G268" s="21" t="s">
        <v>1177</v>
      </c>
      <c r="H268" s="30"/>
      <c r="I268" s="14"/>
    </row>
    <row r="269">
      <c r="A269" s="16" t="s">
        <v>1174</v>
      </c>
      <c r="B269" s="17" t="s">
        <v>2396</v>
      </c>
      <c r="C269" s="18"/>
      <c r="D269" s="18"/>
      <c r="E269" s="18"/>
      <c r="F269" s="18"/>
      <c r="G269" s="18"/>
      <c r="H269" s="18"/>
      <c r="I269" s="16"/>
    </row>
    <row r="270" ht="60.0" customHeight="1">
      <c r="A270" s="20" t="s">
        <v>1176</v>
      </c>
      <c r="B270" s="21" t="str">
        <f t="array" ref="B270">iferror(VLOOKUP(INDIRECT(ADDRESS(ROW()+1,COLUMN(), 4)),Dex!$A$2:$C954,3,false),"")</f>
        <v/>
      </c>
      <c r="C270" s="21" t="str">
        <f t="array" ref="C270">iferror(VLOOKUP(INDIRECT(ADDRESS(ROW()+1,COLUMN(), 4)),Dex!$A$2:$C954,3,false),"")</f>
        <v/>
      </c>
      <c r="D270" s="21" t="str">
        <f t="array" ref="D270">iferror(VLOOKUP(INDIRECT(ADDRESS(ROW()+1,COLUMN(), 4)),Dex!$A$2:$C954,3,false),"")</f>
        <v/>
      </c>
      <c r="E270" s="21" t="str">
        <f t="array" ref="E270">iferror(VLOOKUP(INDIRECT(ADDRESS(ROW()+1,COLUMN(), 4)),Dex!$A$2:$C954,3,false),"")</f>
        <v/>
      </c>
      <c r="F270" s="21" t="s">
        <v>1177</v>
      </c>
      <c r="G270" s="21" t="s">
        <v>1177</v>
      </c>
      <c r="H270" s="22" t="str">
        <f t="array" ref="H270">iferror(VLOOKUP("TRAINER_PIC_POKEMANIAC",Sprites!$A$1:$B954,2,false),"")</f>
        <v/>
      </c>
      <c r="I270" s="23"/>
    </row>
    <row r="271">
      <c r="A271" s="24"/>
      <c r="B271" s="25" t="s">
        <v>1083</v>
      </c>
      <c r="C271" s="25" t="s">
        <v>167</v>
      </c>
      <c r="D271" s="25" t="s">
        <v>160</v>
      </c>
      <c r="E271" s="25" t="s">
        <v>591</v>
      </c>
      <c r="F271" s="25" t="s">
        <v>1177</v>
      </c>
      <c r="G271" s="25" t="s">
        <v>1177</v>
      </c>
      <c r="H271" s="26"/>
    </row>
    <row r="272">
      <c r="A272" s="16" t="s">
        <v>1178</v>
      </c>
      <c r="B272" s="27" t="s">
        <v>2367</v>
      </c>
      <c r="C272" s="27" t="s">
        <v>2358</v>
      </c>
      <c r="D272" s="27" t="s">
        <v>2358</v>
      </c>
      <c r="E272" s="27" t="s">
        <v>2367</v>
      </c>
      <c r="F272" s="21" t="s">
        <v>1177</v>
      </c>
      <c r="G272" s="21" t="s">
        <v>1177</v>
      </c>
      <c r="H272" s="26"/>
    </row>
    <row r="273">
      <c r="A273" s="16" t="s">
        <v>1181</v>
      </c>
      <c r="B273" s="28" t="s">
        <v>2201</v>
      </c>
      <c r="C273" s="28" t="s">
        <v>1403</v>
      </c>
      <c r="D273" s="28" t="s">
        <v>1833</v>
      </c>
      <c r="E273" s="28" t="s">
        <v>2036</v>
      </c>
      <c r="F273" s="28" t="s">
        <v>1177</v>
      </c>
      <c r="G273" s="28" t="s">
        <v>1177</v>
      </c>
      <c r="H273" s="26"/>
    </row>
    <row r="274">
      <c r="A274" s="16" t="s">
        <v>1182</v>
      </c>
      <c r="B274" s="21" t="s">
        <v>1668</v>
      </c>
      <c r="C274" s="21" t="s">
        <v>1692</v>
      </c>
      <c r="D274" s="21" t="s">
        <v>1222</v>
      </c>
      <c r="E274" s="21" t="s">
        <v>1233</v>
      </c>
      <c r="F274" s="21" t="s">
        <v>1177</v>
      </c>
      <c r="G274" s="21" t="s">
        <v>1177</v>
      </c>
      <c r="H274" s="26"/>
    </row>
    <row r="275">
      <c r="A275" s="16" t="s">
        <v>1186</v>
      </c>
      <c r="B275" s="28" t="s">
        <v>1284</v>
      </c>
      <c r="C275" s="28" t="s">
        <v>1406</v>
      </c>
      <c r="D275" s="28" t="s">
        <v>1248</v>
      </c>
      <c r="E275" s="28" t="s">
        <v>1284</v>
      </c>
      <c r="F275" s="28" t="s">
        <v>1177</v>
      </c>
      <c r="G275" s="28" t="s">
        <v>1177</v>
      </c>
      <c r="H275" s="26"/>
    </row>
    <row r="276">
      <c r="A276" s="20" t="s">
        <v>1188</v>
      </c>
      <c r="B276" s="21" t="s">
        <v>1822</v>
      </c>
      <c r="C276" s="21" t="s">
        <v>1974</v>
      </c>
      <c r="D276" s="21" t="s">
        <v>1874</v>
      </c>
      <c r="E276" s="21" t="s">
        <v>1650</v>
      </c>
      <c r="F276" s="21" t="s">
        <v>1177</v>
      </c>
      <c r="G276" s="21" t="s">
        <v>1177</v>
      </c>
      <c r="H276" s="26"/>
    </row>
    <row r="277">
      <c r="A277" s="29"/>
      <c r="B277" s="21" t="s">
        <v>1617</v>
      </c>
      <c r="C277" s="21" t="s">
        <v>1677</v>
      </c>
      <c r="D277" s="21" t="s">
        <v>1805</v>
      </c>
      <c r="E277" s="21" t="s">
        <v>1619</v>
      </c>
      <c r="F277" s="21" t="s">
        <v>1177</v>
      </c>
      <c r="G277" s="21" t="s">
        <v>1177</v>
      </c>
      <c r="H277" s="26"/>
    </row>
    <row r="278">
      <c r="A278" s="29"/>
      <c r="B278" s="21" t="s">
        <v>1270</v>
      </c>
      <c r="C278" s="21" t="s">
        <v>1896</v>
      </c>
      <c r="D278" s="21" t="s">
        <v>1307</v>
      </c>
      <c r="E278" s="21" t="s">
        <v>1384</v>
      </c>
      <c r="F278" s="21" t="s">
        <v>1177</v>
      </c>
      <c r="G278" s="21" t="s">
        <v>1177</v>
      </c>
      <c r="H278" s="26"/>
    </row>
    <row r="279">
      <c r="A279" s="24"/>
      <c r="B279" s="21" t="s">
        <v>1377</v>
      </c>
      <c r="C279" s="21" t="s">
        <v>1705</v>
      </c>
      <c r="D279" s="21" t="s">
        <v>1225</v>
      </c>
      <c r="E279" s="21" t="s">
        <v>1311</v>
      </c>
      <c r="F279" s="21" t="s">
        <v>1177</v>
      </c>
      <c r="G279" s="21" t="s">
        <v>1177</v>
      </c>
      <c r="H279" s="30"/>
      <c r="I279" s="14"/>
    </row>
    <row r="280">
      <c r="A280" s="16" t="s">
        <v>1174</v>
      </c>
      <c r="B280" s="17" t="s">
        <v>2397</v>
      </c>
      <c r="C280" s="18"/>
      <c r="D280" s="18"/>
      <c r="E280" s="18"/>
      <c r="F280" s="18"/>
      <c r="G280" s="18"/>
      <c r="H280" s="18"/>
      <c r="I280" s="16"/>
    </row>
    <row r="281" ht="60.0" customHeight="1">
      <c r="A281" s="20" t="s">
        <v>1176</v>
      </c>
      <c r="B281" s="21" t="str">
        <f t="array" ref="B281">iferror(VLOOKUP(INDIRECT(ADDRESS(ROW()+1,COLUMN(), 4)),Dex!$A$2:$C954,3,false),"")</f>
        <v/>
      </c>
      <c r="C281" s="21" t="str">
        <f t="array" ref="C281">iferror(VLOOKUP(INDIRECT(ADDRESS(ROW()+1,COLUMN(), 4)),Dex!$A$2:$C954,3,false),"")</f>
        <v/>
      </c>
      <c r="D281" s="21" t="str">
        <f t="array" ref="D281">iferror(VLOOKUP(INDIRECT(ADDRESS(ROW()+1,COLUMN(), 4)),Dex!$A$2:$C954,3,false),"")</f>
        <v/>
      </c>
      <c r="E281" s="21" t="str">
        <f t="array" ref="E281">iferror(VLOOKUP(INDIRECT(ADDRESS(ROW()+1,COLUMN(), 4)),Dex!$A$2:$C954,3,false),"")</f>
        <v/>
      </c>
      <c r="F281" s="21" t="s">
        <v>1177</v>
      </c>
      <c r="G281" s="21" t="s">
        <v>1177</v>
      </c>
      <c r="H281" s="22" t="str">
        <f t="array" ref="H281">iferror(VLOOKUP("TRAINER_PIC_PSYCHIC_M",Sprites!$A$1:$B954,2,false),"")</f>
        <v/>
      </c>
      <c r="I281" s="23"/>
    </row>
    <row r="282">
      <c r="A282" s="24"/>
      <c r="B282" s="25" t="s">
        <v>1111</v>
      </c>
      <c r="C282" s="25" t="s">
        <v>107</v>
      </c>
      <c r="D282" s="25" t="s">
        <v>155</v>
      </c>
      <c r="E282" s="25" t="s">
        <v>593</v>
      </c>
      <c r="F282" s="25" t="s">
        <v>1177</v>
      </c>
      <c r="G282" s="25" t="s">
        <v>1177</v>
      </c>
      <c r="H282" s="26"/>
    </row>
    <row r="283">
      <c r="A283" s="16" t="s">
        <v>1178</v>
      </c>
      <c r="B283" s="27" t="s">
        <v>2398</v>
      </c>
      <c r="C283" s="27" t="s">
        <v>2358</v>
      </c>
      <c r="D283" s="27" t="s">
        <v>2358</v>
      </c>
      <c r="E283" s="27" t="s">
        <v>2358</v>
      </c>
      <c r="F283" s="21" t="s">
        <v>1177</v>
      </c>
      <c r="G283" s="21" t="s">
        <v>1177</v>
      </c>
      <c r="H283" s="26"/>
    </row>
    <row r="284">
      <c r="A284" s="16" t="s">
        <v>1181</v>
      </c>
      <c r="B284" s="28" t="s">
        <v>1703</v>
      </c>
      <c r="C284" s="28" t="s">
        <v>1346</v>
      </c>
      <c r="D284" s="28" t="s">
        <v>1366</v>
      </c>
      <c r="E284" s="28" t="s">
        <v>1295</v>
      </c>
      <c r="F284" s="28" t="s">
        <v>1177</v>
      </c>
      <c r="G284" s="28" t="s">
        <v>1177</v>
      </c>
      <c r="H284" s="26"/>
    </row>
    <row r="285">
      <c r="A285" s="16" t="s">
        <v>1182</v>
      </c>
      <c r="B285" s="21" t="s">
        <v>2399</v>
      </c>
      <c r="C285" s="21" t="s">
        <v>2400</v>
      </c>
      <c r="D285" s="21" t="s">
        <v>1268</v>
      </c>
      <c r="E285" s="21" t="s">
        <v>2401</v>
      </c>
      <c r="F285" s="21" t="s">
        <v>1177</v>
      </c>
      <c r="G285" s="21" t="s">
        <v>1177</v>
      </c>
      <c r="H285" s="26"/>
    </row>
    <row r="286">
      <c r="A286" s="16" t="s">
        <v>1186</v>
      </c>
      <c r="B286" s="28" t="s">
        <v>1234</v>
      </c>
      <c r="C286" s="28" t="s">
        <v>1284</v>
      </c>
      <c r="D286" s="28" t="s">
        <v>1256</v>
      </c>
      <c r="E286" s="28" t="s">
        <v>1284</v>
      </c>
      <c r="F286" s="28" t="s">
        <v>1177</v>
      </c>
      <c r="G286" s="28" t="s">
        <v>1177</v>
      </c>
      <c r="H286" s="26"/>
    </row>
    <row r="287">
      <c r="A287" s="20" t="s">
        <v>1188</v>
      </c>
      <c r="B287" s="21" t="s">
        <v>2192</v>
      </c>
      <c r="C287" s="21" t="s">
        <v>1695</v>
      </c>
      <c r="D287" s="21" t="s">
        <v>1731</v>
      </c>
      <c r="E287" s="21" t="s">
        <v>2054</v>
      </c>
      <c r="F287" s="21" t="s">
        <v>1177</v>
      </c>
      <c r="G287" s="21" t="s">
        <v>1177</v>
      </c>
      <c r="H287" s="26"/>
    </row>
    <row r="288">
      <c r="A288" s="29"/>
      <c r="B288" s="21" t="s">
        <v>1804</v>
      </c>
      <c r="C288" s="21" t="s">
        <v>1350</v>
      </c>
      <c r="D288" s="21" t="s">
        <v>1285</v>
      </c>
      <c r="E288" s="21" t="s">
        <v>1835</v>
      </c>
      <c r="F288" s="21" t="s">
        <v>1177</v>
      </c>
      <c r="G288" s="21" t="s">
        <v>1177</v>
      </c>
      <c r="H288" s="26"/>
    </row>
    <row r="289">
      <c r="A289" s="29"/>
      <c r="B289" s="21" t="s">
        <v>1924</v>
      </c>
      <c r="C289" s="21" t="s">
        <v>1395</v>
      </c>
      <c r="D289" s="21" t="s">
        <v>1275</v>
      </c>
      <c r="E289" s="21" t="s">
        <v>2095</v>
      </c>
      <c r="F289" s="21" t="s">
        <v>1177</v>
      </c>
      <c r="G289" s="21" t="s">
        <v>1177</v>
      </c>
      <c r="H289" s="26"/>
    </row>
    <row r="290">
      <c r="A290" s="24"/>
      <c r="B290" s="21" t="s">
        <v>1854</v>
      </c>
      <c r="C290" s="21" t="s">
        <v>1362</v>
      </c>
      <c r="D290" s="21" t="s">
        <v>1959</v>
      </c>
      <c r="E290" s="21" t="s">
        <v>2402</v>
      </c>
      <c r="F290" s="21" t="s">
        <v>1177</v>
      </c>
      <c r="G290" s="21" t="s">
        <v>1177</v>
      </c>
      <c r="H290" s="30"/>
      <c r="I290" s="14"/>
    </row>
    <row r="291">
      <c r="A291" s="16" t="s">
        <v>1174</v>
      </c>
      <c r="B291" s="17" t="s">
        <v>2403</v>
      </c>
      <c r="C291" s="18"/>
      <c r="D291" s="18"/>
      <c r="E291" s="18"/>
      <c r="F291" s="18"/>
      <c r="G291" s="18"/>
      <c r="H291" s="18"/>
      <c r="I291" s="16"/>
    </row>
    <row r="292" ht="60.0" customHeight="1">
      <c r="A292" s="20" t="s">
        <v>1176</v>
      </c>
      <c r="B292" s="21" t="str">
        <f t="array" ref="B292">iferror(VLOOKUP(INDIRECT(ADDRESS(ROW()+1,COLUMN(), 4)),Dex!$A$2:$C954,3,false),"")</f>
        <v/>
      </c>
      <c r="C292" s="21" t="str">
        <f t="array" ref="C292">iferror(VLOOKUP(INDIRECT(ADDRESS(ROW()+1,COLUMN(), 4)),Dex!$A$2:$C954,3,false),"")</f>
        <v/>
      </c>
      <c r="D292" s="21" t="str">
        <f t="array" ref="D292">iferror(VLOOKUP(INDIRECT(ADDRESS(ROW()+1,COLUMN(), 4)),Dex!$A$2:$C954,3,false),"")</f>
        <v/>
      </c>
      <c r="E292" s="21" t="str">
        <f t="array" ref="E292">iferror(VLOOKUP(INDIRECT(ADDRESS(ROW()+1,COLUMN(), 4)),Dex!$A$2:$C954,3,false),"")</f>
        <v/>
      </c>
      <c r="F292" s="21" t="str">
        <f t="array" ref="F292">iferror(VLOOKUP(INDIRECT(ADDRESS(ROW()+1,COLUMN(), 4)),Dex!$A$2:$C954,3,false),"")</f>
        <v/>
      </c>
      <c r="G292" s="21" t="s">
        <v>1177</v>
      </c>
      <c r="H292" s="22" t="str">
        <f t="array" ref="H292">iferror(VLOOKUP("TRAINER_PIC_POKEMON_BREEDER_F",Sprites!$A$1:$B954,2,false),"")</f>
        <v/>
      </c>
      <c r="I292" s="23"/>
    </row>
    <row r="293">
      <c r="A293" s="24"/>
      <c r="B293" s="25" t="s">
        <v>58</v>
      </c>
      <c r="C293" s="25" t="s">
        <v>380</v>
      </c>
      <c r="D293" s="25" t="s">
        <v>602</v>
      </c>
      <c r="E293" s="25" t="s">
        <v>44</v>
      </c>
      <c r="F293" s="25" t="s">
        <v>1102</v>
      </c>
      <c r="G293" s="25" t="s">
        <v>1177</v>
      </c>
      <c r="H293" s="26"/>
    </row>
    <row r="294">
      <c r="A294" s="16" t="s">
        <v>1178</v>
      </c>
      <c r="B294" s="27" t="s">
        <v>2398</v>
      </c>
      <c r="C294" s="27" t="s">
        <v>2398</v>
      </c>
      <c r="D294" s="27" t="s">
        <v>2358</v>
      </c>
      <c r="E294" s="27" t="s">
        <v>2358</v>
      </c>
      <c r="F294" s="27" t="s">
        <v>2358</v>
      </c>
      <c r="G294" s="21" t="s">
        <v>1177</v>
      </c>
      <c r="H294" s="26"/>
    </row>
    <row r="295">
      <c r="A295" s="16" t="s">
        <v>1181</v>
      </c>
      <c r="B295" s="28" t="s">
        <v>1209</v>
      </c>
      <c r="C295" s="28" t="s">
        <v>1247</v>
      </c>
      <c r="D295" s="28" t="s">
        <v>1961</v>
      </c>
      <c r="E295" s="28" t="s">
        <v>1660</v>
      </c>
      <c r="F295" s="28" t="s">
        <v>1295</v>
      </c>
      <c r="G295" s="28" t="s">
        <v>1177</v>
      </c>
      <c r="H295" s="26"/>
    </row>
    <row r="296">
      <c r="A296" s="16" t="s">
        <v>1182</v>
      </c>
      <c r="B296" s="21" t="s">
        <v>1604</v>
      </c>
      <c r="C296" s="21" t="s">
        <v>1461</v>
      </c>
      <c r="D296" s="21" t="s">
        <v>1393</v>
      </c>
      <c r="E296" s="21" t="s">
        <v>1851</v>
      </c>
      <c r="F296" s="21" t="s">
        <v>1636</v>
      </c>
      <c r="G296" s="21" t="s">
        <v>1177</v>
      </c>
      <c r="H296" s="26"/>
    </row>
    <row r="297">
      <c r="A297" s="16" t="s">
        <v>1186</v>
      </c>
      <c r="B297" s="28" t="s">
        <v>1284</v>
      </c>
      <c r="C297" s="28" t="s">
        <v>1235</v>
      </c>
      <c r="D297" s="28" t="s">
        <v>1284</v>
      </c>
      <c r="E297" s="28" t="s">
        <v>1284</v>
      </c>
      <c r="F297" s="28" t="s">
        <v>1406</v>
      </c>
      <c r="G297" s="28" t="s">
        <v>1177</v>
      </c>
      <c r="H297" s="26"/>
    </row>
    <row r="298">
      <c r="A298" s="20" t="s">
        <v>1188</v>
      </c>
      <c r="B298" s="21" t="s">
        <v>1815</v>
      </c>
      <c r="C298" s="21" t="s">
        <v>1358</v>
      </c>
      <c r="D298" s="21" t="s">
        <v>2054</v>
      </c>
      <c r="E298" s="21" t="s">
        <v>1663</v>
      </c>
      <c r="F298" s="21" t="s">
        <v>1372</v>
      </c>
      <c r="G298" s="21" t="s">
        <v>1177</v>
      </c>
      <c r="H298" s="26"/>
    </row>
    <row r="299">
      <c r="A299" s="29"/>
      <c r="B299" s="21" t="s">
        <v>2104</v>
      </c>
      <c r="C299" s="21" t="s">
        <v>1324</v>
      </c>
      <c r="D299" s="21" t="s">
        <v>1742</v>
      </c>
      <c r="E299" s="21" t="s">
        <v>1731</v>
      </c>
      <c r="F299" s="21" t="s">
        <v>1471</v>
      </c>
      <c r="G299" s="21" t="s">
        <v>1177</v>
      </c>
      <c r="H299" s="26"/>
    </row>
    <row r="300">
      <c r="A300" s="29"/>
      <c r="B300" s="21" t="s">
        <v>1731</v>
      </c>
      <c r="C300" s="21" t="s">
        <v>1273</v>
      </c>
      <c r="D300" s="21" t="s">
        <v>1780</v>
      </c>
      <c r="E300" s="21" t="s">
        <v>1652</v>
      </c>
      <c r="F300" s="21" t="s">
        <v>1804</v>
      </c>
      <c r="G300" s="21" t="s">
        <v>1177</v>
      </c>
      <c r="H300" s="26"/>
    </row>
    <row r="301">
      <c r="A301" s="24"/>
      <c r="B301" s="21" t="s">
        <v>1705</v>
      </c>
      <c r="C301" s="21" t="s">
        <v>1641</v>
      </c>
      <c r="D301" s="21" t="s">
        <v>1590</v>
      </c>
      <c r="E301" s="21" t="s">
        <v>1780</v>
      </c>
      <c r="F301" s="21" t="s">
        <v>1410</v>
      </c>
      <c r="G301" s="21" t="s">
        <v>1177</v>
      </c>
      <c r="H301" s="30"/>
      <c r="I301" s="14"/>
    </row>
    <row r="302">
      <c r="A302" s="16" t="s">
        <v>1174</v>
      </c>
      <c r="B302" s="17" t="s">
        <v>2404</v>
      </c>
      <c r="C302" s="18"/>
      <c r="D302" s="18"/>
      <c r="E302" s="18"/>
      <c r="F302" s="18"/>
      <c r="G302" s="18"/>
      <c r="H302" s="18"/>
      <c r="I302" s="16"/>
    </row>
    <row r="303" ht="60.0" customHeight="1">
      <c r="A303" s="20" t="s">
        <v>1176</v>
      </c>
      <c r="B303" s="21" t="str">
        <f t="array" ref="B303">iferror(VLOOKUP(INDIRECT(ADDRESS(ROW()+1,COLUMN(), 4)),Dex!$A$2:$C954,3,false),"")</f>
        <v/>
      </c>
      <c r="C303" s="21" t="str">
        <f t="array" ref="C303">iferror(VLOOKUP(INDIRECT(ADDRESS(ROW()+1,COLUMN(), 4)),Dex!$A$2:$C954,3,false),"")</f>
        <v/>
      </c>
      <c r="D303" s="21" t="str">
        <f t="array" ref="D303">iferror(VLOOKUP(INDIRECT(ADDRESS(ROW()+1,COLUMN(), 4)),Dex!$A$2:$C954,3,false),"")</f>
        <v/>
      </c>
      <c r="E303" s="21" t="str">
        <f t="array" ref="E303">iferror(VLOOKUP(INDIRECT(ADDRESS(ROW()+1,COLUMN(), 4)),Dex!$A$2:$C954,3,false),"")</f>
        <v/>
      </c>
      <c r="F303" s="21" t="str">
        <f t="array" ref="F303">iferror(VLOOKUP(INDIRECT(ADDRESS(ROW()+1,COLUMN(), 4)),Dex!$A$2:$C954,3,false),"")</f>
        <v/>
      </c>
      <c r="G303" s="21" t="s">
        <v>1177</v>
      </c>
      <c r="H303" s="22" t="str">
        <f t="array" ref="H303">iferror(VLOOKUP("TRAINER_PIC_HEX_MANIAC",Sprites!$A$1:$B954,2,false),"")</f>
        <v/>
      </c>
      <c r="I303" s="23"/>
    </row>
    <row r="304">
      <c r="A304" s="24"/>
      <c r="B304" s="25" t="s">
        <v>205</v>
      </c>
      <c r="C304" s="25" t="s">
        <v>136</v>
      </c>
      <c r="D304" s="25" t="s">
        <v>576</v>
      </c>
      <c r="E304" s="25" t="s">
        <v>561</v>
      </c>
      <c r="F304" s="25" t="s">
        <v>459</v>
      </c>
      <c r="G304" s="25" t="s">
        <v>1177</v>
      </c>
      <c r="H304" s="26"/>
    </row>
    <row r="305">
      <c r="A305" s="16" t="s">
        <v>1178</v>
      </c>
      <c r="B305" s="27" t="s">
        <v>2358</v>
      </c>
      <c r="C305" s="27" t="s">
        <v>2358</v>
      </c>
      <c r="D305" s="27" t="s">
        <v>2358</v>
      </c>
      <c r="E305" s="27" t="s">
        <v>2398</v>
      </c>
      <c r="F305" s="27" t="s">
        <v>2398</v>
      </c>
      <c r="G305" s="21" t="s">
        <v>1177</v>
      </c>
      <c r="H305" s="26"/>
    </row>
    <row r="306">
      <c r="A306" s="16" t="s">
        <v>1181</v>
      </c>
      <c r="B306" s="28" t="s">
        <v>1247</v>
      </c>
      <c r="C306" s="28" t="s">
        <v>1346</v>
      </c>
      <c r="D306" s="28" t="s">
        <v>2135</v>
      </c>
      <c r="E306" s="28" t="s">
        <v>2139</v>
      </c>
      <c r="F306" s="28" t="s">
        <v>1403</v>
      </c>
      <c r="G306" s="28" t="s">
        <v>1177</v>
      </c>
      <c r="H306" s="26"/>
    </row>
    <row r="307">
      <c r="A307" s="16" t="s">
        <v>1182</v>
      </c>
      <c r="B307" s="21" t="s">
        <v>1296</v>
      </c>
      <c r="C307" s="21" t="s">
        <v>1267</v>
      </c>
      <c r="D307" s="21" t="s">
        <v>1368</v>
      </c>
      <c r="E307" s="21" t="s">
        <v>1798</v>
      </c>
      <c r="F307" s="21" t="s">
        <v>1798</v>
      </c>
      <c r="G307" s="21" t="s">
        <v>1177</v>
      </c>
      <c r="H307" s="26"/>
    </row>
    <row r="308">
      <c r="A308" s="16" t="s">
        <v>1186</v>
      </c>
      <c r="B308" s="28" t="s">
        <v>1284</v>
      </c>
      <c r="C308" s="28" t="s">
        <v>1406</v>
      </c>
      <c r="D308" s="28" t="s">
        <v>1754</v>
      </c>
      <c r="E308" s="28" t="s">
        <v>1234</v>
      </c>
      <c r="F308" s="28" t="s">
        <v>1248</v>
      </c>
      <c r="G308" s="28" t="s">
        <v>1177</v>
      </c>
      <c r="H308" s="26"/>
    </row>
    <row r="309">
      <c r="A309" s="20" t="s">
        <v>1188</v>
      </c>
      <c r="B309" s="21" t="s">
        <v>1617</v>
      </c>
      <c r="C309" s="21" t="s">
        <v>1749</v>
      </c>
      <c r="D309" s="21" t="s">
        <v>1823</v>
      </c>
      <c r="E309" s="21" t="s">
        <v>1890</v>
      </c>
      <c r="F309" s="21" t="s">
        <v>1448</v>
      </c>
      <c r="G309" s="21" t="s">
        <v>1177</v>
      </c>
      <c r="H309" s="26"/>
    </row>
    <row r="310">
      <c r="A310" s="29"/>
      <c r="B310" s="21" t="s">
        <v>1713</v>
      </c>
      <c r="C310" s="21" t="s">
        <v>1385</v>
      </c>
      <c r="D310" s="21" t="s">
        <v>1983</v>
      </c>
      <c r="E310" s="21" t="s">
        <v>1742</v>
      </c>
      <c r="F310" s="21" t="s">
        <v>1422</v>
      </c>
      <c r="G310" s="21" t="s">
        <v>1177</v>
      </c>
      <c r="H310" s="26"/>
    </row>
    <row r="311">
      <c r="A311" s="29"/>
      <c r="B311" s="21" t="s">
        <v>2026</v>
      </c>
      <c r="C311" s="21" t="s">
        <v>1321</v>
      </c>
      <c r="D311" s="21" t="s">
        <v>1307</v>
      </c>
      <c r="E311" s="21" t="s">
        <v>1336</v>
      </c>
      <c r="F311" s="21" t="s">
        <v>1762</v>
      </c>
      <c r="G311" s="21" t="s">
        <v>1177</v>
      </c>
      <c r="H311" s="26"/>
    </row>
    <row r="312">
      <c r="A312" s="24"/>
      <c r="B312" s="21" t="s">
        <v>1705</v>
      </c>
      <c r="C312" s="21" t="s">
        <v>1761</v>
      </c>
      <c r="D312" s="21" t="s">
        <v>1374</v>
      </c>
      <c r="E312" s="21" t="s">
        <v>1698</v>
      </c>
      <c r="F312" s="21" t="s">
        <v>1590</v>
      </c>
      <c r="G312" s="21" t="s">
        <v>1177</v>
      </c>
      <c r="H312" s="30"/>
      <c r="I312" s="14"/>
    </row>
    <row r="313">
      <c r="A313" s="16" t="s">
        <v>1174</v>
      </c>
      <c r="B313" s="17" t="s">
        <v>2405</v>
      </c>
      <c r="C313" s="18"/>
      <c r="D313" s="18"/>
      <c r="E313" s="18"/>
      <c r="F313" s="18"/>
      <c r="G313" s="18"/>
      <c r="H313" s="18"/>
      <c r="I313" s="16"/>
    </row>
    <row r="314" ht="60.0" customHeight="1">
      <c r="A314" s="20" t="s">
        <v>1176</v>
      </c>
      <c r="B314" s="21" t="str">
        <f t="array" ref="B314">iferror(VLOOKUP(INDIRECT(ADDRESS(ROW()+1,COLUMN(), 4)),Dex!$A$2:$C954,3,false),"")</f>
        <v/>
      </c>
      <c r="C314" s="21" t="str">
        <f t="array" ref="C314">iferror(VLOOKUP(INDIRECT(ADDRESS(ROW()+1,COLUMN(), 4)),Dex!$A$2:$C954,3,false),"")</f>
        <v/>
      </c>
      <c r="D314" s="21" t="str">
        <f t="array" ref="D314">iferror(VLOOKUP(INDIRECT(ADDRESS(ROW()+1,COLUMN(), 4)),Dex!$A$2:$C954,3,false),"")</f>
        <v/>
      </c>
      <c r="E314" s="21" t="str">
        <f t="array" ref="E314">iferror(VLOOKUP(INDIRECT(ADDRESS(ROW()+1,COLUMN(), 4)),Dex!$A$2:$C954,3,false),"")</f>
        <v/>
      </c>
      <c r="F314" s="21" t="str">
        <f t="array" ref="F314">iferror(VLOOKUP(INDIRECT(ADDRESS(ROW()+1,COLUMN(), 4)),Dex!$A$2:$C954,3,false),"")</f>
        <v/>
      </c>
      <c r="G314" s="21" t="s">
        <v>1177</v>
      </c>
      <c r="H314" s="22" t="str">
        <f t="array" ref="H314">iferror(VLOOKUP("TRAINER_PIC_BLACK_BELT",Sprites!$A$1:$B954,2,false),"")</f>
        <v/>
      </c>
      <c r="I314" s="23"/>
    </row>
    <row r="315">
      <c r="A315" s="24"/>
      <c r="B315" s="25" t="s">
        <v>706</v>
      </c>
      <c r="C315" s="25" t="s">
        <v>938</v>
      </c>
      <c r="D315" s="25" t="s">
        <v>507</v>
      </c>
      <c r="E315" s="25" t="s">
        <v>94</v>
      </c>
      <c r="F315" s="25" t="s">
        <v>822</v>
      </c>
      <c r="G315" s="25" t="s">
        <v>1177</v>
      </c>
      <c r="H315" s="26"/>
    </row>
    <row r="316">
      <c r="A316" s="16" t="s">
        <v>1178</v>
      </c>
      <c r="B316" s="27" t="s">
        <v>2358</v>
      </c>
      <c r="C316" s="27" t="s">
        <v>2358</v>
      </c>
      <c r="D316" s="27" t="s">
        <v>2367</v>
      </c>
      <c r="E316" s="27" t="s">
        <v>2398</v>
      </c>
      <c r="F316" s="27" t="s">
        <v>2398</v>
      </c>
      <c r="G316" s="21" t="s">
        <v>1177</v>
      </c>
      <c r="H316" s="26"/>
    </row>
    <row r="317">
      <c r="A317" s="16" t="s">
        <v>1181</v>
      </c>
      <c r="B317" s="28" t="s">
        <v>1209</v>
      </c>
      <c r="C317" s="28" t="s">
        <v>2036</v>
      </c>
      <c r="D317" s="28" t="s">
        <v>1247</v>
      </c>
      <c r="E317" s="28" t="s">
        <v>1295</v>
      </c>
      <c r="F317" s="28" t="s">
        <v>1265</v>
      </c>
      <c r="G317" s="28" t="s">
        <v>1177</v>
      </c>
      <c r="H317" s="26"/>
    </row>
    <row r="318">
      <c r="A318" s="16" t="s">
        <v>1182</v>
      </c>
      <c r="B318" s="21" t="s">
        <v>1298</v>
      </c>
      <c r="C318" s="21" t="s">
        <v>1926</v>
      </c>
      <c r="D318" s="21" t="s">
        <v>1444</v>
      </c>
      <c r="E318" s="21" t="s">
        <v>1462</v>
      </c>
      <c r="F318" s="21" t="s">
        <v>1821</v>
      </c>
      <c r="G318" s="21" t="s">
        <v>1177</v>
      </c>
      <c r="H318" s="26"/>
    </row>
    <row r="319">
      <c r="A319" s="16" t="s">
        <v>1186</v>
      </c>
      <c r="B319" s="28" t="s">
        <v>1235</v>
      </c>
      <c r="C319" s="28" t="s">
        <v>1235</v>
      </c>
      <c r="D319" s="28" t="s">
        <v>1284</v>
      </c>
      <c r="E319" s="28" t="s">
        <v>1235</v>
      </c>
      <c r="F319" s="28" t="s">
        <v>1235</v>
      </c>
      <c r="G319" s="28" t="s">
        <v>1177</v>
      </c>
      <c r="H319" s="26"/>
    </row>
    <row r="320">
      <c r="A320" s="20" t="s">
        <v>1188</v>
      </c>
      <c r="B320" s="21" t="s">
        <v>1677</v>
      </c>
      <c r="C320" s="21" t="s">
        <v>1927</v>
      </c>
      <c r="D320" s="21" t="s">
        <v>1740</v>
      </c>
      <c r="E320" s="21" t="s">
        <v>1874</v>
      </c>
      <c r="F320" s="21" t="s">
        <v>1646</v>
      </c>
      <c r="G320" s="21" t="s">
        <v>1177</v>
      </c>
      <c r="H320" s="26"/>
    </row>
    <row r="321">
      <c r="A321" s="29"/>
      <c r="B321" s="21" t="s">
        <v>1732</v>
      </c>
      <c r="C321" s="21" t="s">
        <v>1874</v>
      </c>
      <c r="D321" s="21" t="s">
        <v>1992</v>
      </c>
      <c r="E321" s="21" t="s">
        <v>1760</v>
      </c>
      <c r="F321" s="21" t="s">
        <v>1423</v>
      </c>
      <c r="G321" s="21" t="s">
        <v>1177</v>
      </c>
      <c r="H321" s="26"/>
    </row>
    <row r="322">
      <c r="A322" s="29"/>
      <c r="B322" s="21" t="s">
        <v>1874</v>
      </c>
      <c r="C322" s="21" t="s">
        <v>1594</v>
      </c>
      <c r="D322" s="21" t="s">
        <v>1652</v>
      </c>
      <c r="E322" s="21" t="s">
        <v>1679</v>
      </c>
      <c r="F322" s="21" t="s">
        <v>1952</v>
      </c>
      <c r="G322" s="21" t="s">
        <v>1177</v>
      </c>
      <c r="H322" s="26"/>
    </row>
    <row r="323">
      <c r="A323" s="24"/>
      <c r="B323" s="21" t="s">
        <v>1360</v>
      </c>
      <c r="C323" s="21" t="s">
        <v>1705</v>
      </c>
      <c r="D323" s="21" t="s">
        <v>1771</v>
      </c>
      <c r="E323" s="21" t="s">
        <v>1311</v>
      </c>
      <c r="F323" s="21" t="s">
        <v>1641</v>
      </c>
      <c r="G323" s="21" t="s">
        <v>1177</v>
      </c>
      <c r="H323" s="30"/>
      <c r="I323" s="14"/>
    </row>
    <row r="324">
      <c r="A324" s="16" t="s">
        <v>1174</v>
      </c>
      <c r="B324" s="17" t="s">
        <v>2406</v>
      </c>
      <c r="C324" s="18"/>
      <c r="D324" s="18"/>
      <c r="E324" s="18"/>
      <c r="F324" s="18"/>
      <c r="G324" s="18"/>
      <c r="H324" s="18"/>
      <c r="I324" s="16"/>
    </row>
    <row r="325" ht="60.0" customHeight="1">
      <c r="A325" s="20" t="s">
        <v>1176</v>
      </c>
      <c r="B325" s="21" t="str">
        <f t="array" ref="B325">iferror(VLOOKUP(INDIRECT(ADDRESS(ROW()+1,COLUMN(), 4)),Dex!$A$2:$C954,3,false),"")</f>
        <v/>
      </c>
      <c r="C325" s="21" t="str">
        <f t="array" ref="C325">iferror(VLOOKUP(INDIRECT(ADDRESS(ROW()+1,COLUMN(), 4)),Dex!$A$2:$C954,3,false),"")</f>
        <v/>
      </c>
      <c r="D325" s="21" t="str">
        <f t="array" ref="D325">iferror(VLOOKUP(INDIRECT(ADDRESS(ROW()+1,COLUMN(), 4)),Dex!$A$2:$C954,3,false),"")</f>
        <v/>
      </c>
      <c r="E325" s="21" t="str">
        <f t="array" ref="E325">iferror(VLOOKUP(INDIRECT(ADDRESS(ROW()+1,COLUMN(), 4)),Dex!$A$2:$C954,3,false),"")</f>
        <v/>
      </c>
      <c r="F325" s="21" t="s">
        <v>1177</v>
      </c>
      <c r="G325" s="21" t="s">
        <v>1177</v>
      </c>
      <c r="H325" s="22" t="str">
        <f t="array" ref="H325">iferror(VLOOKUP("TRAINER_PIC_HEX_MANIAC",Sprites!$A$1:$B954,2,false),"")</f>
        <v/>
      </c>
      <c r="I325" s="23"/>
    </row>
    <row r="326">
      <c r="A326" s="24"/>
      <c r="B326" s="25" t="s">
        <v>170</v>
      </c>
      <c r="C326" s="25" t="s">
        <v>547</v>
      </c>
      <c r="D326" s="25" t="s">
        <v>861</v>
      </c>
      <c r="E326" s="25" t="s">
        <v>281</v>
      </c>
      <c r="F326" s="25" t="s">
        <v>1177</v>
      </c>
      <c r="G326" s="25" t="s">
        <v>1177</v>
      </c>
      <c r="H326" s="26"/>
    </row>
    <row r="327">
      <c r="A327" s="16" t="s">
        <v>1178</v>
      </c>
      <c r="B327" s="27" t="s">
        <v>2398</v>
      </c>
      <c r="C327" s="27" t="s">
        <v>2398</v>
      </c>
      <c r="D327" s="27" t="s">
        <v>2398</v>
      </c>
      <c r="E327" s="27" t="s">
        <v>2358</v>
      </c>
      <c r="F327" s="21" t="s">
        <v>1177</v>
      </c>
      <c r="G327" s="21" t="s">
        <v>1177</v>
      </c>
      <c r="H327" s="26"/>
    </row>
    <row r="328">
      <c r="A328" s="16" t="s">
        <v>1181</v>
      </c>
      <c r="B328" s="28" t="s">
        <v>1838</v>
      </c>
      <c r="C328" s="28" t="s">
        <v>1882</v>
      </c>
      <c r="D328" s="28" t="s">
        <v>1295</v>
      </c>
      <c r="E328" s="28" t="s">
        <v>1209</v>
      </c>
      <c r="F328" s="28" t="s">
        <v>1177</v>
      </c>
      <c r="G328" s="28" t="s">
        <v>1177</v>
      </c>
      <c r="H328" s="26"/>
    </row>
    <row r="329">
      <c r="A329" s="16" t="s">
        <v>1182</v>
      </c>
      <c r="B329" s="21" t="s">
        <v>1907</v>
      </c>
      <c r="C329" s="21" t="s">
        <v>1368</v>
      </c>
      <c r="D329" s="21" t="s">
        <v>1950</v>
      </c>
      <c r="E329" s="21" t="s">
        <v>1730</v>
      </c>
      <c r="F329" s="21" t="s">
        <v>1177</v>
      </c>
      <c r="G329" s="21" t="s">
        <v>1177</v>
      </c>
      <c r="H329" s="26"/>
    </row>
    <row r="330">
      <c r="A330" s="16" t="s">
        <v>1186</v>
      </c>
      <c r="B330" s="28" t="s">
        <v>1235</v>
      </c>
      <c r="C330" s="28" t="s">
        <v>1284</v>
      </c>
      <c r="D330" s="28" t="s">
        <v>1235</v>
      </c>
      <c r="E330" s="28" t="s">
        <v>1257</v>
      </c>
      <c r="F330" s="28" t="s">
        <v>1177</v>
      </c>
      <c r="G330" s="28" t="s">
        <v>1177</v>
      </c>
      <c r="H330" s="26"/>
    </row>
    <row r="331">
      <c r="A331" s="20" t="s">
        <v>1188</v>
      </c>
      <c r="B331" s="21" t="s">
        <v>1805</v>
      </c>
      <c r="C331" s="21" t="s">
        <v>1742</v>
      </c>
      <c r="D331" s="21" t="s">
        <v>1577</v>
      </c>
      <c r="E331" s="21" t="s">
        <v>1896</v>
      </c>
      <c r="F331" s="21" t="s">
        <v>1177</v>
      </c>
      <c r="G331" s="21" t="s">
        <v>1177</v>
      </c>
      <c r="H331" s="26"/>
    </row>
    <row r="332">
      <c r="A332" s="29"/>
      <c r="B332" s="21" t="s">
        <v>1677</v>
      </c>
      <c r="C332" s="21" t="s">
        <v>1371</v>
      </c>
      <c r="D332" s="21" t="s">
        <v>1714</v>
      </c>
      <c r="E332" s="21" t="s">
        <v>2095</v>
      </c>
      <c r="F332" s="21" t="s">
        <v>1177</v>
      </c>
      <c r="G332" s="21" t="s">
        <v>1177</v>
      </c>
      <c r="H332" s="26"/>
    </row>
    <row r="333">
      <c r="A333" s="29"/>
      <c r="B333" s="21" t="s">
        <v>1471</v>
      </c>
      <c r="C333" s="21" t="s">
        <v>1726</v>
      </c>
      <c r="D333" s="21" t="s">
        <v>1472</v>
      </c>
      <c r="E333" s="21" t="s">
        <v>1924</v>
      </c>
      <c r="F333" s="21" t="s">
        <v>1177</v>
      </c>
      <c r="G333" s="21" t="s">
        <v>1177</v>
      </c>
      <c r="H333" s="26"/>
    </row>
    <row r="334">
      <c r="A334" s="24"/>
      <c r="B334" s="21" t="s">
        <v>1896</v>
      </c>
      <c r="C334" s="21" t="s">
        <v>1924</v>
      </c>
      <c r="D334" s="21" t="s">
        <v>1959</v>
      </c>
      <c r="E334" s="21" t="s">
        <v>2153</v>
      </c>
      <c r="F334" s="21" t="s">
        <v>1177</v>
      </c>
      <c r="G334" s="21" t="s">
        <v>1177</v>
      </c>
      <c r="H334" s="30"/>
      <c r="I334" s="14"/>
    </row>
    <row r="335">
      <c r="A335" s="16" t="s">
        <v>1174</v>
      </c>
      <c r="B335" s="17" t="s">
        <v>2407</v>
      </c>
      <c r="C335" s="18"/>
      <c r="D335" s="18"/>
      <c r="E335" s="18"/>
      <c r="F335" s="18"/>
      <c r="G335" s="18"/>
      <c r="H335" s="18"/>
      <c r="I335" s="16"/>
    </row>
    <row r="336" ht="60.0" customHeight="1">
      <c r="A336" s="20" t="s">
        <v>1176</v>
      </c>
      <c r="B336" s="21" t="str">
        <f t="array" ref="B336">iferror(VLOOKUP(INDIRECT(ADDRESS(ROW()+1,COLUMN(), 4)),Dex!$A$2:$C954,3,false),"")</f>
        <v/>
      </c>
      <c r="C336" s="21" t="str">
        <f t="array" ref="C336">iferror(VLOOKUP(INDIRECT(ADDRESS(ROW()+1,COLUMN(), 4)),Dex!$A$2:$C954,3,false),"")</f>
        <v/>
      </c>
      <c r="D336" s="21" t="str">
        <f t="array" ref="D336">iferror(VLOOKUP(INDIRECT(ADDRESS(ROW()+1,COLUMN(), 4)),Dex!$A$2:$C954,3,false),"")</f>
        <v/>
      </c>
      <c r="E336" s="21" t="str">
        <f t="array" ref="E336">iferror(VLOOKUP(INDIRECT(ADDRESS(ROW()+1,COLUMN(), 4)),Dex!$A$2:$C954,3,false),"")</f>
        <v/>
      </c>
      <c r="F336" s="21" t="s">
        <v>1177</v>
      </c>
      <c r="G336" s="21" t="s">
        <v>1177</v>
      </c>
      <c r="H336" s="22" t="str">
        <f t="array" ref="H336">iferror(VLOOKUP("TRAINER_PIC_PSYCHIC_M",Sprites!$A$1:$B954,2,false),"")</f>
        <v/>
      </c>
      <c r="I336" s="23"/>
    </row>
    <row r="337">
      <c r="A337" s="24"/>
      <c r="B337" s="25" t="s">
        <v>588</v>
      </c>
      <c r="C337" s="25" t="s">
        <v>1104</v>
      </c>
      <c r="D337" s="25" t="s">
        <v>1095</v>
      </c>
      <c r="E337" s="25" t="s">
        <v>735</v>
      </c>
      <c r="F337" s="25" t="s">
        <v>1177</v>
      </c>
      <c r="G337" s="25" t="s">
        <v>1177</v>
      </c>
      <c r="H337" s="26"/>
    </row>
    <row r="338">
      <c r="A338" s="16" t="s">
        <v>1178</v>
      </c>
      <c r="B338" s="27" t="s">
        <v>2398</v>
      </c>
      <c r="C338" s="27" t="s">
        <v>2358</v>
      </c>
      <c r="D338" s="27" t="s">
        <v>2358</v>
      </c>
      <c r="E338" s="27" t="s">
        <v>2398</v>
      </c>
      <c r="F338" s="21" t="s">
        <v>1177</v>
      </c>
      <c r="G338" s="21" t="s">
        <v>1177</v>
      </c>
      <c r="H338" s="26"/>
    </row>
    <row r="339">
      <c r="A339" s="16" t="s">
        <v>1181</v>
      </c>
      <c r="B339" s="28" t="s">
        <v>1882</v>
      </c>
      <c r="C339" s="28" t="s">
        <v>2408</v>
      </c>
      <c r="D339" s="28" t="s">
        <v>1572</v>
      </c>
      <c r="E339" s="28" t="s">
        <v>1460</v>
      </c>
      <c r="F339" s="28" t="s">
        <v>1177</v>
      </c>
      <c r="G339" s="28" t="s">
        <v>1177</v>
      </c>
      <c r="H339" s="26"/>
    </row>
    <row r="340">
      <c r="A340" s="16" t="s">
        <v>1182</v>
      </c>
      <c r="B340" s="21" t="s">
        <v>1184</v>
      </c>
      <c r="C340" s="21" t="s">
        <v>1883</v>
      </c>
      <c r="D340" s="21" t="s">
        <v>1393</v>
      </c>
      <c r="E340" s="21" t="s">
        <v>1730</v>
      </c>
      <c r="F340" s="21" t="s">
        <v>1177</v>
      </c>
      <c r="G340" s="21" t="s">
        <v>1177</v>
      </c>
      <c r="H340" s="26"/>
    </row>
    <row r="341">
      <c r="A341" s="16" t="s">
        <v>1186</v>
      </c>
      <c r="B341" s="28" t="s">
        <v>1269</v>
      </c>
      <c r="C341" s="28" t="s">
        <v>1235</v>
      </c>
      <c r="D341" s="28" t="s">
        <v>1269</v>
      </c>
      <c r="E341" s="28" t="s">
        <v>1284</v>
      </c>
      <c r="F341" s="28" t="s">
        <v>1177</v>
      </c>
      <c r="G341" s="28" t="s">
        <v>1177</v>
      </c>
      <c r="H341" s="26"/>
    </row>
    <row r="342">
      <c r="A342" s="20" t="s">
        <v>1188</v>
      </c>
      <c r="B342" s="21" t="s">
        <v>1704</v>
      </c>
      <c r="C342" s="21" t="s">
        <v>1805</v>
      </c>
      <c r="D342" s="21" t="s">
        <v>1742</v>
      </c>
      <c r="E342" s="21" t="s">
        <v>1731</v>
      </c>
      <c r="F342" s="21" t="s">
        <v>1177</v>
      </c>
      <c r="G342" s="21" t="s">
        <v>1177</v>
      </c>
      <c r="H342" s="26"/>
    </row>
    <row r="343">
      <c r="A343" s="29"/>
      <c r="B343" s="21" t="s">
        <v>1731</v>
      </c>
      <c r="C343" s="21" t="s">
        <v>1577</v>
      </c>
      <c r="D343" s="21" t="s">
        <v>2167</v>
      </c>
      <c r="E343" s="21" t="s">
        <v>1371</v>
      </c>
      <c r="F343" s="21" t="s">
        <v>1177</v>
      </c>
      <c r="G343" s="21" t="s">
        <v>1177</v>
      </c>
      <c r="H343" s="26"/>
    </row>
    <row r="344">
      <c r="A344" s="29"/>
      <c r="B344" s="21" t="s">
        <v>1323</v>
      </c>
      <c r="C344" s="21" t="s">
        <v>1874</v>
      </c>
      <c r="D344" s="21" t="s">
        <v>1711</v>
      </c>
      <c r="E344" s="21" t="s">
        <v>1724</v>
      </c>
      <c r="F344" s="21" t="s">
        <v>1177</v>
      </c>
      <c r="G344" s="21" t="s">
        <v>1177</v>
      </c>
      <c r="H344" s="26"/>
    </row>
    <row r="345">
      <c r="A345" s="24"/>
      <c r="B345" s="21" t="s">
        <v>1470</v>
      </c>
      <c r="C345" s="21" t="s">
        <v>1410</v>
      </c>
      <c r="D345" s="21" t="s">
        <v>2019</v>
      </c>
      <c r="E345" s="21" t="s">
        <v>1742</v>
      </c>
      <c r="F345" s="21" t="s">
        <v>1177</v>
      </c>
      <c r="G345" s="21" t="s">
        <v>1177</v>
      </c>
      <c r="H345" s="30"/>
      <c r="I345" s="14"/>
    </row>
    <row r="346">
      <c r="A346" s="16" t="s">
        <v>1174</v>
      </c>
      <c r="B346" s="17" t="s">
        <v>2409</v>
      </c>
      <c r="C346" s="18"/>
      <c r="D346" s="18"/>
      <c r="E346" s="18"/>
      <c r="F346" s="18"/>
      <c r="G346" s="18"/>
      <c r="H346" s="18"/>
      <c r="I346" s="19"/>
    </row>
    <row r="347" ht="60.0" customHeight="1">
      <c r="A347" s="20" t="s">
        <v>1176</v>
      </c>
      <c r="B347" s="21" t="str">
        <f t="array" ref="B347">iferror(VLOOKUP(INDIRECT(ADDRESS(ROW()+1,COLUMN(), 4)),Dex!$A$2:$C954,3,false),"")</f>
        <v/>
      </c>
      <c r="C347" s="21" t="str">
        <f t="array" ref="C347">iferror(VLOOKUP(INDIRECT(ADDRESS(ROW()+1,COLUMN(), 4)),Dex!$A$2:$C954,3,false),"")</f>
        <v/>
      </c>
      <c r="D347" s="21" t="str">
        <f t="array" ref="D347">iferror(VLOOKUP(INDIRECT(ADDRESS(ROW()+1,COLUMN(), 4)),Dex!$A$2:$C954,3,false),"")</f>
        <v/>
      </c>
      <c r="E347" s="21" t="str">
        <f t="array" ref="E347">iferror(VLOOKUP(INDIRECT(ADDRESS(ROW()+1,COLUMN(), 4)),Dex!$A$2:$C954,3,false),"")</f>
        <v/>
      </c>
      <c r="F347" s="21" t="s">
        <v>1177</v>
      </c>
      <c r="G347" s="21" t="s">
        <v>1177</v>
      </c>
      <c r="H347" s="22" t="str">
        <f t="array" ref="H347">iferror(VLOOKUP("TRAINER_PIC_PSYCHIC_F",Sprites!$A$1:$B954,2,false),"")</f>
        <v/>
      </c>
      <c r="I347" s="23"/>
    </row>
    <row r="348">
      <c r="A348" s="24"/>
      <c r="B348" s="25" t="s">
        <v>85</v>
      </c>
      <c r="C348" s="25" t="s">
        <v>555</v>
      </c>
      <c r="D348" s="25" t="s">
        <v>307</v>
      </c>
      <c r="E348" s="25" t="s">
        <v>791</v>
      </c>
      <c r="F348" s="25" t="s">
        <v>1177</v>
      </c>
      <c r="G348" s="25" t="s">
        <v>1177</v>
      </c>
      <c r="H348" s="26"/>
    </row>
    <row r="349">
      <c r="A349" s="16" t="s">
        <v>1178</v>
      </c>
      <c r="B349" s="27" t="s">
        <v>2410</v>
      </c>
      <c r="C349" s="27" t="s">
        <v>2358</v>
      </c>
      <c r="D349" s="27" t="s">
        <v>2398</v>
      </c>
      <c r="E349" s="27" t="s">
        <v>2398</v>
      </c>
      <c r="F349" s="21" t="s">
        <v>1177</v>
      </c>
      <c r="G349" s="21" t="s">
        <v>1177</v>
      </c>
      <c r="H349" s="26"/>
    </row>
    <row r="350">
      <c r="A350" s="16" t="s">
        <v>1181</v>
      </c>
      <c r="B350" s="28" t="s">
        <v>1882</v>
      </c>
      <c r="C350" s="28" t="s">
        <v>2145</v>
      </c>
      <c r="D350" s="28" t="s">
        <v>1403</v>
      </c>
      <c r="E350" s="28" t="s">
        <v>1391</v>
      </c>
      <c r="F350" s="28" t="s">
        <v>1177</v>
      </c>
      <c r="G350" s="28" t="s">
        <v>1177</v>
      </c>
      <c r="H350" s="26"/>
    </row>
    <row r="351">
      <c r="A351" s="16" t="s">
        <v>1182</v>
      </c>
      <c r="B351" s="21" t="s">
        <v>1212</v>
      </c>
      <c r="C351" s="21" t="s">
        <v>2411</v>
      </c>
      <c r="D351" s="21" t="s">
        <v>1393</v>
      </c>
      <c r="E351" s="21" t="s">
        <v>1445</v>
      </c>
      <c r="F351" s="21" t="s">
        <v>1177</v>
      </c>
      <c r="G351" s="21" t="s">
        <v>1177</v>
      </c>
      <c r="H351" s="26"/>
    </row>
    <row r="352">
      <c r="A352" s="16" t="s">
        <v>1186</v>
      </c>
      <c r="B352" s="28" t="s">
        <v>1284</v>
      </c>
      <c r="C352" s="28" t="s">
        <v>1383</v>
      </c>
      <c r="D352" s="28" t="s">
        <v>1257</v>
      </c>
      <c r="E352" s="28" t="s">
        <v>1406</v>
      </c>
      <c r="F352" s="28" t="s">
        <v>1177</v>
      </c>
      <c r="G352" s="28" t="s">
        <v>1177</v>
      </c>
      <c r="H352" s="26"/>
    </row>
    <row r="353">
      <c r="A353" s="20" t="s">
        <v>1188</v>
      </c>
      <c r="B353" s="21" t="s">
        <v>1251</v>
      </c>
      <c r="C353" s="21" t="s">
        <v>2110</v>
      </c>
      <c r="D353" s="21" t="s">
        <v>1388</v>
      </c>
      <c r="E353" s="21" t="s">
        <v>1732</v>
      </c>
      <c r="F353" s="21" t="s">
        <v>1177</v>
      </c>
      <c r="G353" s="21" t="s">
        <v>1177</v>
      </c>
      <c r="H353" s="26"/>
    </row>
    <row r="354">
      <c r="A354" s="29"/>
      <c r="B354" s="21" t="s">
        <v>1878</v>
      </c>
      <c r="C354" s="21" t="s">
        <v>1804</v>
      </c>
      <c r="D354" s="21" t="s">
        <v>1623</v>
      </c>
      <c r="E354" s="21" t="s">
        <v>1307</v>
      </c>
      <c r="F354" s="21" t="s">
        <v>1177</v>
      </c>
      <c r="G354" s="21" t="s">
        <v>1177</v>
      </c>
      <c r="H354" s="26"/>
    </row>
    <row r="355">
      <c r="A355" s="29"/>
      <c r="B355" s="21" t="s">
        <v>1468</v>
      </c>
      <c r="C355" s="21" t="s">
        <v>1385</v>
      </c>
      <c r="D355" s="21" t="s">
        <v>1362</v>
      </c>
      <c r="E355" s="21" t="s">
        <v>1374</v>
      </c>
      <c r="F355" s="21" t="s">
        <v>1177</v>
      </c>
      <c r="G355" s="21" t="s">
        <v>1177</v>
      </c>
      <c r="H355" s="26"/>
    </row>
    <row r="356">
      <c r="A356" s="24"/>
      <c r="B356" s="21" t="s">
        <v>1731</v>
      </c>
      <c r="C356" s="21" t="s">
        <v>1204</v>
      </c>
      <c r="D356" s="21" t="s">
        <v>1590</v>
      </c>
      <c r="E356" s="21" t="s">
        <v>1377</v>
      </c>
      <c r="F356" s="21" t="s">
        <v>1177</v>
      </c>
      <c r="G356" s="21" t="s">
        <v>1177</v>
      </c>
      <c r="H356" s="30"/>
      <c r="I356" s="14"/>
    </row>
    <row r="357">
      <c r="A357" s="16" t="s">
        <v>1174</v>
      </c>
      <c r="B357" s="17" t="s">
        <v>2412</v>
      </c>
      <c r="C357" s="18"/>
      <c r="D357" s="18"/>
      <c r="E357" s="18"/>
      <c r="F357" s="18"/>
      <c r="G357" s="18"/>
      <c r="H357" s="18"/>
      <c r="I357" s="16"/>
    </row>
    <row r="358" ht="60.0" customHeight="1">
      <c r="A358" s="20" t="s">
        <v>1176</v>
      </c>
      <c r="B358" s="21" t="str">
        <f t="array" ref="B358">iferror(VLOOKUP(INDIRECT(ADDRESS(ROW()+1,COLUMN(), 4)),Dex!$A$2:$C954,3,false),"")</f>
        <v/>
      </c>
      <c r="C358" s="21" t="str">
        <f t="array" ref="C358">iferror(VLOOKUP(INDIRECT(ADDRESS(ROW()+1,COLUMN(), 4)),Dex!$A$2:$C954,3,false),"")</f>
        <v/>
      </c>
      <c r="D358" s="21" t="str">
        <f t="array" ref="D358">iferror(VLOOKUP(INDIRECT(ADDRESS(ROW()+1,COLUMN(), 4)),Dex!$A$2:$C954,3,false),"")</f>
        <v/>
      </c>
      <c r="E358" s="21" t="s">
        <v>1177</v>
      </c>
      <c r="F358" s="21" t="s">
        <v>1177</v>
      </c>
      <c r="G358" s="21" t="s">
        <v>1177</v>
      </c>
      <c r="H358" s="22" t="str">
        <f t="array" ref="H358">iferror(VLOOKUP("TRAINER_PIC_BLACK_BELT",Sprites!$A$1:$B954,2,false),"")</f>
        <v/>
      </c>
      <c r="I358" s="23"/>
    </row>
    <row r="359">
      <c r="A359" s="24"/>
      <c r="B359" s="25" t="s">
        <v>691</v>
      </c>
      <c r="C359" s="25" t="s">
        <v>690</v>
      </c>
      <c r="D359" s="25" t="s">
        <v>568</v>
      </c>
      <c r="E359" s="25" t="s">
        <v>1177</v>
      </c>
      <c r="F359" s="25" t="s">
        <v>1177</v>
      </c>
      <c r="G359" s="25" t="s">
        <v>1177</v>
      </c>
      <c r="H359" s="26"/>
    </row>
    <row r="360">
      <c r="A360" s="16" t="s">
        <v>1178</v>
      </c>
      <c r="B360" s="27" t="s">
        <v>2358</v>
      </c>
      <c r="C360" s="27" t="s">
        <v>2358</v>
      </c>
      <c r="D360" s="27" t="s">
        <v>2367</v>
      </c>
      <c r="E360" s="21" t="s">
        <v>1177</v>
      </c>
      <c r="F360" s="21" t="s">
        <v>1177</v>
      </c>
      <c r="G360" s="21" t="s">
        <v>1177</v>
      </c>
      <c r="H360" s="26"/>
    </row>
    <row r="361">
      <c r="A361" s="16" t="s">
        <v>1181</v>
      </c>
      <c r="B361" s="28" t="s">
        <v>1209</v>
      </c>
      <c r="C361" s="28" t="s">
        <v>1295</v>
      </c>
      <c r="D361" s="28" t="s">
        <v>1833</v>
      </c>
      <c r="E361" s="28" t="s">
        <v>1177</v>
      </c>
      <c r="F361" s="28" t="s">
        <v>1177</v>
      </c>
      <c r="G361" s="28" t="s">
        <v>1177</v>
      </c>
      <c r="H361" s="26"/>
    </row>
    <row r="362">
      <c r="A362" s="16" t="s">
        <v>1182</v>
      </c>
      <c r="B362" s="21" t="s">
        <v>1199</v>
      </c>
      <c r="C362" s="21" t="s">
        <v>1419</v>
      </c>
      <c r="D362" s="21" t="s">
        <v>1736</v>
      </c>
      <c r="E362" s="21" t="s">
        <v>1177</v>
      </c>
      <c r="F362" s="21" t="s">
        <v>1177</v>
      </c>
      <c r="G362" s="21" t="s">
        <v>1177</v>
      </c>
      <c r="H362" s="26"/>
    </row>
    <row r="363">
      <c r="A363" s="16" t="s">
        <v>1186</v>
      </c>
      <c r="B363" s="28" t="s">
        <v>1235</v>
      </c>
      <c r="C363" s="28" t="s">
        <v>1383</v>
      </c>
      <c r="D363" s="28" t="s">
        <v>1249</v>
      </c>
      <c r="E363" s="28" t="s">
        <v>1177</v>
      </c>
      <c r="F363" s="28" t="s">
        <v>1177</v>
      </c>
      <c r="G363" s="28" t="s">
        <v>1177</v>
      </c>
      <c r="H363" s="26"/>
    </row>
    <row r="364">
      <c r="A364" s="20" t="s">
        <v>1188</v>
      </c>
      <c r="B364" s="21" t="s">
        <v>1874</v>
      </c>
      <c r="C364" s="21" t="s">
        <v>1757</v>
      </c>
      <c r="D364" s="21" t="s">
        <v>1878</v>
      </c>
      <c r="E364" s="21" t="s">
        <v>1177</v>
      </c>
      <c r="F364" s="21" t="s">
        <v>1177</v>
      </c>
      <c r="G364" s="21" t="s">
        <v>1177</v>
      </c>
      <c r="H364" s="26"/>
    </row>
    <row r="365">
      <c r="A365" s="29"/>
      <c r="B365" s="21" t="s">
        <v>1359</v>
      </c>
      <c r="C365" s="21" t="s">
        <v>1385</v>
      </c>
      <c r="D365" s="21" t="s">
        <v>1723</v>
      </c>
      <c r="E365" s="21" t="s">
        <v>1177</v>
      </c>
      <c r="F365" s="21" t="s">
        <v>1177</v>
      </c>
      <c r="G365" s="21" t="s">
        <v>1177</v>
      </c>
      <c r="H365" s="26"/>
    </row>
    <row r="366">
      <c r="A366" s="29"/>
      <c r="B366" s="21" t="s">
        <v>1307</v>
      </c>
      <c r="C366" s="21" t="s">
        <v>1410</v>
      </c>
      <c r="D366" s="21" t="s">
        <v>1678</v>
      </c>
      <c r="E366" s="21" t="s">
        <v>1177</v>
      </c>
      <c r="F366" s="21" t="s">
        <v>1177</v>
      </c>
      <c r="G366" s="21" t="s">
        <v>1177</v>
      </c>
      <c r="H366" s="26"/>
    </row>
    <row r="367">
      <c r="A367" s="24"/>
      <c r="B367" s="21" t="s">
        <v>1896</v>
      </c>
      <c r="C367" s="21" t="s">
        <v>1398</v>
      </c>
      <c r="D367" s="21" t="s">
        <v>1672</v>
      </c>
      <c r="E367" s="21" t="s">
        <v>1177</v>
      </c>
      <c r="F367" s="21" t="s">
        <v>1177</v>
      </c>
      <c r="G367" s="21" t="s">
        <v>1177</v>
      </c>
      <c r="H367" s="30"/>
      <c r="I367" s="14"/>
    </row>
    <row r="368">
      <c r="A368" s="16" t="s">
        <v>1174</v>
      </c>
      <c r="B368" s="17" t="s">
        <v>2413</v>
      </c>
      <c r="C368" s="18"/>
      <c r="D368" s="18"/>
      <c r="E368" s="18"/>
      <c r="F368" s="18"/>
      <c r="G368" s="18"/>
      <c r="H368" s="18"/>
      <c r="I368" s="19"/>
    </row>
    <row r="369" ht="60.0" customHeight="1">
      <c r="A369" s="20" t="s">
        <v>1176</v>
      </c>
      <c r="B369" s="21" t="str">
        <f t="array" ref="B369">iferror(VLOOKUP(INDIRECT(ADDRESS(ROW()+1,COLUMN(), 4)),Dex!$A$2:$C954,3,false),"")</f>
        <v/>
      </c>
      <c r="C369" s="21" t="str">
        <f t="array" ref="C369">iferror(VLOOKUP(INDIRECT(ADDRESS(ROW()+1,COLUMN(), 4)),Dex!$A$2:$C954,3,false),"")</f>
        <v/>
      </c>
      <c r="D369" s="21" t="str">
        <f t="array" ref="D369">iferror(VLOOKUP(INDIRECT(ADDRESS(ROW()+1,COLUMN(), 4)),Dex!$A$2:$C954,3,false),"")</f>
        <v/>
      </c>
      <c r="E369" s="21" t="s">
        <v>1177</v>
      </c>
      <c r="F369" s="21" t="s">
        <v>1177</v>
      </c>
      <c r="G369" s="21" t="s">
        <v>1177</v>
      </c>
      <c r="H369" s="22" t="str">
        <f t="array" ref="H369">iferror(VLOOKUP("TRAINER_PIC_AQUA_GRUNT_M",Sprites!$A$1:$B954,2,false),"")</f>
        <v/>
      </c>
      <c r="I369" s="23"/>
    </row>
    <row r="370">
      <c r="A370" s="24"/>
      <c r="B370" s="25" t="s">
        <v>444</v>
      </c>
      <c r="C370" s="25" t="s">
        <v>316</v>
      </c>
      <c r="D370" s="25" t="s">
        <v>922</v>
      </c>
      <c r="E370" s="25" t="s">
        <v>1177</v>
      </c>
      <c r="F370" s="25" t="s">
        <v>1177</v>
      </c>
      <c r="G370" s="25" t="s">
        <v>1177</v>
      </c>
      <c r="H370" s="26"/>
    </row>
    <row r="371">
      <c r="A371" s="16" t="s">
        <v>1178</v>
      </c>
      <c r="B371" s="27" t="s">
        <v>2410</v>
      </c>
      <c r="C371" s="27" t="s">
        <v>2358</v>
      </c>
      <c r="D371" s="27" t="s">
        <v>2398</v>
      </c>
      <c r="E371" s="21" t="s">
        <v>1177</v>
      </c>
      <c r="F371" s="21" t="s">
        <v>1177</v>
      </c>
      <c r="G371" s="21" t="s">
        <v>1177</v>
      </c>
      <c r="H371" s="26"/>
    </row>
    <row r="372">
      <c r="A372" s="16" t="s">
        <v>1181</v>
      </c>
      <c r="B372" s="28" t="s">
        <v>1247</v>
      </c>
      <c r="C372" s="28" t="s">
        <v>1571</v>
      </c>
      <c r="D372" s="28" t="s">
        <v>1796</v>
      </c>
      <c r="E372" s="28" t="s">
        <v>1177</v>
      </c>
      <c r="F372" s="28" t="s">
        <v>1177</v>
      </c>
      <c r="G372" s="28" t="s">
        <v>1177</v>
      </c>
      <c r="H372" s="26"/>
    </row>
    <row r="373">
      <c r="A373" s="16" t="s">
        <v>1182</v>
      </c>
      <c r="B373" s="21" t="s">
        <v>2082</v>
      </c>
      <c r="C373" s="21" t="s">
        <v>1573</v>
      </c>
      <c r="D373" s="21" t="s">
        <v>2082</v>
      </c>
      <c r="E373" s="21" t="s">
        <v>1177</v>
      </c>
      <c r="F373" s="21" t="s">
        <v>1177</v>
      </c>
      <c r="G373" s="21" t="s">
        <v>1177</v>
      </c>
      <c r="H373" s="26"/>
    </row>
    <row r="374">
      <c r="A374" s="16" t="s">
        <v>1186</v>
      </c>
      <c r="B374" s="28" t="s">
        <v>1235</v>
      </c>
      <c r="C374" s="28" t="s">
        <v>1249</v>
      </c>
      <c r="D374" s="28" t="s">
        <v>1248</v>
      </c>
      <c r="E374" s="28" t="s">
        <v>1177</v>
      </c>
      <c r="F374" s="28" t="s">
        <v>1177</v>
      </c>
      <c r="G374" s="28" t="s">
        <v>1177</v>
      </c>
      <c r="H374" s="26"/>
    </row>
    <row r="375">
      <c r="A375" s="20" t="s">
        <v>1188</v>
      </c>
      <c r="B375" s="21" t="s">
        <v>1943</v>
      </c>
      <c r="C375" s="21" t="s">
        <v>2268</v>
      </c>
      <c r="D375" s="21" t="s">
        <v>2322</v>
      </c>
      <c r="E375" s="21" t="s">
        <v>1177</v>
      </c>
      <c r="F375" s="21" t="s">
        <v>1177</v>
      </c>
      <c r="G375" s="21" t="s">
        <v>1177</v>
      </c>
      <c r="H375" s="26"/>
    </row>
    <row r="376">
      <c r="A376" s="29"/>
      <c r="B376" s="21" t="s">
        <v>1307</v>
      </c>
      <c r="C376" s="21" t="s">
        <v>1760</v>
      </c>
      <c r="D376" s="21" t="s">
        <v>1677</v>
      </c>
      <c r="E376" s="21" t="s">
        <v>1177</v>
      </c>
      <c r="F376" s="21" t="s">
        <v>1177</v>
      </c>
      <c r="G376" s="21" t="s">
        <v>1177</v>
      </c>
      <c r="H376" s="26"/>
    </row>
    <row r="377">
      <c r="A377" s="29"/>
      <c r="B377" s="21" t="s">
        <v>1236</v>
      </c>
      <c r="C377" s="21" t="s">
        <v>1987</v>
      </c>
      <c r="D377" s="21" t="s">
        <v>1594</v>
      </c>
      <c r="E377" s="21" t="s">
        <v>1177</v>
      </c>
      <c r="F377" s="21" t="s">
        <v>1177</v>
      </c>
      <c r="G377" s="21" t="s">
        <v>1177</v>
      </c>
      <c r="H377" s="26"/>
    </row>
    <row r="378">
      <c r="A378" s="24"/>
      <c r="B378" s="21" t="s">
        <v>1874</v>
      </c>
      <c r="C378" s="21" t="s">
        <v>1600</v>
      </c>
      <c r="D378" s="21" t="s">
        <v>1836</v>
      </c>
      <c r="E378" s="21" t="s">
        <v>1177</v>
      </c>
      <c r="F378" s="21" t="s">
        <v>1177</v>
      </c>
      <c r="G378" s="21" t="s">
        <v>1177</v>
      </c>
      <c r="H378" s="30"/>
      <c r="I378" s="14"/>
    </row>
    <row r="379">
      <c r="A379" s="16" t="s">
        <v>1174</v>
      </c>
      <c r="B379" s="17" t="s">
        <v>2414</v>
      </c>
      <c r="C379" s="18"/>
      <c r="D379" s="18"/>
      <c r="E379" s="18"/>
      <c r="F379" s="18"/>
      <c r="G379" s="18"/>
      <c r="H379" s="18"/>
      <c r="I379" s="16"/>
    </row>
    <row r="380" ht="60.0" customHeight="1">
      <c r="A380" s="20" t="s">
        <v>1176</v>
      </c>
      <c r="B380" s="21" t="str">
        <f t="array" ref="B380">iferror(VLOOKUP(INDIRECT(ADDRESS(ROW()+1,COLUMN(), 4)),Dex!$A$2:$C954,3,false),"")</f>
        <v/>
      </c>
      <c r="C380" s="21" t="str">
        <f t="array" ref="C380">iferror(VLOOKUP(INDIRECT(ADDRESS(ROW()+1,COLUMN(), 4)),Dex!$A$2:$C954,3,false),"")</f>
        <v/>
      </c>
      <c r="D380" s="21" t="str">
        <f t="array" ref="D380">iferror(VLOOKUP(INDIRECT(ADDRESS(ROW()+1,COLUMN(), 4)),Dex!$A$2:$C954,3,false),"")</f>
        <v/>
      </c>
      <c r="E380" s="21" t="str">
        <f t="array" ref="E380">iferror(VLOOKUP(INDIRECT(ADDRESS(ROW()+1,COLUMN(), 4)),Dex!$A$2:$C954,3,false),"")</f>
        <v/>
      </c>
      <c r="F380" s="21" t="s">
        <v>1177</v>
      </c>
      <c r="G380" s="21" t="s">
        <v>1177</v>
      </c>
      <c r="H380" s="22" t="str">
        <f t="array" ref="H380">iferror(VLOOKUP("TRAINER_PIC_AQUA_GRUNT_F",Sprites!$A$1:$B954,2,false),"")</f>
        <v/>
      </c>
      <c r="I380" s="23"/>
    </row>
    <row r="381">
      <c r="A381" s="24"/>
      <c r="B381" s="25" t="s">
        <v>220</v>
      </c>
      <c r="C381" s="25" t="s">
        <v>892</v>
      </c>
      <c r="D381" s="25" t="s">
        <v>536</v>
      </c>
      <c r="E381" s="25" t="s">
        <v>193</v>
      </c>
      <c r="F381" s="25" t="s">
        <v>1177</v>
      </c>
      <c r="G381" s="25" t="s">
        <v>1177</v>
      </c>
      <c r="H381" s="26"/>
    </row>
    <row r="382">
      <c r="A382" s="16" t="s">
        <v>1178</v>
      </c>
      <c r="B382" s="27" t="s">
        <v>2358</v>
      </c>
      <c r="C382" s="27" t="s">
        <v>2398</v>
      </c>
      <c r="D382" s="27" t="s">
        <v>2358</v>
      </c>
      <c r="E382" s="27" t="s">
        <v>2367</v>
      </c>
      <c r="F382" s="21" t="s">
        <v>1177</v>
      </c>
      <c r="G382" s="21" t="s">
        <v>1177</v>
      </c>
      <c r="H382" s="26"/>
    </row>
    <row r="383">
      <c r="A383" s="16" t="s">
        <v>1181</v>
      </c>
      <c r="B383" s="28" t="s">
        <v>1572</v>
      </c>
      <c r="C383" s="28" t="s">
        <v>1209</v>
      </c>
      <c r="D383" s="28" t="s">
        <v>1882</v>
      </c>
      <c r="E383" s="28" t="s">
        <v>1582</v>
      </c>
      <c r="F383" s="28" t="s">
        <v>1177</v>
      </c>
      <c r="G383" s="28" t="s">
        <v>1177</v>
      </c>
      <c r="H383" s="26"/>
    </row>
    <row r="384">
      <c r="A384" s="16" t="s">
        <v>1182</v>
      </c>
      <c r="B384" s="21" t="s">
        <v>2310</v>
      </c>
      <c r="C384" s="21" t="s">
        <v>1199</v>
      </c>
      <c r="D384" s="21" t="s">
        <v>1614</v>
      </c>
      <c r="E384" s="21" t="s">
        <v>1298</v>
      </c>
      <c r="F384" s="21" t="s">
        <v>1177</v>
      </c>
      <c r="G384" s="21" t="s">
        <v>1177</v>
      </c>
      <c r="H384" s="26"/>
    </row>
    <row r="385">
      <c r="A385" s="16" t="s">
        <v>1186</v>
      </c>
      <c r="B385" s="28" t="s">
        <v>1249</v>
      </c>
      <c r="C385" s="28" t="s">
        <v>1248</v>
      </c>
      <c r="D385" s="28" t="s">
        <v>1249</v>
      </c>
      <c r="E385" s="28" t="s">
        <v>1235</v>
      </c>
      <c r="F385" s="28" t="s">
        <v>1177</v>
      </c>
      <c r="G385" s="28" t="s">
        <v>1177</v>
      </c>
      <c r="H385" s="26"/>
    </row>
    <row r="386">
      <c r="A386" s="20" t="s">
        <v>1188</v>
      </c>
      <c r="B386" s="21" t="s">
        <v>2268</v>
      </c>
      <c r="C386" s="21" t="s">
        <v>1923</v>
      </c>
      <c r="D386" s="21" t="s">
        <v>1251</v>
      </c>
      <c r="E386" s="21" t="s">
        <v>1817</v>
      </c>
      <c r="F386" s="21" t="s">
        <v>1177</v>
      </c>
      <c r="G386" s="21" t="s">
        <v>1177</v>
      </c>
      <c r="H386" s="26"/>
    </row>
    <row r="387">
      <c r="A387" s="29"/>
      <c r="B387" s="21" t="s">
        <v>1415</v>
      </c>
      <c r="C387" s="21" t="s">
        <v>1678</v>
      </c>
      <c r="D387" s="21" t="s">
        <v>1834</v>
      </c>
      <c r="E387" s="21" t="s">
        <v>1594</v>
      </c>
      <c r="F387" s="21" t="s">
        <v>1177</v>
      </c>
      <c r="G387" s="21" t="s">
        <v>1177</v>
      </c>
      <c r="H387" s="26"/>
    </row>
    <row r="388">
      <c r="A388" s="29"/>
      <c r="B388" s="21" t="s">
        <v>1677</v>
      </c>
      <c r="C388" s="21" t="s">
        <v>1804</v>
      </c>
      <c r="D388" s="21" t="s">
        <v>1468</v>
      </c>
      <c r="E388" s="21" t="s">
        <v>1330</v>
      </c>
      <c r="F388" s="21" t="s">
        <v>1177</v>
      </c>
      <c r="G388" s="21" t="s">
        <v>1177</v>
      </c>
      <c r="H388" s="26"/>
    </row>
    <row r="389">
      <c r="A389" s="24"/>
      <c r="B389" s="21" t="s">
        <v>1377</v>
      </c>
      <c r="C389" s="21" t="s">
        <v>2095</v>
      </c>
      <c r="D389" s="21" t="s">
        <v>1759</v>
      </c>
      <c r="E389" s="21" t="s">
        <v>1915</v>
      </c>
      <c r="F389" s="21" t="s">
        <v>1177</v>
      </c>
      <c r="G389" s="21" t="s">
        <v>1177</v>
      </c>
      <c r="H389" s="30"/>
      <c r="I389" s="14"/>
    </row>
    <row r="390">
      <c r="A390" s="16" t="s">
        <v>1174</v>
      </c>
      <c r="B390" s="17" t="s">
        <v>2415</v>
      </c>
      <c r="C390" s="18"/>
      <c r="D390" s="18"/>
      <c r="E390" s="18"/>
      <c r="F390" s="18"/>
      <c r="G390" s="18"/>
      <c r="H390" s="18"/>
      <c r="I390" s="19"/>
    </row>
    <row r="391" ht="60.0" customHeight="1">
      <c r="A391" s="20" t="s">
        <v>1176</v>
      </c>
      <c r="B391" s="21" t="str">
        <f t="array" ref="B391">iferror(VLOOKUP(INDIRECT(ADDRESS(ROW()+1,COLUMN(), 4)),Dex!$A$2:$C954,3,false),"")</f>
        <v/>
      </c>
      <c r="C391" s="21" t="str">
        <f t="array" ref="C391">iferror(VLOOKUP(INDIRECT(ADDRESS(ROW()+1,COLUMN(), 4)),Dex!$A$2:$C954,3,false),"")</f>
        <v/>
      </c>
      <c r="D391" s="21" t="str">
        <f t="array" ref="D391">iferror(VLOOKUP(INDIRECT(ADDRESS(ROW()+1,COLUMN(), 4)),Dex!$A$2:$C954,3,false),"")</f>
        <v/>
      </c>
      <c r="E391" s="21" t="str">
        <f t="array" ref="E391">iferror(VLOOKUP(INDIRECT(ADDRESS(ROW()+1,COLUMN(), 4)),Dex!$A$2:$C954,3,false),"")</f>
        <v/>
      </c>
      <c r="F391" s="21" t="s">
        <v>1177</v>
      </c>
      <c r="G391" s="21" t="s">
        <v>1177</v>
      </c>
      <c r="H391" s="22" t="str">
        <f t="array" ref="H391">iferror(VLOOKUP("TRAINER_PIC_AQUA_GRUNT_M",Sprites!$A$1:$B954,2,false),"")</f>
        <v/>
      </c>
      <c r="I391" s="23"/>
    </row>
    <row r="392">
      <c r="A392" s="24"/>
      <c r="B392" s="25" t="s">
        <v>141</v>
      </c>
      <c r="C392" s="25" t="s">
        <v>309</v>
      </c>
      <c r="D392" s="25" t="s">
        <v>553</v>
      </c>
      <c r="E392" s="25" t="s">
        <v>474</v>
      </c>
      <c r="F392" s="25" t="s">
        <v>1177</v>
      </c>
      <c r="G392" s="25" t="s">
        <v>1177</v>
      </c>
      <c r="H392" s="26"/>
    </row>
    <row r="393">
      <c r="A393" s="16" t="s">
        <v>1178</v>
      </c>
      <c r="B393" s="27" t="s">
        <v>2398</v>
      </c>
      <c r="C393" s="27" t="s">
        <v>2410</v>
      </c>
      <c r="D393" s="27" t="s">
        <v>2410</v>
      </c>
      <c r="E393" s="27" t="s">
        <v>2358</v>
      </c>
      <c r="F393" s="21" t="s">
        <v>1177</v>
      </c>
      <c r="G393" s="21" t="s">
        <v>1177</v>
      </c>
      <c r="H393" s="26"/>
    </row>
    <row r="394">
      <c r="A394" s="16" t="s">
        <v>1181</v>
      </c>
      <c r="B394" s="28" t="s">
        <v>2300</v>
      </c>
      <c r="C394" s="28" t="s">
        <v>1962</v>
      </c>
      <c r="D394" s="28" t="s">
        <v>1209</v>
      </c>
      <c r="E394" s="28" t="s">
        <v>1582</v>
      </c>
      <c r="F394" s="28" t="s">
        <v>1177</v>
      </c>
      <c r="G394" s="28" t="s">
        <v>1177</v>
      </c>
      <c r="H394" s="26"/>
    </row>
    <row r="395">
      <c r="A395" s="16" t="s">
        <v>1182</v>
      </c>
      <c r="B395" s="21" t="s">
        <v>1368</v>
      </c>
      <c r="C395" s="21" t="s">
        <v>1573</v>
      </c>
      <c r="D395" s="21" t="s">
        <v>2103</v>
      </c>
      <c r="E395" s="21" t="s">
        <v>1692</v>
      </c>
      <c r="F395" s="21" t="s">
        <v>1177</v>
      </c>
      <c r="G395" s="21" t="s">
        <v>1177</v>
      </c>
      <c r="H395" s="26"/>
    </row>
    <row r="396">
      <c r="A396" s="16" t="s">
        <v>1186</v>
      </c>
      <c r="B396" s="28" t="s">
        <v>1465</v>
      </c>
      <c r="C396" s="28" t="s">
        <v>1284</v>
      </c>
      <c r="D396" s="28" t="s">
        <v>1465</v>
      </c>
      <c r="E396" s="28" t="s">
        <v>1235</v>
      </c>
      <c r="F396" s="28" t="s">
        <v>1177</v>
      </c>
      <c r="G396" s="28" t="s">
        <v>1177</v>
      </c>
      <c r="H396" s="26"/>
    </row>
    <row r="397">
      <c r="A397" s="20" t="s">
        <v>1188</v>
      </c>
      <c r="B397" s="21" t="s">
        <v>2198</v>
      </c>
      <c r="C397" s="21" t="s">
        <v>2287</v>
      </c>
      <c r="D397" s="21" t="s">
        <v>1373</v>
      </c>
      <c r="E397" s="21" t="s">
        <v>1974</v>
      </c>
      <c r="F397" s="21" t="s">
        <v>1177</v>
      </c>
      <c r="G397" s="21" t="s">
        <v>1177</v>
      </c>
      <c r="H397" s="26"/>
    </row>
    <row r="398">
      <c r="A398" s="29"/>
      <c r="B398" s="21" t="s">
        <v>1742</v>
      </c>
      <c r="C398" s="21" t="s">
        <v>1987</v>
      </c>
      <c r="D398" s="21" t="s">
        <v>1890</v>
      </c>
      <c r="E398" s="21" t="s">
        <v>1817</v>
      </c>
      <c r="F398" s="21" t="s">
        <v>1177</v>
      </c>
      <c r="G398" s="21" t="s">
        <v>1177</v>
      </c>
      <c r="H398" s="26"/>
    </row>
    <row r="399">
      <c r="A399" s="29"/>
      <c r="B399" s="21" t="s">
        <v>1830</v>
      </c>
      <c r="C399" s="21" t="s">
        <v>2198</v>
      </c>
      <c r="D399" s="21" t="s">
        <v>1830</v>
      </c>
      <c r="E399" s="21" t="s">
        <v>1598</v>
      </c>
      <c r="F399" s="21" t="s">
        <v>1177</v>
      </c>
      <c r="G399" s="21" t="s">
        <v>1177</v>
      </c>
      <c r="H399" s="26"/>
    </row>
    <row r="400">
      <c r="A400" s="24"/>
      <c r="B400" s="21" t="s">
        <v>1605</v>
      </c>
      <c r="C400" s="21" t="s">
        <v>1371</v>
      </c>
      <c r="D400" s="21" t="s">
        <v>1771</v>
      </c>
      <c r="E400" s="21" t="s">
        <v>1677</v>
      </c>
      <c r="F400" s="21" t="s">
        <v>1177</v>
      </c>
      <c r="G400" s="21" t="s">
        <v>1177</v>
      </c>
      <c r="H400" s="30"/>
      <c r="I400" s="14"/>
    </row>
    <row r="401">
      <c r="A401" s="16" t="s">
        <v>1174</v>
      </c>
      <c r="B401" s="17" t="s">
        <v>2416</v>
      </c>
      <c r="C401" s="18"/>
      <c r="D401" s="18"/>
      <c r="E401" s="18"/>
      <c r="F401" s="18"/>
      <c r="G401" s="18"/>
      <c r="H401" s="18"/>
      <c r="I401" s="16"/>
    </row>
    <row r="402" ht="60.0" customHeight="1">
      <c r="A402" s="20" t="s">
        <v>1176</v>
      </c>
      <c r="B402" s="21" t="str">
        <f t="array" ref="B402">iferror(VLOOKUP(INDIRECT(ADDRESS(ROW()+1,COLUMN(), 4)),Dex!$A$2:$C954,3,false),"")</f>
        <v/>
      </c>
      <c r="C402" s="21" t="str">
        <f t="array" ref="C402">iferror(VLOOKUP(INDIRECT(ADDRESS(ROW()+1,COLUMN(), 4)),Dex!$A$2:$C954,3,false),"")</f>
        <v/>
      </c>
      <c r="D402" s="21" t="str">
        <f t="array" ref="D402">iferror(VLOOKUP(INDIRECT(ADDRESS(ROW()+1,COLUMN(), 4)),Dex!$A$2:$C954,3,false),"")</f>
        <v/>
      </c>
      <c r="E402" s="21" t="str">
        <f t="array" ref="E402">iferror(VLOOKUP(INDIRECT(ADDRESS(ROW()+1,COLUMN(), 4)),Dex!$A$2:$C954,3,false),"")</f>
        <v/>
      </c>
      <c r="F402" s="21" t="s">
        <v>1177</v>
      </c>
      <c r="G402" s="21" t="s">
        <v>1177</v>
      </c>
      <c r="H402" s="22" t="str">
        <f t="array" ref="H402">iferror(VLOOKUP("TRAINER_PIC_AQUA_GRUNT_M",Sprites!$A$1:$B954,2,false),"")</f>
        <v/>
      </c>
      <c r="I402" s="23"/>
    </row>
    <row r="403">
      <c r="A403" s="24"/>
      <c r="B403" s="25" t="s">
        <v>1048</v>
      </c>
      <c r="C403" s="25" t="s">
        <v>520</v>
      </c>
      <c r="D403" s="25" t="s">
        <v>138</v>
      </c>
      <c r="E403" s="25" t="s">
        <v>573</v>
      </c>
      <c r="F403" s="25" t="s">
        <v>1177</v>
      </c>
      <c r="G403" s="25" t="s">
        <v>1177</v>
      </c>
      <c r="H403" s="26"/>
    </row>
    <row r="404">
      <c r="A404" s="16" t="s">
        <v>1178</v>
      </c>
      <c r="B404" s="27" t="s">
        <v>2410</v>
      </c>
      <c r="C404" s="27" t="s">
        <v>2410</v>
      </c>
      <c r="D404" s="27" t="s">
        <v>2398</v>
      </c>
      <c r="E404" s="27" t="s">
        <v>2398</v>
      </c>
      <c r="F404" s="21" t="s">
        <v>1177</v>
      </c>
      <c r="G404" s="21" t="s">
        <v>1177</v>
      </c>
      <c r="H404" s="26"/>
    </row>
    <row r="405">
      <c r="A405" s="16" t="s">
        <v>1181</v>
      </c>
      <c r="B405" s="28" t="s">
        <v>1898</v>
      </c>
      <c r="C405" s="28" t="s">
        <v>1417</v>
      </c>
      <c r="D405" s="28" t="s">
        <v>2002</v>
      </c>
      <c r="E405" s="28" t="s">
        <v>1571</v>
      </c>
      <c r="F405" s="28" t="s">
        <v>1177</v>
      </c>
      <c r="G405" s="28" t="s">
        <v>1177</v>
      </c>
      <c r="H405" s="26"/>
    </row>
    <row r="406">
      <c r="A406" s="16" t="s">
        <v>1182</v>
      </c>
      <c r="B406" s="21" t="s">
        <v>1573</v>
      </c>
      <c r="C406" s="21" t="s">
        <v>1419</v>
      </c>
      <c r="D406" s="21" t="s">
        <v>1774</v>
      </c>
      <c r="E406" s="21" t="s">
        <v>1573</v>
      </c>
      <c r="F406" s="21" t="s">
        <v>1177</v>
      </c>
      <c r="G406" s="21" t="s">
        <v>1177</v>
      </c>
      <c r="H406" s="26"/>
    </row>
    <row r="407">
      <c r="A407" s="16" t="s">
        <v>1186</v>
      </c>
      <c r="B407" s="28" t="s">
        <v>1256</v>
      </c>
      <c r="C407" s="28" t="s">
        <v>1248</v>
      </c>
      <c r="D407" s="28" t="s">
        <v>1248</v>
      </c>
      <c r="E407" s="28" t="s">
        <v>1248</v>
      </c>
      <c r="F407" s="28" t="s">
        <v>1177</v>
      </c>
      <c r="G407" s="28" t="s">
        <v>1177</v>
      </c>
      <c r="H407" s="26"/>
    </row>
    <row r="408">
      <c r="A408" s="20" t="s">
        <v>1188</v>
      </c>
      <c r="B408" s="21" t="s">
        <v>1986</v>
      </c>
      <c r="C408" s="21" t="s">
        <v>1609</v>
      </c>
      <c r="D408" s="21" t="s">
        <v>1760</v>
      </c>
      <c r="E408" s="21" t="s">
        <v>1574</v>
      </c>
      <c r="F408" s="21" t="s">
        <v>1177</v>
      </c>
      <c r="G408" s="21" t="s">
        <v>1177</v>
      </c>
      <c r="H408" s="26"/>
    </row>
    <row r="409">
      <c r="A409" s="29"/>
      <c r="B409" s="21" t="s">
        <v>1619</v>
      </c>
      <c r="C409" s="21" t="s">
        <v>1472</v>
      </c>
      <c r="D409" s="21" t="s">
        <v>1920</v>
      </c>
      <c r="E409" s="21" t="s">
        <v>1577</v>
      </c>
      <c r="F409" s="21" t="s">
        <v>1177</v>
      </c>
      <c r="G409" s="21" t="s">
        <v>1177</v>
      </c>
      <c r="H409" s="26"/>
    </row>
    <row r="410">
      <c r="A410" s="29"/>
      <c r="B410" s="21" t="s">
        <v>1879</v>
      </c>
      <c r="C410" s="21" t="s">
        <v>1594</v>
      </c>
      <c r="D410" s="21" t="s">
        <v>1303</v>
      </c>
      <c r="E410" s="21" t="s">
        <v>1817</v>
      </c>
      <c r="F410" s="21" t="s">
        <v>1177</v>
      </c>
      <c r="G410" s="21" t="s">
        <v>1177</v>
      </c>
      <c r="H410" s="26"/>
    </row>
    <row r="411">
      <c r="A411" s="24"/>
      <c r="B411" s="21" t="s">
        <v>1880</v>
      </c>
      <c r="C411" s="21" t="s">
        <v>1432</v>
      </c>
      <c r="D411" s="21" t="s">
        <v>2019</v>
      </c>
      <c r="E411" s="21" t="s">
        <v>1641</v>
      </c>
      <c r="F411" s="21" t="s">
        <v>1177</v>
      </c>
      <c r="G411" s="21" t="s">
        <v>1177</v>
      </c>
      <c r="H411" s="30"/>
      <c r="I411" s="14"/>
    </row>
    <row r="412">
      <c r="A412" s="16" t="s">
        <v>1174</v>
      </c>
      <c r="B412" s="17" t="s">
        <v>2417</v>
      </c>
      <c r="C412" s="18"/>
      <c r="D412" s="18"/>
      <c r="E412" s="18"/>
      <c r="F412" s="18"/>
      <c r="G412" s="18"/>
      <c r="H412" s="18"/>
      <c r="I412" s="16"/>
    </row>
    <row r="413" ht="60.0" customHeight="1">
      <c r="A413" s="20" t="s">
        <v>1176</v>
      </c>
      <c r="B413" s="21" t="str">
        <f t="array" ref="B413">iferror(VLOOKUP(INDIRECT(ADDRESS(ROW()+1,COLUMN(), 4)),Dex!$A$2:$C954,3,false),"")</f>
        <v/>
      </c>
      <c r="C413" s="21" t="str">
        <f t="array" ref="C413">iferror(VLOOKUP(INDIRECT(ADDRESS(ROW()+1,COLUMN(), 4)),Dex!$A$2:$C954,3,false),"")</f>
        <v/>
      </c>
      <c r="D413" s="21" t="s">
        <v>1177</v>
      </c>
      <c r="E413" s="21" t="str">
        <f t="array" ref="E413">iferror(VLOOKUP(INDIRECT(ADDRESS(ROW()+1,COLUMN(), 4)),Dex!$A$2:$C954,3,false),"")</f>
        <v/>
      </c>
      <c r="F413" s="21" t="str">
        <f t="array" ref="F413">iferror(VLOOKUP(INDIRECT(ADDRESS(ROW()+1,COLUMN(), 4)),Dex!$A$2:$C954,3,false),"")</f>
        <v/>
      </c>
      <c r="G413" s="21" t="s">
        <v>1177</v>
      </c>
      <c r="H413" s="22" t="str">
        <f t="array" ref="H413">iferror(VLOOKUP("TRAINER_PIC_AQUA_GRUNT_F",Sprites!$A$1:$B954,2,false),"")</f>
        <v/>
      </c>
      <c r="I413" s="23"/>
    </row>
    <row r="414">
      <c r="A414" s="24"/>
      <c r="B414" s="25" t="s">
        <v>575</v>
      </c>
      <c r="C414" s="25" t="s">
        <v>43</v>
      </c>
      <c r="D414" s="25" t="s">
        <v>1177</v>
      </c>
      <c r="E414" s="25" t="s">
        <v>1130</v>
      </c>
      <c r="F414" s="25" t="s">
        <v>703</v>
      </c>
      <c r="G414" s="25" t="s">
        <v>1177</v>
      </c>
      <c r="H414" s="26"/>
    </row>
    <row r="415">
      <c r="A415" s="16" t="s">
        <v>1178</v>
      </c>
      <c r="B415" s="27" t="s">
        <v>2410</v>
      </c>
      <c r="C415" s="27" t="s">
        <v>2410</v>
      </c>
      <c r="D415" s="21" t="s">
        <v>1177</v>
      </c>
      <c r="E415" s="27" t="s">
        <v>2367</v>
      </c>
      <c r="F415" s="27" t="s">
        <v>2358</v>
      </c>
      <c r="G415" s="21" t="s">
        <v>1177</v>
      </c>
      <c r="H415" s="26"/>
    </row>
    <row r="416">
      <c r="A416" s="16" t="s">
        <v>1181</v>
      </c>
      <c r="B416" s="28" t="s">
        <v>2300</v>
      </c>
      <c r="C416" s="28" t="s">
        <v>2300</v>
      </c>
      <c r="D416" s="28" t="s">
        <v>1177</v>
      </c>
      <c r="E416" s="28" t="s">
        <v>1209</v>
      </c>
      <c r="F416" s="28" t="s">
        <v>1246</v>
      </c>
      <c r="G416" s="28" t="s">
        <v>1177</v>
      </c>
      <c r="H416" s="26"/>
    </row>
    <row r="417">
      <c r="A417" s="16" t="s">
        <v>1182</v>
      </c>
      <c r="B417" s="21" t="s">
        <v>1267</v>
      </c>
      <c r="C417" s="21" t="s">
        <v>1669</v>
      </c>
      <c r="D417" s="21" t="s">
        <v>1177</v>
      </c>
      <c r="E417" s="21" t="s">
        <v>1681</v>
      </c>
      <c r="F417" s="21" t="s">
        <v>2082</v>
      </c>
      <c r="G417" s="21" t="s">
        <v>1177</v>
      </c>
      <c r="H417" s="26"/>
    </row>
    <row r="418">
      <c r="A418" s="16" t="s">
        <v>1186</v>
      </c>
      <c r="B418" s="28" t="s">
        <v>1256</v>
      </c>
      <c r="C418" s="28" t="s">
        <v>1256</v>
      </c>
      <c r="D418" s="28" t="s">
        <v>1177</v>
      </c>
      <c r="E418" s="28" t="s">
        <v>1248</v>
      </c>
      <c r="F418" s="28" t="s">
        <v>1248</v>
      </c>
      <c r="G418" s="28" t="s">
        <v>1177</v>
      </c>
      <c r="H418" s="26"/>
    </row>
    <row r="419">
      <c r="A419" s="20" t="s">
        <v>1188</v>
      </c>
      <c r="B419" s="21" t="s">
        <v>1373</v>
      </c>
      <c r="C419" s="21" t="s">
        <v>1724</v>
      </c>
      <c r="D419" s="21" t="s">
        <v>1177</v>
      </c>
      <c r="E419" s="21" t="s">
        <v>2039</v>
      </c>
      <c r="F419" s="21" t="s">
        <v>1760</v>
      </c>
      <c r="G419" s="21" t="s">
        <v>1177</v>
      </c>
      <c r="H419" s="26"/>
    </row>
    <row r="420">
      <c r="A420" s="29"/>
      <c r="B420" s="21" t="s">
        <v>1739</v>
      </c>
      <c r="C420" s="21" t="s">
        <v>1652</v>
      </c>
      <c r="D420" s="21" t="s">
        <v>1177</v>
      </c>
      <c r="E420" s="21" t="s">
        <v>2418</v>
      </c>
      <c r="F420" s="21" t="s">
        <v>1177</v>
      </c>
      <c r="G420" s="21" t="s">
        <v>1177</v>
      </c>
      <c r="H420" s="26"/>
    </row>
    <row r="421">
      <c r="A421" s="29"/>
      <c r="B421" s="21" t="s">
        <v>1225</v>
      </c>
      <c r="C421" s="21" t="s">
        <v>1225</v>
      </c>
      <c r="D421" s="21" t="s">
        <v>1177</v>
      </c>
      <c r="E421" s="21" t="s">
        <v>1741</v>
      </c>
      <c r="F421" s="21" t="s">
        <v>1177</v>
      </c>
      <c r="G421" s="21" t="s">
        <v>1177</v>
      </c>
      <c r="H421" s="26"/>
    </row>
    <row r="422">
      <c r="A422" s="24"/>
      <c r="B422" s="21" t="s">
        <v>1361</v>
      </c>
      <c r="C422" s="21" t="s">
        <v>1361</v>
      </c>
      <c r="D422" s="21" t="s">
        <v>1177</v>
      </c>
      <c r="E422" s="21" t="s">
        <v>1594</v>
      </c>
      <c r="F422" s="21" t="s">
        <v>1177</v>
      </c>
      <c r="G422" s="21" t="s">
        <v>1177</v>
      </c>
      <c r="H422" s="30"/>
      <c r="I422" s="14"/>
    </row>
    <row r="423">
      <c r="A423" s="16" t="s">
        <v>1174</v>
      </c>
      <c r="B423" s="17" t="s">
        <v>2419</v>
      </c>
      <c r="C423" s="18"/>
      <c r="D423" s="18"/>
      <c r="E423" s="18"/>
      <c r="F423" s="18"/>
      <c r="G423" s="18"/>
      <c r="H423" s="18"/>
      <c r="I423" s="16"/>
    </row>
    <row r="424" ht="60.0" customHeight="1">
      <c r="A424" s="20" t="s">
        <v>1176</v>
      </c>
      <c r="B424" s="21" t="str">
        <f t="array" ref="B424">iferror(VLOOKUP(INDIRECT(ADDRESS(ROW()+1,COLUMN(), 4)),Dex!$A$2:$C954,3,false),"")</f>
        <v/>
      </c>
      <c r="C424" s="21" t="str">
        <f t="array" ref="C424">iferror(VLOOKUP(INDIRECT(ADDRESS(ROW()+1,COLUMN(), 4)),Dex!$A$2:$C954,3,false),"")</f>
        <v/>
      </c>
      <c r="D424" s="21" t="str">
        <f t="array" ref="D424">iferror(VLOOKUP(INDIRECT(ADDRESS(ROW()+1,COLUMN(), 4)),Dex!$A$2:$C954,3,false),"")</f>
        <v/>
      </c>
      <c r="E424" s="21" t="str">
        <f t="array" ref="E424">iferror(VLOOKUP(INDIRECT(ADDRESS(ROW()+1,COLUMN(), 4)),Dex!$A$2:$C954,3,false),"")</f>
        <v/>
      </c>
      <c r="F424" s="21" t="str">
        <f t="array" ref="F424">iferror(VLOOKUP(INDIRECT(ADDRESS(ROW()+1,COLUMN(), 4)),Dex!$A$2:$C954,3,false),"")</f>
        <v/>
      </c>
      <c r="G424" s="21" t="str">
        <f t="array" ref="G424">iferror(VLOOKUP(INDIRECT(ADDRESS(ROW()+1,COLUMN(), 4)),Dex!$A$2:$C954,3,false),"")</f>
        <v/>
      </c>
      <c r="H424" s="22" t="str">
        <f t="array" ref="H424">iferror(VLOOKUP("TRAINER_PIC_AQUA_LEADER_ARCHIE",Sprites!$A$1:$B954,2,false),"")</f>
        <v/>
      </c>
      <c r="I424" s="23"/>
    </row>
    <row r="425">
      <c r="A425" s="24"/>
      <c r="B425" s="25" t="s">
        <v>1151</v>
      </c>
      <c r="C425" s="25" t="s">
        <v>796</v>
      </c>
      <c r="D425" s="25" t="s">
        <v>604</v>
      </c>
      <c r="E425" s="25" t="s">
        <v>865</v>
      </c>
      <c r="F425" s="25" t="s">
        <v>1032</v>
      </c>
      <c r="G425" s="25" t="s">
        <v>419</v>
      </c>
      <c r="H425" s="26"/>
    </row>
    <row r="426">
      <c r="A426" s="16" t="s">
        <v>1178</v>
      </c>
      <c r="B426" s="27" t="s">
        <v>2420</v>
      </c>
      <c r="C426" s="27" t="s">
        <v>2420</v>
      </c>
      <c r="D426" s="27" t="s">
        <v>2410</v>
      </c>
      <c r="E426" s="27" t="s">
        <v>2410</v>
      </c>
      <c r="F426" s="27" t="s">
        <v>2420</v>
      </c>
      <c r="G426" s="27" t="s">
        <v>2421</v>
      </c>
      <c r="H426" s="26"/>
    </row>
    <row r="427">
      <c r="A427" s="16" t="s">
        <v>1181</v>
      </c>
      <c r="B427" s="28" t="s">
        <v>1209</v>
      </c>
      <c r="C427" s="28" t="s">
        <v>2276</v>
      </c>
      <c r="D427" s="28" t="s">
        <v>1295</v>
      </c>
      <c r="E427" s="28" t="s">
        <v>1346</v>
      </c>
      <c r="F427" s="28" t="s">
        <v>1838</v>
      </c>
      <c r="G427" s="28" t="s">
        <v>2422</v>
      </c>
      <c r="H427" s="26"/>
    </row>
    <row r="428">
      <c r="A428" s="16" t="s">
        <v>1182</v>
      </c>
      <c r="B428" s="21" t="s">
        <v>2423</v>
      </c>
      <c r="C428" s="21" t="s">
        <v>1368</v>
      </c>
      <c r="D428" s="21" t="s">
        <v>1368</v>
      </c>
      <c r="E428" s="21" t="s">
        <v>2082</v>
      </c>
      <c r="F428" s="21" t="s">
        <v>2309</v>
      </c>
      <c r="G428" s="21" t="s">
        <v>1681</v>
      </c>
      <c r="H428" s="26"/>
    </row>
    <row r="429">
      <c r="A429" s="16" t="s">
        <v>1186</v>
      </c>
      <c r="B429" s="28" t="s">
        <v>1248</v>
      </c>
      <c r="C429" s="28" t="s">
        <v>1256</v>
      </c>
      <c r="D429" s="28" t="s">
        <v>1256</v>
      </c>
      <c r="E429" s="28" t="s">
        <v>1284</v>
      </c>
      <c r="F429" s="28" t="s">
        <v>1406</v>
      </c>
      <c r="G429" s="28" t="s">
        <v>1248</v>
      </c>
      <c r="H429" s="26"/>
    </row>
    <row r="430">
      <c r="A430" s="20" t="s">
        <v>1188</v>
      </c>
      <c r="B430" s="21" t="s">
        <v>1874</v>
      </c>
      <c r="C430" s="21" t="s">
        <v>1828</v>
      </c>
      <c r="D430" s="21" t="s">
        <v>2054</v>
      </c>
      <c r="E430" s="21" t="s">
        <v>1828</v>
      </c>
      <c r="F430" s="21" t="s">
        <v>1758</v>
      </c>
      <c r="G430" s="21" t="s">
        <v>1834</v>
      </c>
      <c r="H430" s="26"/>
    </row>
    <row r="431">
      <c r="A431" s="29"/>
      <c r="B431" s="21" t="s">
        <v>2424</v>
      </c>
      <c r="C431" s="21" t="s">
        <v>1890</v>
      </c>
      <c r="D431" s="21" t="s">
        <v>1724</v>
      </c>
      <c r="E431" s="21" t="s">
        <v>1373</v>
      </c>
      <c r="F431" s="21" t="s">
        <v>1678</v>
      </c>
      <c r="G431" s="21" t="s">
        <v>1594</v>
      </c>
      <c r="H431" s="26"/>
    </row>
    <row r="432">
      <c r="A432" s="29"/>
      <c r="B432" s="21" t="s">
        <v>1749</v>
      </c>
      <c r="C432" s="21" t="s">
        <v>1739</v>
      </c>
      <c r="D432" s="21" t="s">
        <v>1879</v>
      </c>
      <c r="E432" s="21" t="s">
        <v>1878</v>
      </c>
      <c r="F432" s="21" t="s">
        <v>1779</v>
      </c>
      <c r="G432" s="21" t="s">
        <v>1874</v>
      </c>
      <c r="H432" s="26"/>
    </row>
    <row r="433">
      <c r="A433" s="24"/>
      <c r="B433" s="21" t="s">
        <v>1243</v>
      </c>
      <c r="C433" s="21" t="s">
        <v>1377</v>
      </c>
      <c r="D433" s="21" t="s">
        <v>1880</v>
      </c>
      <c r="E433" s="21" t="s">
        <v>1389</v>
      </c>
      <c r="F433" s="21" t="s">
        <v>1804</v>
      </c>
      <c r="G433" s="21" t="s">
        <v>1330</v>
      </c>
      <c r="H433" s="30"/>
      <c r="I433" s="14"/>
    </row>
    <row r="434">
      <c r="A434" s="16" t="s">
        <v>1174</v>
      </c>
      <c r="B434" s="17" t="s">
        <v>2425</v>
      </c>
      <c r="C434" s="18"/>
      <c r="D434" s="18"/>
      <c r="E434" s="18"/>
      <c r="F434" s="18"/>
      <c r="G434" s="18"/>
      <c r="H434" s="18"/>
      <c r="I434" s="16"/>
    </row>
    <row r="435" ht="60.0" customHeight="1">
      <c r="A435" s="20" t="s">
        <v>1176</v>
      </c>
      <c r="B435" s="21" t="str">
        <f t="array" ref="B435">iferror(VLOOKUP(INDIRECT(ADDRESS(ROW()+1,COLUMN(), 4)),Dex!$A$2:$C954,3,false),"")</f>
        <v/>
      </c>
      <c r="C435" s="21" t="str">
        <f t="array" ref="C435">iferror(VLOOKUP(INDIRECT(ADDRESS(ROW()+1,COLUMN(), 4)),Dex!$A$2:$C954,3,false),"")</f>
        <v/>
      </c>
      <c r="D435" s="21" t="str">
        <f t="array" ref="D435">iferror(VLOOKUP(INDIRECT(ADDRESS(ROW()+1,COLUMN(), 4)),Dex!$A$2:$C954,3,false),"")</f>
        <v/>
      </c>
      <c r="E435" s="21" t="s">
        <v>1177</v>
      </c>
      <c r="F435" s="21" t="s">
        <v>1177</v>
      </c>
      <c r="G435" s="21" t="s">
        <v>1177</v>
      </c>
      <c r="H435" s="22" t="str">
        <f t="array" ref="H435">iferror(VLOOKUP("TRAINER_PIC_LEAF",Sprites!$A$1:$B954,2,false),"")</f>
        <v/>
      </c>
      <c r="I435" s="23"/>
    </row>
    <row r="436">
      <c r="A436" s="24"/>
      <c r="B436" s="25" t="s">
        <v>395</v>
      </c>
      <c r="C436" s="25" t="s">
        <v>586</v>
      </c>
      <c r="D436" s="25" t="s">
        <v>7</v>
      </c>
      <c r="E436" s="25" t="s">
        <v>1177</v>
      </c>
      <c r="F436" s="25" t="s">
        <v>1177</v>
      </c>
      <c r="G436" s="25" t="s">
        <v>1177</v>
      </c>
      <c r="H436" s="26"/>
    </row>
    <row r="437">
      <c r="A437" s="16" t="s">
        <v>1178</v>
      </c>
      <c r="B437" s="27" t="s">
        <v>2410</v>
      </c>
      <c r="C437" s="27" t="s">
        <v>2420</v>
      </c>
      <c r="D437" s="27" t="s">
        <v>2421</v>
      </c>
      <c r="E437" s="21" t="s">
        <v>1177</v>
      </c>
      <c r="F437" s="21" t="s">
        <v>1177</v>
      </c>
      <c r="G437" s="21" t="s">
        <v>1177</v>
      </c>
      <c r="H437" s="26"/>
    </row>
    <row r="438">
      <c r="A438" s="16" t="s">
        <v>1181</v>
      </c>
      <c r="B438" s="28" t="s">
        <v>1345</v>
      </c>
      <c r="C438" s="28" t="s">
        <v>1457</v>
      </c>
      <c r="D438" s="28" t="s">
        <v>2426</v>
      </c>
      <c r="E438" s="28" t="s">
        <v>1177</v>
      </c>
      <c r="F438" s="28" t="s">
        <v>1177</v>
      </c>
      <c r="G438" s="28" t="s">
        <v>1177</v>
      </c>
      <c r="H438" s="26"/>
    </row>
    <row r="439">
      <c r="A439" s="16" t="s">
        <v>1182</v>
      </c>
      <c r="B439" s="21" t="s">
        <v>1800</v>
      </c>
      <c r="C439" s="21" t="s">
        <v>1382</v>
      </c>
      <c r="D439" s="21" t="s">
        <v>1748</v>
      </c>
      <c r="E439" s="21" t="s">
        <v>1177</v>
      </c>
      <c r="F439" s="21" t="s">
        <v>1177</v>
      </c>
      <c r="G439" s="21" t="s">
        <v>1177</v>
      </c>
      <c r="H439" s="26"/>
    </row>
    <row r="440">
      <c r="A440" s="16" t="s">
        <v>1186</v>
      </c>
      <c r="B440" s="28" t="s">
        <v>1235</v>
      </c>
      <c r="C440" s="28" t="s">
        <v>1406</v>
      </c>
      <c r="D440" s="28" t="s">
        <v>1234</v>
      </c>
      <c r="E440" s="28" t="s">
        <v>1177</v>
      </c>
      <c r="F440" s="28" t="s">
        <v>1177</v>
      </c>
      <c r="G440" s="28" t="s">
        <v>1177</v>
      </c>
      <c r="H440" s="26"/>
    </row>
    <row r="441">
      <c r="A441" s="20" t="s">
        <v>1188</v>
      </c>
      <c r="B441" s="21" t="s">
        <v>1803</v>
      </c>
      <c r="C441" s="21" t="s">
        <v>1678</v>
      </c>
      <c r="D441" s="21" t="s">
        <v>1373</v>
      </c>
      <c r="E441" s="21" t="s">
        <v>1177</v>
      </c>
      <c r="F441" s="21" t="s">
        <v>1177</v>
      </c>
      <c r="G441" s="21" t="s">
        <v>1177</v>
      </c>
      <c r="H441" s="26"/>
    </row>
    <row r="442">
      <c r="A442" s="29"/>
      <c r="B442" s="21" t="s">
        <v>1225</v>
      </c>
      <c r="C442" s="21" t="s">
        <v>1779</v>
      </c>
      <c r="D442" s="21" t="s">
        <v>1285</v>
      </c>
      <c r="E442" s="21" t="s">
        <v>1177</v>
      </c>
      <c r="F442" s="21" t="s">
        <v>1177</v>
      </c>
      <c r="G442" s="21" t="s">
        <v>1177</v>
      </c>
      <c r="H442" s="26"/>
    </row>
    <row r="443">
      <c r="A443" s="29"/>
      <c r="B443" s="21" t="s">
        <v>1177</v>
      </c>
      <c r="C443" s="21" t="s">
        <v>1923</v>
      </c>
      <c r="D443" s="21" t="s">
        <v>1411</v>
      </c>
      <c r="E443" s="21" t="s">
        <v>1177</v>
      </c>
      <c r="F443" s="21" t="s">
        <v>1177</v>
      </c>
      <c r="G443" s="21" t="s">
        <v>1177</v>
      </c>
      <c r="H443" s="26"/>
    </row>
    <row r="444">
      <c r="A444" s="24"/>
      <c r="B444" s="21" t="s">
        <v>1177</v>
      </c>
      <c r="C444" s="21" t="s">
        <v>1389</v>
      </c>
      <c r="D444" s="21" t="s">
        <v>1622</v>
      </c>
      <c r="E444" s="21" t="s">
        <v>1177</v>
      </c>
      <c r="F444" s="21" t="s">
        <v>1177</v>
      </c>
      <c r="G444" s="21" t="s">
        <v>1177</v>
      </c>
      <c r="H444" s="30"/>
      <c r="I444" s="14"/>
    </row>
    <row r="445">
      <c r="A445" s="37"/>
      <c r="B445" s="38" t="s">
        <v>2427</v>
      </c>
      <c r="C445" s="14"/>
      <c r="D445" s="14"/>
      <c r="E445" s="14"/>
      <c r="F445" s="14"/>
      <c r="G445" s="14"/>
      <c r="H445" s="24"/>
      <c r="I445" s="33"/>
    </row>
    <row r="446">
      <c r="A446" s="16" t="s">
        <v>1174</v>
      </c>
      <c r="B446" s="17" t="s">
        <v>2428</v>
      </c>
      <c r="C446" s="18"/>
      <c r="D446" s="18"/>
      <c r="E446" s="18"/>
      <c r="F446" s="18"/>
      <c r="G446" s="18"/>
      <c r="H446" s="18"/>
      <c r="I446" s="16"/>
    </row>
    <row r="447" ht="60.0" customHeight="1">
      <c r="A447" s="20" t="s">
        <v>1176</v>
      </c>
      <c r="B447" s="21" t="str">
        <f t="array" ref="B447">iferror(VLOOKUP(INDIRECT(ADDRESS(ROW()+1,COLUMN(), 4)),Dex!$A$2:$C954,3,false),"")</f>
        <v/>
      </c>
      <c r="C447" s="21" t="str">
        <f t="array" ref="C447">iferror(VLOOKUP(INDIRECT(ADDRESS(ROW()+1,COLUMN(), 4)),Dex!$A$2:$C954,3,false),"")</f>
        <v/>
      </c>
      <c r="D447" s="21" t="str">
        <f t="array" ref="D447">iferror(VLOOKUP(INDIRECT(ADDRESS(ROW()+1,COLUMN(), 4)),Dex!$A$2:$C954,3,false),"")</f>
        <v/>
      </c>
      <c r="E447" s="21" t="str">
        <f t="array" ref="E447">iferror(VLOOKUP(INDIRECT(ADDRESS(ROW()+1,COLUMN(), 4)),Dex!$A$2:$C954,3,false),"")</f>
        <v/>
      </c>
      <c r="F447" s="21" t="str">
        <f t="array" ref="F447">iferror(VLOOKUP(INDIRECT(ADDRESS(ROW()+1,COLUMN(), 4)),Dex!$A$2:$C954,3,false),"")</f>
        <v/>
      </c>
      <c r="G447" s="21" t="s">
        <v>1177</v>
      </c>
      <c r="H447" s="22" t="str">
        <f t="array" ref="H447">iferror(VLOOKUP("TRAINER_PIC_MAGMA_GRUNT_M",Sprites!$A$1:$B954,2,false),"")</f>
        <v/>
      </c>
      <c r="I447" s="23"/>
    </row>
    <row r="448">
      <c r="A448" s="24"/>
      <c r="B448" s="25" t="s">
        <v>425</v>
      </c>
      <c r="C448" s="25" t="s">
        <v>188</v>
      </c>
      <c r="D448" s="25" t="s">
        <v>10</v>
      </c>
      <c r="E448" s="25" t="s">
        <v>290</v>
      </c>
      <c r="F448" s="25" t="s">
        <v>91</v>
      </c>
      <c r="G448" s="25" t="s">
        <v>1177</v>
      </c>
      <c r="H448" s="26"/>
    </row>
    <row r="449">
      <c r="A449" s="16" t="s">
        <v>1178</v>
      </c>
      <c r="B449" s="27" t="s">
        <v>2398</v>
      </c>
      <c r="C449" s="27" t="s">
        <v>2398</v>
      </c>
      <c r="D449" s="27" t="s">
        <v>2358</v>
      </c>
      <c r="E449" s="27" t="s">
        <v>2398</v>
      </c>
      <c r="F449" s="27" t="s">
        <v>2358</v>
      </c>
      <c r="G449" s="21" t="s">
        <v>1177</v>
      </c>
      <c r="H449" s="26"/>
    </row>
    <row r="450">
      <c r="A450" s="16" t="s">
        <v>1181</v>
      </c>
      <c r="B450" s="28" t="s">
        <v>1796</v>
      </c>
      <c r="C450" s="28" t="s">
        <v>1882</v>
      </c>
      <c r="D450" s="28" t="s">
        <v>1582</v>
      </c>
      <c r="E450" s="28" t="s">
        <v>1838</v>
      </c>
      <c r="F450" s="28" t="s">
        <v>2300</v>
      </c>
      <c r="G450" s="28" t="s">
        <v>1177</v>
      </c>
      <c r="H450" s="26"/>
    </row>
    <row r="451">
      <c r="A451" s="16" t="s">
        <v>1182</v>
      </c>
      <c r="B451" s="21" t="s">
        <v>2065</v>
      </c>
      <c r="C451" s="21" t="s">
        <v>1938</v>
      </c>
      <c r="D451" s="21" t="s">
        <v>1444</v>
      </c>
      <c r="E451" s="21" t="s">
        <v>1298</v>
      </c>
      <c r="F451" s="21" t="s">
        <v>1692</v>
      </c>
      <c r="G451" s="21" t="s">
        <v>1177</v>
      </c>
      <c r="H451" s="26"/>
    </row>
    <row r="452">
      <c r="A452" s="16" t="s">
        <v>1186</v>
      </c>
      <c r="B452" s="28" t="s">
        <v>1447</v>
      </c>
      <c r="C452" s="28" t="s">
        <v>1249</v>
      </c>
      <c r="D452" s="28" t="s">
        <v>1235</v>
      </c>
      <c r="E452" s="28" t="s">
        <v>1406</v>
      </c>
      <c r="F452" s="28" t="s">
        <v>1235</v>
      </c>
      <c r="G452" s="28" t="s">
        <v>1177</v>
      </c>
      <c r="H452" s="26"/>
    </row>
    <row r="453">
      <c r="A453" s="20" t="s">
        <v>1188</v>
      </c>
      <c r="B453" s="21" t="s">
        <v>2104</v>
      </c>
      <c r="C453" s="21" t="s">
        <v>1407</v>
      </c>
      <c r="D453" s="21" t="s">
        <v>1415</v>
      </c>
      <c r="E453" s="21" t="s">
        <v>1372</v>
      </c>
      <c r="F453" s="21" t="s">
        <v>1974</v>
      </c>
      <c r="G453" s="21" t="s">
        <v>1177</v>
      </c>
      <c r="H453" s="26"/>
    </row>
    <row r="454">
      <c r="A454" s="29"/>
      <c r="B454" s="21" t="s">
        <v>1914</v>
      </c>
      <c r="C454" s="21" t="s">
        <v>1662</v>
      </c>
      <c r="D454" s="21" t="s">
        <v>1328</v>
      </c>
      <c r="E454" s="21" t="s">
        <v>1677</v>
      </c>
      <c r="F454" s="21" t="s">
        <v>1737</v>
      </c>
      <c r="G454" s="21" t="s">
        <v>1177</v>
      </c>
      <c r="H454" s="26"/>
    </row>
    <row r="455">
      <c r="A455" s="29"/>
      <c r="B455" s="21" t="s">
        <v>1830</v>
      </c>
      <c r="C455" s="21" t="s">
        <v>1372</v>
      </c>
      <c r="D455" s="21" t="s">
        <v>1677</v>
      </c>
      <c r="E455" s="21" t="s">
        <v>1320</v>
      </c>
      <c r="F455" s="21" t="s">
        <v>1359</v>
      </c>
      <c r="G455" s="21" t="s">
        <v>1177</v>
      </c>
      <c r="H455" s="26"/>
    </row>
    <row r="456">
      <c r="A456" s="24"/>
      <c r="B456" s="21" t="s">
        <v>2019</v>
      </c>
      <c r="C456" s="21" t="s">
        <v>2104</v>
      </c>
      <c r="D456" s="21" t="s">
        <v>1306</v>
      </c>
      <c r="E456" s="21" t="s">
        <v>1385</v>
      </c>
      <c r="F456" s="21" t="s">
        <v>1353</v>
      </c>
      <c r="G456" s="21" t="s">
        <v>1177</v>
      </c>
      <c r="H456" s="30"/>
      <c r="I456" s="14"/>
    </row>
    <row r="457">
      <c r="A457" s="16" t="s">
        <v>1174</v>
      </c>
      <c r="B457" s="17" t="s">
        <v>2429</v>
      </c>
      <c r="C457" s="18"/>
      <c r="D457" s="18"/>
      <c r="E457" s="18"/>
      <c r="F457" s="18"/>
      <c r="G457" s="18"/>
      <c r="H457" s="18"/>
      <c r="I457" s="16"/>
    </row>
    <row r="458" ht="60.0" customHeight="1">
      <c r="A458" s="20" t="s">
        <v>1176</v>
      </c>
      <c r="B458" s="21" t="str">
        <f t="array" ref="B458">iferror(VLOOKUP(INDIRECT(ADDRESS(ROW()+1,COLUMN(), 4)),Dex!$A$2:$C954,3,false),"")</f>
        <v/>
      </c>
      <c r="C458" s="21" t="str">
        <f t="array" ref="C458">iferror(VLOOKUP(INDIRECT(ADDRESS(ROW()+1,COLUMN(), 4)),Dex!$A$2:$C954,3,false),"")</f>
        <v/>
      </c>
      <c r="D458" s="21" t="str">
        <f t="array" ref="D458">iferror(VLOOKUP(INDIRECT(ADDRESS(ROW()+1,COLUMN(), 4)),Dex!$A$2:$C954,3,false),"")</f>
        <v/>
      </c>
      <c r="E458" s="21" t="str">
        <f t="array" ref="E458">iferror(VLOOKUP(INDIRECT(ADDRESS(ROW()+1,COLUMN(), 4)),Dex!$A$2:$C954,3,false),"")</f>
        <v/>
      </c>
      <c r="F458" s="21" t="str">
        <f t="array" ref="F458">iferror(VLOOKUP(INDIRECT(ADDRESS(ROW()+1,COLUMN(), 4)),Dex!$A$2:$C954,3,false),"")</f>
        <v/>
      </c>
      <c r="G458" s="21" t="s">
        <v>1177</v>
      </c>
      <c r="H458" s="22" t="str">
        <f t="array" ref="H458">iferror(VLOOKUP("TRAINER_PIC_MAGMA_GRUNT_M",Sprites!$A$1:$B954,2,false),"")</f>
        <v/>
      </c>
      <c r="I458" s="23"/>
    </row>
    <row r="459">
      <c r="A459" s="24"/>
      <c r="B459" s="25" t="s">
        <v>402</v>
      </c>
      <c r="C459" s="25" t="s">
        <v>438</v>
      </c>
      <c r="D459" s="25" t="s">
        <v>588</v>
      </c>
      <c r="E459" s="25" t="s">
        <v>159</v>
      </c>
      <c r="F459" s="25" t="s">
        <v>314</v>
      </c>
      <c r="G459" s="25" t="s">
        <v>1177</v>
      </c>
      <c r="H459" s="26"/>
    </row>
    <row r="460">
      <c r="A460" s="16" t="s">
        <v>1178</v>
      </c>
      <c r="B460" s="27" t="s">
        <v>2358</v>
      </c>
      <c r="C460" s="27" t="s">
        <v>2398</v>
      </c>
      <c r="D460" s="27" t="s">
        <v>2410</v>
      </c>
      <c r="E460" s="27" t="s">
        <v>2410</v>
      </c>
      <c r="F460" s="27" t="s">
        <v>2410</v>
      </c>
      <c r="G460" s="21" t="s">
        <v>1177</v>
      </c>
      <c r="H460" s="26"/>
    </row>
    <row r="461">
      <c r="A461" s="16" t="s">
        <v>1181</v>
      </c>
      <c r="B461" s="28" t="s">
        <v>2300</v>
      </c>
      <c r="C461" s="28" t="s">
        <v>1796</v>
      </c>
      <c r="D461" s="28" t="s">
        <v>1571</v>
      </c>
      <c r="E461" s="28" t="s">
        <v>1995</v>
      </c>
      <c r="F461" s="28" t="s">
        <v>2139</v>
      </c>
      <c r="G461" s="28" t="s">
        <v>1177</v>
      </c>
      <c r="H461" s="26"/>
    </row>
    <row r="462">
      <c r="A462" s="16" t="s">
        <v>1182</v>
      </c>
      <c r="B462" s="21" t="s">
        <v>1199</v>
      </c>
      <c r="C462" s="21" t="s">
        <v>1463</v>
      </c>
      <c r="D462" s="21" t="s">
        <v>1184</v>
      </c>
      <c r="E462" s="21" t="s">
        <v>1692</v>
      </c>
      <c r="F462" s="21" t="s">
        <v>1211</v>
      </c>
      <c r="G462" s="21" t="s">
        <v>1177</v>
      </c>
      <c r="H462" s="26"/>
    </row>
    <row r="463">
      <c r="A463" s="16" t="s">
        <v>1186</v>
      </c>
      <c r="B463" s="28" t="s">
        <v>1248</v>
      </c>
      <c r="C463" s="28" t="s">
        <v>1300</v>
      </c>
      <c r="D463" s="28" t="s">
        <v>1235</v>
      </c>
      <c r="E463" s="28" t="s">
        <v>1248</v>
      </c>
      <c r="F463" s="28" t="s">
        <v>1284</v>
      </c>
      <c r="G463" s="28" t="s">
        <v>1177</v>
      </c>
      <c r="H463" s="26"/>
    </row>
    <row r="464">
      <c r="A464" s="20" t="s">
        <v>1188</v>
      </c>
      <c r="B464" s="21" t="s">
        <v>1678</v>
      </c>
      <c r="C464" s="21" t="s">
        <v>1814</v>
      </c>
      <c r="D464" s="21" t="s">
        <v>1704</v>
      </c>
      <c r="E464" s="21" t="s">
        <v>1737</v>
      </c>
      <c r="F464" s="21" t="s">
        <v>1740</v>
      </c>
      <c r="G464" s="21" t="s">
        <v>1177</v>
      </c>
      <c r="H464" s="26"/>
    </row>
    <row r="465">
      <c r="A465" s="29"/>
      <c r="B465" s="21" t="s">
        <v>1758</v>
      </c>
      <c r="C465" s="21" t="s">
        <v>2104</v>
      </c>
      <c r="D465" s="21" t="s">
        <v>1682</v>
      </c>
      <c r="E465" s="21" t="s">
        <v>2075</v>
      </c>
      <c r="F465" s="21" t="s">
        <v>1890</v>
      </c>
      <c r="G465" s="21" t="s">
        <v>1177</v>
      </c>
      <c r="H465" s="26"/>
    </row>
    <row r="466">
      <c r="A466" s="29"/>
      <c r="B466" s="21" t="s">
        <v>1896</v>
      </c>
      <c r="C466" s="21" t="s">
        <v>1677</v>
      </c>
      <c r="D466" s="21" t="s">
        <v>1323</v>
      </c>
      <c r="E466" s="21" t="s">
        <v>1677</v>
      </c>
      <c r="F466" s="21" t="s">
        <v>1697</v>
      </c>
      <c r="G466" s="21" t="s">
        <v>1177</v>
      </c>
      <c r="H466" s="26"/>
    </row>
    <row r="467">
      <c r="A467" s="24"/>
      <c r="B467" s="21" t="s">
        <v>1705</v>
      </c>
      <c r="C467" s="21" t="s">
        <v>1285</v>
      </c>
      <c r="D467" s="21" t="s">
        <v>1743</v>
      </c>
      <c r="E467" s="21" t="s">
        <v>1959</v>
      </c>
      <c r="F467" s="21" t="s">
        <v>1590</v>
      </c>
      <c r="G467" s="21" t="s">
        <v>1177</v>
      </c>
      <c r="H467" s="30"/>
      <c r="I467" s="14"/>
    </row>
    <row r="468">
      <c r="A468" s="16" t="s">
        <v>1174</v>
      </c>
      <c r="B468" s="17" t="s">
        <v>2430</v>
      </c>
      <c r="C468" s="18"/>
      <c r="D468" s="18"/>
      <c r="E468" s="18"/>
      <c r="F468" s="18"/>
      <c r="G468" s="18"/>
      <c r="H468" s="18"/>
      <c r="I468" s="16"/>
    </row>
    <row r="469" ht="60.0" customHeight="1">
      <c r="A469" s="20" t="s">
        <v>1176</v>
      </c>
      <c r="B469" s="21" t="str">
        <f t="array" ref="B469">iferror(VLOOKUP(INDIRECT(ADDRESS(ROW()+1,COLUMN(), 4)),Dex!$A$2:$C954,3,false),"")</f>
        <v/>
      </c>
      <c r="C469" s="21" t="str">
        <f t="array" ref="C469">iferror(VLOOKUP(INDIRECT(ADDRESS(ROW()+1,COLUMN(), 4)),Dex!$A$2:$C954,3,false),"")</f>
        <v/>
      </c>
      <c r="D469" s="21" t="str">
        <f t="array" ref="D469">iferror(VLOOKUP(INDIRECT(ADDRESS(ROW()+1,COLUMN(), 4)),Dex!$A$2:$C954,3,false),"")</f>
        <v/>
      </c>
      <c r="E469" s="21" t="str">
        <f t="array" ref="E469">iferror(VLOOKUP(INDIRECT(ADDRESS(ROW()+1,COLUMN(), 4)),Dex!$A$2:$C954,3,false),"")</f>
        <v/>
      </c>
      <c r="F469" s="21" t="str">
        <f t="array" ref="F469">iferror(VLOOKUP(INDIRECT(ADDRESS(ROW()+1,COLUMN(), 4)),Dex!$A$2:$C954,3,false),"")</f>
        <v/>
      </c>
      <c r="G469" s="21" t="s">
        <v>1177</v>
      </c>
      <c r="H469" s="22" t="str">
        <f t="array" ref="H469">iferror(VLOOKUP("TRAINER_PIC_MAGMA_GRUNT_M",Sprites!$A$1:$B954,2,false),"")</f>
        <v/>
      </c>
      <c r="I469" s="23"/>
    </row>
    <row r="470">
      <c r="A470" s="24"/>
      <c r="B470" s="25" t="s">
        <v>56</v>
      </c>
      <c r="C470" s="25" t="s">
        <v>423</v>
      </c>
      <c r="D470" s="25" t="s">
        <v>208</v>
      </c>
      <c r="E470" s="25" t="s">
        <v>383</v>
      </c>
      <c r="F470" s="25" t="s">
        <v>730</v>
      </c>
      <c r="G470" s="25" t="s">
        <v>1177</v>
      </c>
      <c r="H470" s="26"/>
    </row>
    <row r="471">
      <c r="A471" s="16" t="s">
        <v>1178</v>
      </c>
      <c r="B471" s="27" t="s">
        <v>2398</v>
      </c>
      <c r="C471" s="27" t="s">
        <v>2420</v>
      </c>
      <c r="D471" s="27" t="s">
        <v>2410</v>
      </c>
      <c r="E471" s="27" t="s">
        <v>2410</v>
      </c>
      <c r="F471" s="27" t="s">
        <v>2410</v>
      </c>
      <c r="G471" s="21" t="s">
        <v>1177</v>
      </c>
      <c r="H471" s="26"/>
    </row>
    <row r="472">
      <c r="A472" s="16" t="s">
        <v>1181</v>
      </c>
      <c r="B472" s="28" t="s">
        <v>2300</v>
      </c>
      <c r="C472" s="28" t="s">
        <v>1796</v>
      </c>
      <c r="D472" s="28" t="s">
        <v>2002</v>
      </c>
      <c r="E472" s="28" t="s">
        <v>1458</v>
      </c>
      <c r="F472" s="28" t="s">
        <v>2139</v>
      </c>
      <c r="G472" s="28" t="s">
        <v>1177</v>
      </c>
      <c r="H472" s="26"/>
    </row>
    <row r="473">
      <c r="A473" s="16" t="s">
        <v>1182</v>
      </c>
      <c r="B473" s="21" t="s">
        <v>1348</v>
      </c>
      <c r="C473" s="21" t="s">
        <v>1223</v>
      </c>
      <c r="D473" s="21" t="s">
        <v>1211</v>
      </c>
      <c r="E473" s="21" t="s">
        <v>1996</v>
      </c>
      <c r="F473" s="21" t="s">
        <v>1906</v>
      </c>
      <c r="G473" s="21" t="s">
        <v>1177</v>
      </c>
      <c r="H473" s="26"/>
    </row>
    <row r="474">
      <c r="A474" s="16" t="s">
        <v>1186</v>
      </c>
      <c r="B474" s="28" t="s">
        <v>1235</v>
      </c>
      <c r="C474" s="28" t="s">
        <v>1447</v>
      </c>
      <c r="D474" s="28" t="s">
        <v>1235</v>
      </c>
      <c r="E474" s="28" t="s">
        <v>1235</v>
      </c>
      <c r="F474" s="28" t="s">
        <v>1269</v>
      </c>
      <c r="G474" s="28" t="s">
        <v>1177</v>
      </c>
      <c r="H474" s="26"/>
    </row>
    <row r="475">
      <c r="A475" s="20" t="s">
        <v>1188</v>
      </c>
      <c r="B475" s="21" t="s">
        <v>1677</v>
      </c>
      <c r="C475" s="21" t="s">
        <v>1939</v>
      </c>
      <c r="D475" s="21" t="s">
        <v>1415</v>
      </c>
      <c r="E475" s="21" t="s">
        <v>1805</v>
      </c>
      <c r="F475" s="21" t="s">
        <v>1336</v>
      </c>
      <c r="G475" s="21" t="s">
        <v>1177</v>
      </c>
      <c r="H475" s="26"/>
    </row>
    <row r="476">
      <c r="A476" s="29"/>
      <c r="B476" s="21" t="s">
        <v>1749</v>
      </c>
      <c r="C476" s="21" t="s">
        <v>1677</v>
      </c>
      <c r="D476" s="21" t="s">
        <v>1303</v>
      </c>
      <c r="E476" s="21" t="s">
        <v>1466</v>
      </c>
      <c r="F476" s="21" t="s">
        <v>2104</v>
      </c>
      <c r="G476" s="21" t="s">
        <v>1177</v>
      </c>
      <c r="H476" s="26"/>
    </row>
    <row r="477">
      <c r="A477" s="29"/>
      <c r="B477" s="21" t="s">
        <v>1323</v>
      </c>
      <c r="C477" s="21" t="s">
        <v>1830</v>
      </c>
      <c r="D477" s="21" t="s">
        <v>1677</v>
      </c>
      <c r="E477" s="21" t="s">
        <v>1677</v>
      </c>
      <c r="F477" s="21" t="s">
        <v>1878</v>
      </c>
      <c r="G477" s="21" t="s">
        <v>1177</v>
      </c>
      <c r="H477" s="26"/>
    </row>
    <row r="478">
      <c r="A478" s="24"/>
      <c r="B478" s="21" t="s">
        <v>1705</v>
      </c>
      <c r="C478" s="21" t="s">
        <v>1678</v>
      </c>
      <c r="D478" s="21" t="s">
        <v>1309</v>
      </c>
      <c r="E478" s="21" t="s">
        <v>1594</v>
      </c>
      <c r="F478" s="21" t="s">
        <v>1373</v>
      </c>
      <c r="G478" s="21" t="s">
        <v>1177</v>
      </c>
      <c r="H478" s="30"/>
      <c r="I478" s="14"/>
    </row>
    <row r="479">
      <c r="A479" s="16" t="s">
        <v>1174</v>
      </c>
      <c r="B479" s="17" t="s">
        <v>2431</v>
      </c>
      <c r="C479" s="18"/>
      <c r="D479" s="18"/>
      <c r="E479" s="18"/>
      <c r="F479" s="18"/>
      <c r="G479" s="18"/>
      <c r="H479" s="18"/>
      <c r="I479" s="16"/>
    </row>
    <row r="480" ht="60.0" customHeight="1">
      <c r="A480" s="20" t="s">
        <v>1176</v>
      </c>
      <c r="B480" s="21" t="str">
        <f t="array" ref="B480">iferror(VLOOKUP(INDIRECT(ADDRESS(ROW()+1,COLUMN(), 4)),Dex!$A$2:$C954,3,false),"")</f>
        <v/>
      </c>
      <c r="C480" s="21" t="str">
        <f t="array" ref="C480">iferror(VLOOKUP(INDIRECT(ADDRESS(ROW()+1,COLUMN(), 4)),Dex!$A$2:$C954,3,false),"")</f>
        <v/>
      </c>
      <c r="D480" s="21" t="str">
        <f t="array" ref="D480">iferror(VLOOKUP(INDIRECT(ADDRESS(ROW()+1,COLUMN(), 4)),Dex!$A$2:$C954,3,false),"")</f>
        <v/>
      </c>
      <c r="E480" s="21" t="str">
        <f t="array" ref="E480">iferror(VLOOKUP(INDIRECT(ADDRESS(ROW()+1,COLUMN(), 4)),Dex!$A$2:$C954,3,false),"")</f>
        <v/>
      </c>
      <c r="F480" s="21" t="str">
        <f t="array" ref="F480">iferror(VLOOKUP(INDIRECT(ADDRESS(ROW()+1,COLUMN(), 4)),Dex!$A$2:$C954,3,false),"")</f>
        <v/>
      </c>
      <c r="G480" s="21" t="s">
        <v>1177</v>
      </c>
      <c r="H480" s="22" t="str">
        <f t="array" ref="H480">iferror(VLOOKUP("TRAINER_PIC_MAGMA_GRUNT_F",Sprites!$A$1:$B954,2,false),"")</f>
        <v/>
      </c>
      <c r="I480" s="23"/>
    </row>
    <row r="481">
      <c r="A481" s="24"/>
      <c r="B481" s="25" t="s">
        <v>408</v>
      </c>
      <c r="C481" s="25" t="s">
        <v>839</v>
      </c>
      <c r="D481" s="25" t="s">
        <v>38</v>
      </c>
      <c r="E481" s="25" t="s">
        <v>462</v>
      </c>
      <c r="F481" s="25" t="s">
        <v>429</v>
      </c>
      <c r="G481" s="25" t="s">
        <v>1177</v>
      </c>
      <c r="H481" s="26"/>
    </row>
    <row r="482">
      <c r="A482" s="16" t="s">
        <v>1178</v>
      </c>
      <c r="B482" s="27" t="s">
        <v>2420</v>
      </c>
      <c r="C482" s="27" t="s">
        <v>2410</v>
      </c>
      <c r="D482" s="27" t="s">
        <v>2420</v>
      </c>
      <c r="E482" s="27" t="s">
        <v>2420</v>
      </c>
      <c r="F482" s="27" t="s">
        <v>2264</v>
      </c>
      <c r="G482" s="21" t="s">
        <v>1177</v>
      </c>
      <c r="H482" s="26"/>
    </row>
    <row r="483">
      <c r="A483" s="16" t="s">
        <v>1181</v>
      </c>
      <c r="B483" s="28" t="s">
        <v>1882</v>
      </c>
      <c r="C483" s="28" t="s">
        <v>2300</v>
      </c>
      <c r="D483" s="28" t="s">
        <v>1571</v>
      </c>
      <c r="E483" s="28" t="s">
        <v>1571</v>
      </c>
      <c r="F483" s="28" t="s">
        <v>1403</v>
      </c>
      <c r="G483" s="28" t="s">
        <v>1177</v>
      </c>
      <c r="H483" s="26"/>
    </row>
    <row r="484">
      <c r="A484" s="16" t="s">
        <v>1182</v>
      </c>
      <c r="B484" s="21" t="s">
        <v>1357</v>
      </c>
      <c r="C484" s="21" t="s">
        <v>1211</v>
      </c>
      <c r="D484" s="21" t="s">
        <v>1573</v>
      </c>
      <c r="E484" s="21" t="s">
        <v>1797</v>
      </c>
      <c r="F484" s="21" t="s">
        <v>1675</v>
      </c>
      <c r="G484" s="21" t="s">
        <v>1177</v>
      </c>
      <c r="H484" s="26"/>
    </row>
    <row r="485">
      <c r="A485" s="16" t="s">
        <v>1186</v>
      </c>
      <c r="B485" s="28" t="s">
        <v>1284</v>
      </c>
      <c r="C485" s="28" t="s">
        <v>1284</v>
      </c>
      <c r="D485" s="28" t="s">
        <v>1235</v>
      </c>
      <c r="E485" s="28" t="s">
        <v>1249</v>
      </c>
      <c r="F485" s="28" t="s">
        <v>1248</v>
      </c>
      <c r="G485" s="28" t="s">
        <v>1177</v>
      </c>
      <c r="H485" s="26"/>
    </row>
    <row r="486">
      <c r="A486" s="20" t="s">
        <v>1188</v>
      </c>
      <c r="B486" s="21" t="s">
        <v>1724</v>
      </c>
      <c r="C486" s="21" t="s">
        <v>2104</v>
      </c>
      <c r="D486" s="21" t="s">
        <v>1776</v>
      </c>
      <c r="E486" s="21" t="s">
        <v>1577</v>
      </c>
      <c r="F486" s="21" t="s">
        <v>1677</v>
      </c>
      <c r="G486" s="21" t="s">
        <v>1177</v>
      </c>
      <c r="H486" s="26"/>
    </row>
    <row r="487">
      <c r="A487" s="29"/>
      <c r="B487" s="21" t="s">
        <v>1740</v>
      </c>
      <c r="C487" s="21" t="s">
        <v>1778</v>
      </c>
      <c r="D487" s="21" t="s">
        <v>1805</v>
      </c>
      <c r="E487" s="21" t="s">
        <v>1678</v>
      </c>
      <c r="F487" s="21" t="s">
        <v>1594</v>
      </c>
      <c r="G487" s="21" t="s">
        <v>1177</v>
      </c>
      <c r="H487" s="26"/>
    </row>
    <row r="488">
      <c r="A488" s="29"/>
      <c r="B488" s="21" t="s">
        <v>1788</v>
      </c>
      <c r="C488" s="21" t="s">
        <v>1829</v>
      </c>
      <c r="D488" s="21" t="s">
        <v>1192</v>
      </c>
      <c r="E488" s="21" t="s">
        <v>1714</v>
      </c>
      <c r="F488" s="21" t="s">
        <v>1575</v>
      </c>
      <c r="G488" s="21" t="s">
        <v>1177</v>
      </c>
      <c r="H488" s="26"/>
    </row>
    <row r="489">
      <c r="A489" s="24"/>
      <c r="B489" s="21" t="s">
        <v>1679</v>
      </c>
      <c r="C489" s="21" t="s">
        <v>2432</v>
      </c>
      <c r="D489" s="21" t="s">
        <v>1772</v>
      </c>
      <c r="E489" s="21" t="s">
        <v>2104</v>
      </c>
      <c r="F489" s="21" t="s">
        <v>1194</v>
      </c>
      <c r="G489" s="21" t="s">
        <v>1177</v>
      </c>
      <c r="H489" s="30"/>
      <c r="I489" s="14"/>
    </row>
    <row r="490">
      <c r="A490" s="16" t="s">
        <v>1174</v>
      </c>
      <c r="B490" s="17" t="s">
        <v>2433</v>
      </c>
      <c r="C490" s="18"/>
      <c r="D490" s="18"/>
      <c r="E490" s="18"/>
      <c r="F490" s="18"/>
      <c r="G490" s="18"/>
      <c r="H490" s="18"/>
      <c r="I490" s="16"/>
    </row>
    <row r="491" ht="60.0" customHeight="1">
      <c r="A491" s="20" t="s">
        <v>1176</v>
      </c>
      <c r="B491" s="21" t="str">
        <f t="array" ref="B491">iferror(VLOOKUP(INDIRECT(ADDRESS(ROW()+1,COLUMN(), 4)),Dex!$A$2:$C954,3,false),"")</f>
        <v/>
      </c>
      <c r="C491" s="21" t="str">
        <f t="array" ref="C491">iferror(VLOOKUP(INDIRECT(ADDRESS(ROW()+1,COLUMN(), 4)),Dex!$A$2:$C954,3,false),"")</f>
        <v/>
      </c>
      <c r="D491" s="21" t="str">
        <f t="array" ref="D491">iferror(VLOOKUP(INDIRECT(ADDRESS(ROW()+1,COLUMN(), 4)),Dex!$A$2:$C954,3,false),"")</f>
        <v/>
      </c>
      <c r="E491" s="21" t="str">
        <f t="array" ref="E491">iferror(VLOOKUP(INDIRECT(ADDRESS(ROW()+1,COLUMN(), 4)),Dex!$A$2:$C954,3,false),"")</f>
        <v/>
      </c>
      <c r="F491" s="21" t="s">
        <v>1177</v>
      </c>
      <c r="G491" s="21" t="s">
        <v>1177</v>
      </c>
      <c r="H491" s="22" t="str">
        <f t="array" ref="H491">iferror(VLOOKUP("TRAINER_PIC_MAGMA_GRUNT_M",Sprites!$A$1:$B954,2,false),"")</f>
        <v/>
      </c>
      <c r="I491" s="23"/>
    </row>
    <row r="492">
      <c r="A492" s="24"/>
      <c r="B492" s="25" t="s">
        <v>781</v>
      </c>
      <c r="C492" s="25" t="s">
        <v>368</v>
      </c>
      <c r="D492" s="25" t="s">
        <v>158</v>
      </c>
      <c r="E492" s="25" t="s">
        <v>991</v>
      </c>
      <c r="F492" s="25" t="s">
        <v>1177</v>
      </c>
      <c r="G492" s="25" t="s">
        <v>1177</v>
      </c>
      <c r="H492" s="26"/>
    </row>
    <row r="493">
      <c r="A493" s="16" t="s">
        <v>1178</v>
      </c>
      <c r="B493" s="27" t="s">
        <v>2421</v>
      </c>
      <c r="C493" s="27" t="s">
        <v>2410</v>
      </c>
      <c r="D493" s="27" t="s">
        <v>2420</v>
      </c>
      <c r="E493" s="27" t="s">
        <v>2410</v>
      </c>
      <c r="F493" s="21" t="s">
        <v>1177</v>
      </c>
      <c r="G493" s="21" t="s">
        <v>1177</v>
      </c>
      <c r="H493" s="26"/>
    </row>
    <row r="494">
      <c r="A494" s="16" t="s">
        <v>1181</v>
      </c>
      <c r="B494" s="28" t="s">
        <v>2408</v>
      </c>
      <c r="C494" s="28" t="s">
        <v>1582</v>
      </c>
      <c r="D494" s="28" t="s">
        <v>1995</v>
      </c>
      <c r="E494" s="28" t="s">
        <v>1796</v>
      </c>
      <c r="F494" s="28" t="s">
        <v>1177</v>
      </c>
      <c r="G494" s="28" t="s">
        <v>1177</v>
      </c>
      <c r="H494" s="26"/>
    </row>
    <row r="495">
      <c r="A495" s="16" t="s">
        <v>1182</v>
      </c>
      <c r="B495" s="21" t="s">
        <v>1938</v>
      </c>
      <c r="C495" s="21" t="s">
        <v>1768</v>
      </c>
      <c r="D495" s="21" t="s">
        <v>2156</v>
      </c>
      <c r="E495" s="21" t="s">
        <v>1231</v>
      </c>
      <c r="F495" s="21" t="s">
        <v>1177</v>
      </c>
      <c r="G495" s="21" t="s">
        <v>1177</v>
      </c>
      <c r="H495" s="26"/>
    </row>
    <row r="496">
      <c r="A496" s="16" t="s">
        <v>1186</v>
      </c>
      <c r="B496" s="28" t="s">
        <v>1754</v>
      </c>
      <c r="C496" s="28" t="s">
        <v>1249</v>
      </c>
      <c r="D496" s="28" t="s">
        <v>1248</v>
      </c>
      <c r="E496" s="28" t="s">
        <v>1447</v>
      </c>
      <c r="F496" s="28" t="s">
        <v>1177</v>
      </c>
      <c r="G496" s="28" t="s">
        <v>1177</v>
      </c>
      <c r="H496" s="26"/>
    </row>
    <row r="497">
      <c r="A497" s="20" t="s">
        <v>1188</v>
      </c>
      <c r="B497" s="21" t="s">
        <v>1712</v>
      </c>
      <c r="C497" s="21" t="s">
        <v>1823</v>
      </c>
      <c r="D497" s="21" t="s">
        <v>1677</v>
      </c>
      <c r="E497" s="21" t="s">
        <v>1740</v>
      </c>
      <c r="F497" s="21" t="s">
        <v>1177</v>
      </c>
      <c r="G497" s="21" t="s">
        <v>1177</v>
      </c>
      <c r="H497" s="26"/>
    </row>
    <row r="498">
      <c r="A498" s="29"/>
      <c r="B498" s="21" t="s">
        <v>1814</v>
      </c>
      <c r="C498" s="21" t="s">
        <v>1816</v>
      </c>
      <c r="D498" s="21" t="s">
        <v>1678</v>
      </c>
      <c r="E498" s="21" t="s">
        <v>1828</v>
      </c>
      <c r="F498" s="21" t="s">
        <v>1177</v>
      </c>
      <c r="G498" s="21" t="s">
        <v>1177</v>
      </c>
      <c r="H498" s="26"/>
    </row>
    <row r="499">
      <c r="A499" s="29"/>
      <c r="B499" s="21" t="s">
        <v>2104</v>
      </c>
      <c r="C499" s="21" t="s">
        <v>1577</v>
      </c>
      <c r="D499" s="21" t="s">
        <v>1320</v>
      </c>
      <c r="E499" s="21" t="s">
        <v>1830</v>
      </c>
      <c r="F499" s="21" t="s">
        <v>1177</v>
      </c>
      <c r="G499" s="21" t="s">
        <v>1177</v>
      </c>
      <c r="H499" s="26"/>
    </row>
    <row r="500">
      <c r="A500" s="24"/>
      <c r="B500" s="21" t="s">
        <v>1725</v>
      </c>
      <c r="C500" s="21" t="s">
        <v>1759</v>
      </c>
      <c r="D500" s="21" t="s">
        <v>1307</v>
      </c>
      <c r="E500" s="21" t="s">
        <v>2019</v>
      </c>
      <c r="F500" s="21" t="s">
        <v>1177</v>
      </c>
      <c r="G500" s="21" t="s">
        <v>1177</v>
      </c>
      <c r="H500" s="30"/>
      <c r="I500" s="14"/>
    </row>
    <row r="501">
      <c r="A501" s="16" t="s">
        <v>1174</v>
      </c>
      <c r="B501" s="17" t="s">
        <v>2434</v>
      </c>
      <c r="C501" s="18"/>
      <c r="D501" s="18"/>
      <c r="E501" s="18"/>
      <c r="F501" s="18"/>
      <c r="G501" s="18"/>
      <c r="H501" s="18"/>
      <c r="I501" s="16"/>
    </row>
    <row r="502" ht="60.0" customHeight="1">
      <c r="A502" s="20" t="s">
        <v>1176</v>
      </c>
      <c r="B502" s="21" t="str">
        <f t="array" ref="B502">iferror(VLOOKUP(INDIRECT(ADDRESS(ROW()+1,COLUMN(), 4)),Dex!$A$2:$C954,3,false),"")</f>
        <v/>
      </c>
      <c r="C502" s="21" t="str">
        <f t="array" ref="C502">iferror(VLOOKUP(INDIRECT(ADDRESS(ROW()+1,COLUMN(), 4)),Dex!$A$2:$C954,3,false),"")</f>
        <v/>
      </c>
      <c r="D502" s="21" t="str">
        <f t="array" ref="D502">iferror(VLOOKUP(INDIRECT(ADDRESS(ROW()+1,COLUMN(), 4)),Dex!$A$2:$C954,3,false),"")</f>
        <v/>
      </c>
      <c r="E502" s="21" t="str">
        <f t="array" ref="E502">iferror(VLOOKUP(INDIRECT(ADDRESS(ROW()+1,COLUMN(), 4)),Dex!$A$2:$C954,3,false),"")</f>
        <v/>
      </c>
      <c r="F502" s="21" t="str">
        <f t="array" ref="F502">iferror(VLOOKUP(INDIRECT(ADDRESS(ROW()+1,COLUMN(), 4)),Dex!$A$2:$C954,3,false),"")</f>
        <v/>
      </c>
      <c r="G502" s="21" t="s">
        <v>1177</v>
      </c>
      <c r="H502" s="22" t="str">
        <f t="array" ref="H502">iferror(VLOOKUP("TRAINER_PIC_MAGMA_GRUNT_M",Sprites!$A$1:$B954,2,false),"")</f>
        <v/>
      </c>
      <c r="I502" s="23"/>
    </row>
    <row r="503">
      <c r="A503" s="24"/>
      <c r="B503" s="25" t="s">
        <v>1073</v>
      </c>
      <c r="C503" s="25" t="s">
        <v>202</v>
      </c>
      <c r="D503" s="25" t="s">
        <v>440</v>
      </c>
      <c r="E503" s="25" t="s">
        <v>1128</v>
      </c>
      <c r="F503" s="25" t="s">
        <v>834</v>
      </c>
      <c r="G503" s="25" t="s">
        <v>1177</v>
      </c>
      <c r="H503" s="26"/>
    </row>
    <row r="504">
      <c r="A504" s="16" t="s">
        <v>1178</v>
      </c>
      <c r="B504" s="27" t="s">
        <v>2398</v>
      </c>
      <c r="C504" s="27" t="s">
        <v>2410</v>
      </c>
      <c r="D504" s="27" t="s">
        <v>2410</v>
      </c>
      <c r="E504" s="27" t="s">
        <v>2410</v>
      </c>
      <c r="F504" s="27" t="s">
        <v>2410</v>
      </c>
      <c r="G504" s="21" t="s">
        <v>1177</v>
      </c>
      <c r="H504" s="26"/>
    </row>
    <row r="505">
      <c r="A505" s="16" t="s">
        <v>1181</v>
      </c>
      <c r="B505" s="28" t="s">
        <v>1796</v>
      </c>
      <c r="C505" s="28" t="s">
        <v>1434</v>
      </c>
      <c r="D505" s="28" t="s">
        <v>1582</v>
      </c>
      <c r="E505" s="28" t="s">
        <v>2102</v>
      </c>
      <c r="F505" s="28" t="s">
        <v>2300</v>
      </c>
      <c r="G505" s="28" t="s">
        <v>1177</v>
      </c>
      <c r="H505" s="26"/>
    </row>
    <row r="506">
      <c r="A506" s="16" t="s">
        <v>1182</v>
      </c>
      <c r="B506" s="21" t="s">
        <v>1318</v>
      </c>
      <c r="C506" s="21" t="s">
        <v>1419</v>
      </c>
      <c r="D506" s="21" t="s">
        <v>1368</v>
      </c>
      <c r="E506" s="21" t="s">
        <v>2131</v>
      </c>
      <c r="F506" s="21" t="s">
        <v>1318</v>
      </c>
      <c r="G506" s="21" t="s">
        <v>1177</v>
      </c>
      <c r="H506" s="26"/>
    </row>
    <row r="507">
      <c r="A507" s="16" t="s">
        <v>1186</v>
      </c>
      <c r="B507" s="28" t="s">
        <v>1754</v>
      </c>
      <c r="C507" s="28" t="s">
        <v>1235</v>
      </c>
      <c r="D507" s="28" t="s">
        <v>1235</v>
      </c>
      <c r="E507" s="28" t="s">
        <v>1269</v>
      </c>
      <c r="F507" s="28" t="s">
        <v>1235</v>
      </c>
      <c r="G507" s="28" t="s">
        <v>1177</v>
      </c>
      <c r="H507" s="26"/>
    </row>
    <row r="508">
      <c r="A508" s="20" t="s">
        <v>1188</v>
      </c>
      <c r="B508" s="21" t="s">
        <v>2185</v>
      </c>
      <c r="C508" s="21" t="s">
        <v>1737</v>
      </c>
      <c r="D508" s="21" t="s">
        <v>1678</v>
      </c>
      <c r="E508" s="21" t="s">
        <v>2305</v>
      </c>
      <c r="F508" s="21" t="s">
        <v>1776</v>
      </c>
      <c r="G508" s="21" t="s">
        <v>1177</v>
      </c>
      <c r="H508" s="26"/>
    </row>
    <row r="509">
      <c r="A509" s="29"/>
      <c r="B509" s="21" t="s">
        <v>1678</v>
      </c>
      <c r="C509" s="21" t="s">
        <v>1328</v>
      </c>
      <c r="D509" s="21" t="s">
        <v>1469</v>
      </c>
      <c r="E509" s="21" t="s">
        <v>1712</v>
      </c>
      <c r="F509" s="21" t="s">
        <v>1377</v>
      </c>
      <c r="G509" s="21" t="s">
        <v>1177</v>
      </c>
      <c r="H509" s="26"/>
    </row>
    <row r="510">
      <c r="A510" s="29"/>
      <c r="B510" s="21" t="s">
        <v>1830</v>
      </c>
      <c r="C510" s="21" t="s">
        <v>1472</v>
      </c>
      <c r="D510" s="21" t="s">
        <v>1830</v>
      </c>
      <c r="E510" s="21" t="s">
        <v>1662</v>
      </c>
      <c r="F510" s="21" t="s">
        <v>1641</v>
      </c>
      <c r="G510" s="21" t="s">
        <v>1177</v>
      </c>
      <c r="H510" s="26"/>
    </row>
    <row r="511">
      <c r="A511" s="24"/>
      <c r="B511" s="21" t="s">
        <v>1705</v>
      </c>
      <c r="C511" s="21" t="s">
        <v>1432</v>
      </c>
      <c r="D511" s="21" t="s">
        <v>1590</v>
      </c>
      <c r="E511" s="21" t="s">
        <v>2104</v>
      </c>
      <c r="F511" s="21" t="s">
        <v>1590</v>
      </c>
      <c r="G511" s="21" t="s">
        <v>1177</v>
      </c>
      <c r="H511" s="30"/>
      <c r="I511" s="14"/>
    </row>
    <row r="512">
      <c r="A512" s="16" t="s">
        <v>1174</v>
      </c>
      <c r="B512" s="17" t="s">
        <v>2435</v>
      </c>
      <c r="C512" s="18"/>
      <c r="D512" s="18"/>
      <c r="E512" s="18"/>
      <c r="F512" s="18"/>
      <c r="G512" s="18"/>
      <c r="H512" s="18"/>
      <c r="I512" s="16"/>
    </row>
    <row r="513" ht="60.0" customHeight="1">
      <c r="A513" s="20" t="s">
        <v>1176</v>
      </c>
      <c r="B513" s="21" t="str">
        <f t="array" ref="B513">iferror(VLOOKUP(INDIRECT(ADDRESS(ROW()+1,COLUMN(), 4)),Dex!$A$2:$C954,3,false),"")</f>
        <v/>
      </c>
      <c r="C513" s="21" t="str">
        <f t="array" ref="C513">iferror(VLOOKUP(INDIRECT(ADDRESS(ROW()+1,COLUMN(), 4)),Dex!$A$2:$C954,3,false),"")</f>
        <v/>
      </c>
      <c r="D513" s="21" t="str">
        <f t="array" ref="D513">iferror(VLOOKUP(INDIRECT(ADDRESS(ROW()+1,COLUMN(), 4)),Dex!$A$2:$C954,3,false),"")</f>
        <v/>
      </c>
      <c r="E513" s="21" t="str">
        <f t="array" ref="E513">iferror(VLOOKUP(INDIRECT(ADDRESS(ROW()+1,COLUMN(), 4)),Dex!$A$2:$C954,3,false),"")</f>
        <v/>
      </c>
      <c r="F513" s="21" t="str">
        <f t="array" ref="F513">iferror(VLOOKUP(INDIRECT(ADDRESS(ROW()+1,COLUMN(), 4)),Dex!$A$2:$C954,3,false),"")</f>
        <v/>
      </c>
      <c r="G513" s="21" t="str">
        <f t="array" ref="G513">iferror(VLOOKUP(INDIRECT(ADDRESS(ROW()+1,COLUMN(), 4)),Dex!$A$2:$C954,3,false),"")</f>
        <v/>
      </c>
      <c r="H513" s="22" t="str">
        <f t="array" ref="H513">iferror(VLOOKUP("TRAINER_PIC_MAGMA_GRUNT_M",Sprites!$A$1:$B954,2,false),"")</f>
        <v/>
      </c>
      <c r="I513" s="23"/>
    </row>
    <row r="514">
      <c r="A514" s="24"/>
      <c r="B514" s="25" t="s">
        <v>61</v>
      </c>
      <c r="C514" s="25" t="s">
        <v>327</v>
      </c>
      <c r="D514" s="25" t="s">
        <v>318</v>
      </c>
      <c r="E514" s="25" t="s">
        <v>155</v>
      </c>
      <c r="F514" s="25" t="s">
        <v>266</v>
      </c>
      <c r="G514" s="25" t="s">
        <v>90</v>
      </c>
      <c r="H514" s="26"/>
    </row>
    <row r="515">
      <c r="A515" s="16" t="s">
        <v>1178</v>
      </c>
      <c r="B515" s="27" t="s">
        <v>2436</v>
      </c>
      <c r="C515" s="27" t="s">
        <v>2420</v>
      </c>
      <c r="D515" s="27" t="s">
        <v>2420</v>
      </c>
      <c r="E515" s="27" t="s">
        <v>2421</v>
      </c>
      <c r="F515" s="27" t="s">
        <v>2436</v>
      </c>
      <c r="G515" s="27" t="s">
        <v>2420</v>
      </c>
      <c r="H515" s="26"/>
    </row>
    <row r="516">
      <c r="A516" s="16" t="s">
        <v>1181</v>
      </c>
      <c r="B516" s="28" t="s">
        <v>2102</v>
      </c>
      <c r="C516" s="28" t="s">
        <v>1295</v>
      </c>
      <c r="D516" s="28" t="s">
        <v>1703</v>
      </c>
      <c r="E516" s="28" t="s">
        <v>2437</v>
      </c>
      <c r="F516" s="28" t="s">
        <v>1247</v>
      </c>
      <c r="G516" s="28" t="s">
        <v>1457</v>
      </c>
      <c r="H516" s="26"/>
    </row>
    <row r="517">
      <c r="A517" s="16" t="s">
        <v>1182</v>
      </c>
      <c r="B517" s="21" t="s">
        <v>2065</v>
      </c>
      <c r="C517" s="21" t="s">
        <v>1748</v>
      </c>
      <c r="D517" s="21" t="s">
        <v>1199</v>
      </c>
      <c r="E517" s="21" t="s">
        <v>1369</v>
      </c>
      <c r="F517" s="21" t="s">
        <v>2089</v>
      </c>
      <c r="G517" s="21" t="s">
        <v>1298</v>
      </c>
      <c r="H517" s="26"/>
    </row>
    <row r="518">
      <c r="A518" s="16" t="s">
        <v>1186</v>
      </c>
      <c r="B518" s="28" t="s">
        <v>1284</v>
      </c>
      <c r="C518" s="28" t="s">
        <v>1406</v>
      </c>
      <c r="D518" s="28" t="s">
        <v>1248</v>
      </c>
      <c r="E518" s="28" t="s">
        <v>1256</v>
      </c>
      <c r="F518" s="28" t="s">
        <v>1284</v>
      </c>
      <c r="G518" s="28" t="s">
        <v>1235</v>
      </c>
      <c r="H518" s="26"/>
    </row>
    <row r="519">
      <c r="A519" s="20" t="s">
        <v>1188</v>
      </c>
      <c r="B519" s="21" t="s">
        <v>1629</v>
      </c>
      <c r="C519" s="21" t="s">
        <v>1738</v>
      </c>
      <c r="D519" s="21" t="s">
        <v>1779</v>
      </c>
      <c r="E519" s="21" t="s">
        <v>1914</v>
      </c>
      <c r="F519" s="21" t="s">
        <v>1914</v>
      </c>
      <c r="G519" s="21" t="s">
        <v>1737</v>
      </c>
      <c r="H519" s="26"/>
    </row>
    <row r="520">
      <c r="A520" s="29"/>
      <c r="B520" s="21" t="s">
        <v>1740</v>
      </c>
      <c r="C520" s="21" t="s">
        <v>1804</v>
      </c>
      <c r="D520" s="21" t="s">
        <v>1678</v>
      </c>
      <c r="E520" s="21" t="s">
        <v>1731</v>
      </c>
      <c r="F520" s="21" t="s">
        <v>1619</v>
      </c>
      <c r="G520" s="21" t="s">
        <v>1874</v>
      </c>
      <c r="H520" s="26"/>
    </row>
    <row r="521">
      <c r="A521" s="29"/>
      <c r="B521" s="21" t="s">
        <v>1697</v>
      </c>
      <c r="C521" s="21" t="s">
        <v>1761</v>
      </c>
      <c r="D521" s="21" t="s">
        <v>1252</v>
      </c>
      <c r="E521" s="21" t="s">
        <v>1384</v>
      </c>
      <c r="F521" s="21" t="s">
        <v>2438</v>
      </c>
      <c r="G521" s="21" t="s">
        <v>1704</v>
      </c>
      <c r="H521" s="26"/>
    </row>
    <row r="522">
      <c r="A522" s="24"/>
      <c r="B522" s="21" t="s">
        <v>2439</v>
      </c>
      <c r="C522" s="21" t="s">
        <v>2440</v>
      </c>
      <c r="D522" s="21" t="s">
        <v>2441</v>
      </c>
      <c r="E522" s="21" t="s">
        <v>2021</v>
      </c>
      <c r="F522" s="21" t="s">
        <v>1441</v>
      </c>
      <c r="G522" s="21" t="s">
        <v>1940</v>
      </c>
      <c r="H522" s="30"/>
      <c r="I522" s="14"/>
    </row>
    <row r="523">
      <c r="A523" s="16" t="s">
        <v>1174</v>
      </c>
      <c r="B523" s="17" t="s">
        <v>2442</v>
      </c>
      <c r="C523" s="18"/>
      <c r="D523" s="18"/>
      <c r="E523" s="18"/>
      <c r="F523" s="18"/>
      <c r="G523" s="18"/>
      <c r="H523" s="18"/>
      <c r="I523" s="16"/>
    </row>
    <row r="524" ht="60.0" customHeight="1">
      <c r="A524" s="20" t="s">
        <v>1176</v>
      </c>
      <c r="B524" s="21" t="str">
        <f t="array" ref="B524">iferror(VLOOKUP(INDIRECT(ADDRESS(ROW()+1,COLUMN(), 4)),Dex!$A$2:$C954,3,false),"")</f>
        <v/>
      </c>
      <c r="C524" s="21" t="str">
        <f t="array" ref="C524">iferror(VLOOKUP(INDIRECT(ADDRESS(ROW()+1,COLUMN(), 4)),Dex!$A$2:$C954,3,false),"")</f>
        <v/>
      </c>
      <c r="D524" s="21" t="str">
        <f t="array" ref="D524">iferror(VLOOKUP(INDIRECT(ADDRESS(ROW()+1,COLUMN(), 4)),Dex!$A$2:$C954,3,false),"")</f>
        <v/>
      </c>
      <c r="E524" s="21" t="str">
        <f t="array" ref="E524">iferror(VLOOKUP(INDIRECT(ADDRESS(ROW()+1,COLUMN(), 4)),Dex!$A$2:$C954,3,false),"")</f>
        <v/>
      </c>
      <c r="F524" s="21" t="str">
        <f t="array" ref="F524">iferror(VLOOKUP(INDIRECT(ADDRESS(ROW()+1,COLUMN(), 4)),Dex!$A$2:$C954,3,false),"")</f>
        <v/>
      </c>
      <c r="G524" s="21" t="s">
        <v>1177</v>
      </c>
      <c r="H524" s="22" t="str">
        <f t="array" ref="H524">iferror(VLOOKUP("TRAINER_PIC_MAGMA_GRUNT_M",Sprites!$A$1:$B954,2,false),"")</f>
        <v/>
      </c>
      <c r="I524" s="23"/>
    </row>
    <row r="525">
      <c r="A525" s="24"/>
      <c r="B525" s="25" t="s">
        <v>590</v>
      </c>
      <c r="C525" s="25" t="s">
        <v>689</v>
      </c>
      <c r="D525" s="25" t="s">
        <v>120</v>
      </c>
      <c r="E525" s="25" t="s">
        <v>152</v>
      </c>
      <c r="F525" s="25" t="s">
        <v>996</v>
      </c>
      <c r="G525" s="25" t="s">
        <v>1177</v>
      </c>
      <c r="H525" s="26"/>
    </row>
    <row r="526">
      <c r="A526" s="16" t="s">
        <v>1178</v>
      </c>
      <c r="B526" s="27" t="s">
        <v>2410</v>
      </c>
      <c r="C526" s="27" t="s">
        <v>2410</v>
      </c>
      <c r="D526" s="27" t="s">
        <v>2398</v>
      </c>
      <c r="E526" s="27" t="s">
        <v>2410</v>
      </c>
      <c r="F526" s="27" t="s">
        <v>2420</v>
      </c>
      <c r="G526" s="21" t="s">
        <v>1177</v>
      </c>
      <c r="H526" s="26"/>
    </row>
    <row r="527">
      <c r="A527" s="16" t="s">
        <v>1181</v>
      </c>
      <c r="B527" s="28" t="s">
        <v>1571</v>
      </c>
      <c r="C527" s="28" t="s">
        <v>1582</v>
      </c>
      <c r="D527" s="28" t="s">
        <v>1796</v>
      </c>
      <c r="E527" s="28" t="s">
        <v>1582</v>
      </c>
      <c r="F527" s="28" t="s">
        <v>1838</v>
      </c>
      <c r="G527" s="28" t="s">
        <v>1177</v>
      </c>
      <c r="H527" s="26"/>
    </row>
    <row r="528">
      <c r="A528" s="16" t="s">
        <v>1182</v>
      </c>
      <c r="B528" s="21" t="s">
        <v>1797</v>
      </c>
      <c r="C528" s="21" t="s">
        <v>1462</v>
      </c>
      <c r="D528" s="21" t="s">
        <v>1667</v>
      </c>
      <c r="E528" s="21" t="s">
        <v>1357</v>
      </c>
      <c r="F528" s="21" t="s">
        <v>1964</v>
      </c>
      <c r="G528" s="21" t="s">
        <v>1177</v>
      </c>
      <c r="H528" s="26"/>
    </row>
    <row r="529">
      <c r="A529" s="16" t="s">
        <v>1186</v>
      </c>
      <c r="B529" s="28" t="s">
        <v>1284</v>
      </c>
      <c r="C529" s="28" t="s">
        <v>1383</v>
      </c>
      <c r="D529" s="28" t="s">
        <v>1256</v>
      </c>
      <c r="E529" s="28" t="s">
        <v>1269</v>
      </c>
      <c r="F529" s="28" t="s">
        <v>1234</v>
      </c>
      <c r="G529" s="28" t="s">
        <v>1177</v>
      </c>
      <c r="H529" s="26"/>
    </row>
    <row r="530">
      <c r="A530" s="20" t="s">
        <v>1188</v>
      </c>
      <c r="B530" s="21" t="s">
        <v>1605</v>
      </c>
      <c r="C530" s="21" t="s">
        <v>1677</v>
      </c>
      <c r="D530" s="21" t="s">
        <v>1731</v>
      </c>
      <c r="E530" s="21" t="s">
        <v>1724</v>
      </c>
      <c r="F530" s="21" t="s">
        <v>2443</v>
      </c>
      <c r="G530" s="21" t="s">
        <v>1177</v>
      </c>
      <c r="H530" s="26"/>
    </row>
    <row r="531">
      <c r="A531" s="29"/>
      <c r="B531" s="21" t="s">
        <v>1619</v>
      </c>
      <c r="C531" s="21" t="s">
        <v>1793</v>
      </c>
      <c r="D531" s="21" t="s">
        <v>1740</v>
      </c>
      <c r="E531" s="21" t="s">
        <v>1830</v>
      </c>
      <c r="F531" s="21" t="s">
        <v>1285</v>
      </c>
      <c r="G531" s="21" t="s">
        <v>1177</v>
      </c>
      <c r="H531" s="26"/>
    </row>
    <row r="532">
      <c r="A532" s="29"/>
      <c r="B532" s="21" t="s">
        <v>1740</v>
      </c>
      <c r="C532" s="21" t="s">
        <v>2198</v>
      </c>
      <c r="D532" s="21" t="s">
        <v>1652</v>
      </c>
      <c r="E532" s="21" t="s">
        <v>1732</v>
      </c>
      <c r="F532" s="21" t="s">
        <v>2444</v>
      </c>
      <c r="G532" s="21" t="s">
        <v>1177</v>
      </c>
      <c r="H532" s="26"/>
    </row>
    <row r="533">
      <c r="A533" s="24"/>
      <c r="B533" s="21" t="s">
        <v>1739</v>
      </c>
      <c r="C533" s="21" t="s">
        <v>1705</v>
      </c>
      <c r="D533" s="21" t="s">
        <v>1698</v>
      </c>
      <c r="E533" s="21" t="s">
        <v>1194</v>
      </c>
      <c r="F533" s="21" t="s">
        <v>1598</v>
      </c>
      <c r="G533" s="21" t="s">
        <v>1177</v>
      </c>
      <c r="H533" s="30"/>
      <c r="I533" s="14"/>
    </row>
    <row r="534">
      <c r="A534" s="16" t="s">
        <v>1174</v>
      </c>
      <c r="B534" s="17" t="s">
        <v>2445</v>
      </c>
      <c r="C534" s="18"/>
      <c r="D534" s="18"/>
      <c r="E534" s="18"/>
      <c r="F534" s="18"/>
      <c r="G534" s="18"/>
      <c r="H534" s="18"/>
      <c r="I534" s="16"/>
    </row>
    <row r="535" ht="60.0" customHeight="1">
      <c r="A535" s="20" t="s">
        <v>1176</v>
      </c>
      <c r="B535" s="21" t="str">
        <f t="array" ref="B535">iferror(VLOOKUP(INDIRECT(ADDRESS(ROW()+1,COLUMN(), 4)),Dex!$A$2:$C954,3,false),"")</f>
        <v/>
      </c>
      <c r="C535" s="21" t="str">
        <f t="array" ref="C535">iferror(VLOOKUP(INDIRECT(ADDRESS(ROW()+1,COLUMN(), 4)),Dex!$A$2:$C954,3,false),"")</f>
        <v/>
      </c>
      <c r="D535" s="21" t="str">
        <f t="array" ref="D535">iferror(VLOOKUP(INDIRECT(ADDRESS(ROW()+1,COLUMN(), 4)),Dex!$A$2:$C954,3,false),"")</f>
        <v/>
      </c>
      <c r="E535" s="21" t="str">
        <f t="array" ref="E535">iferror(VLOOKUP(INDIRECT(ADDRESS(ROW()+1,COLUMN(), 4)),Dex!$A$2:$C954,3,false),"")</f>
        <v/>
      </c>
      <c r="F535" s="21" t="s">
        <v>1177</v>
      </c>
      <c r="G535" s="21" t="s">
        <v>1177</v>
      </c>
      <c r="H535" s="22" t="str">
        <f t="array" ref="H535">iferror(VLOOKUP("TRAINER_PIC_MAGMA_GRUNT_M",Sprites!$A$1:$B954,2,false),"")</f>
        <v/>
      </c>
      <c r="I535" s="23"/>
    </row>
    <row r="536">
      <c r="A536" s="24"/>
      <c r="B536" s="25" t="s">
        <v>970</v>
      </c>
      <c r="C536" s="25" t="s">
        <v>730</v>
      </c>
      <c r="D536" s="25" t="s">
        <v>431</v>
      </c>
      <c r="E536" s="25" t="s">
        <v>553</v>
      </c>
      <c r="F536" s="25" t="s">
        <v>1177</v>
      </c>
      <c r="G536" s="25" t="s">
        <v>1177</v>
      </c>
      <c r="H536" s="26"/>
    </row>
    <row r="537">
      <c r="A537" s="16" t="s">
        <v>1178</v>
      </c>
      <c r="B537" s="27" t="s">
        <v>2420</v>
      </c>
      <c r="C537" s="27" t="s">
        <v>2410</v>
      </c>
      <c r="D537" s="27" t="s">
        <v>2398</v>
      </c>
      <c r="E537" s="27" t="s">
        <v>2398</v>
      </c>
      <c r="F537" s="21" t="s">
        <v>1177</v>
      </c>
      <c r="G537" s="21" t="s">
        <v>1177</v>
      </c>
      <c r="H537" s="26"/>
    </row>
    <row r="538">
      <c r="A538" s="16" t="s">
        <v>1181</v>
      </c>
      <c r="B538" s="28" t="s">
        <v>2446</v>
      </c>
      <c r="C538" s="28" t="s">
        <v>1247</v>
      </c>
      <c r="D538" s="28" t="s">
        <v>1582</v>
      </c>
      <c r="E538" s="28" t="s">
        <v>1582</v>
      </c>
      <c r="F538" s="28" t="s">
        <v>1177</v>
      </c>
      <c r="G538" s="28" t="s">
        <v>1177</v>
      </c>
      <c r="H538" s="26"/>
    </row>
    <row r="539">
      <c r="A539" s="16" t="s">
        <v>1182</v>
      </c>
      <c r="B539" s="21" t="s">
        <v>2381</v>
      </c>
      <c r="C539" s="21" t="s">
        <v>1906</v>
      </c>
      <c r="D539" s="21" t="s">
        <v>1368</v>
      </c>
      <c r="E539" s="21" t="s">
        <v>2103</v>
      </c>
      <c r="F539" s="21" t="s">
        <v>1177</v>
      </c>
      <c r="G539" s="21" t="s">
        <v>1177</v>
      </c>
      <c r="H539" s="26"/>
    </row>
    <row r="540">
      <c r="A540" s="16" t="s">
        <v>1186</v>
      </c>
      <c r="B540" s="28" t="s">
        <v>1269</v>
      </c>
      <c r="C540" s="28" t="s">
        <v>1284</v>
      </c>
      <c r="D540" s="28" t="s">
        <v>1235</v>
      </c>
      <c r="E540" s="28" t="s">
        <v>1249</v>
      </c>
      <c r="F540" s="28" t="s">
        <v>1177</v>
      </c>
      <c r="G540" s="28" t="s">
        <v>1177</v>
      </c>
      <c r="H540" s="26"/>
    </row>
    <row r="541">
      <c r="A541" s="20" t="s">
        <v>1188</v>
      </c>
      <c r="B541" s="21" t="s">
        <v>2382</v>
      </c>
      <c r="C541" s="21" t="s">
        <v>1908</v>
      </c>
      <c r="D541" s="21" t="s">
        <v>1677</v>
      </c>
      <c r="E541" s="21" t="s">
        <v>1373</v>
      </c>
      <c r="F541" s="21" t="s">
        <v>1177</v>
      </c>
      <c r="G541" s="21" t="s">
        <v>1177</v>
      </c>
      <c r="H541" s="26"/>
    </row>
    <row r="542">
      <c r="A542" s="29"/>
      <c r="B542" s="21" t="s">
        <v>1830</v>
      </c>
      <c r="C542" s="21" t="s">
        <v>2104</v>
      </c>
      <c r="D542" s="21" t="s">
        <v>1919</v>
      </c>
      <c r="E542" s="21" t="s">
        <v>1890</v>
      </c>
      <c r="F542" s="21" t="s">
        <v>1177</v>
      </c>
      <c r="G542" s="21" t="s">
        <v>1177</v>
      </c>
      <c r="H542" s="26"/>
    </row>
    <row r="543">
      <c r="A543" s="29"/>
      <c r="B543" s="21" t="s">
        <v>1724</v>
      </c>
      <c r="C543" s="21" t="s">
        <v>1652</v>
      </c>
      <c r="D543" s="21" t="s">
        <v>1320</v>
      </c>
      <c r="E543" s="21" t="s">
        <v>1830</v>
      </c>
      <c r="F543" s="21" t="s">
        <v>1177</v>
      </c>
      <c r="G543" s="21" t="s">
        <v>1177</v>
      </c>
      <c r="H543" s="26"/>
    </row>
    <row r="544">
      <c r="A544" s="24"/>
      <c r="B544" s="21" t="s">
        <v>2447</v>
      </c>
      <c r="C544" s="21" t="s">
        <v>1771</v>
      </c>
      <c r="D544" s="21" t="s">
        <v>1915</v>
      </c>
      <c r="E544" s="21" t="s">
        <v>2104</v>
      </c>
      <c r="F544" s="21" t="s">
        <v>1177</v>
      </c>
      <c r="G544" s="21" t="s">
        <v>1177</v>
      </c>
      <c r="H544" s="30"/>
      <c r="I544" s="14"/>
    </row>
    <row r="545">
      <c r="A545" s="16" t="s">
        <v>1174</v>
      </c>
      <c r="B545" s="17" t="s">
        <v>2448</v>
      </c>
      <c r="C545" s="18"/>
      <c r="D545" s="18"/>
      <c r="E545" s="18"/>
      <c r="F545" s="18"/>
      <c r="G545" s="18"/>
      <c r="H545" s="18"/>
      <c r="I545" s="16"/>
    </row>
    <row r="546" ht="60.0" customHeight="1">
      <c r="A546" s="20" t="s">
        <v>1176</v>
      </c>
      <c r="B546" s="21" t="str">
        <f t="array" ref="B546">iferror(VLOOKUP(INDIRECT(ADDRESS(ROW()+1,COLUMN(), 4)),Dex!$A$2:$C954,3,false),"")</f>
        <v/>
      </c>
      <c r="C546" s="21" t="str">
        <f t="array" ref="C546">iferror(VLOOKUP(INDIRECT(ADDRESS(ROW()+1,COLUMN(), 4)),Dex!$A$2:$C954,3,false),"")</f>
        <v/>
      </c>
      <c r="D546" s="21" t="str">
        <f t="array" ref="D546">iferror(VLOOKUP(INDIRECT(ADDRESS(ROW()+1,COLUMN(), 4)),Dex!$A$2:$C954,3,false),"")</f>
        <v/>
      </c>
      <c r="E546" s="21" t="str">
        <f t="array" ref="E546">iferror(VLOOKUP(INDIRECT(ADDRESS(ROW()+1,COLUMN(), 4)),Dex!$A$2:$C954,3,false),"")</f>
        <v/>
      </c>
      <c r="F546" s="21" t="s">
        <v>1177</v>
      </c>
      <c r="G546" s="21" t="s">
        <v>1177</v>
      </c>
      <c r="H546" s="22" t="str">
        <f t="array" ref="H546">iferror(VLOOKUP("TRAINER_PIC_MAGMA_GRUNT_M",Sprites!$A$1:$B954,2,false),"")</f>
        <v/>
      </c>
      <c r="I546" s="23"/>
    </row>
    <row r="547">
      <c r="A547" s="24"/>
      <c r="B547" s="25" t="s">
        <v>165</v>
      </c>
      <c r="C547" s="25" t="s">
        <v>136</v>
      </c>
      <c r="D547" s="25" t="s">
        <v>1044</v>
      </c>
      <c r="E547" s="25" t="s">
        <v>995</v>
      </c>
      <c r="F547" s="25" t="s">
        <v>1177</v>
      </c>
      <c r="G547" s="25" t="s">
        <v>1177</v>
      </c>
      <c r="H547" s="26"/>
    </row>
    <row r="548">
      <c r="A548" s="16" t="s">
        <v>1178</v>
      </c>
      <c r="B548" s="27" t="s">
        <v>2421</v>
      </c>
      <c r="C548" s="27" t="s">
        <v>2421</v>
      </c>
      <c r="D548" s="27" t="s">
        <v>2420</v>
      </c>
      <c r="E548" s="27" t="s">
        <v>2410</v>
      </c>
      <c r="F548" s="21" t="s">
        <v>1177</v>
      </c>
      <c r="G548" s="21" t="s">
        <v>1177</v>
      </c>
      <c r="H548" s="26"/>
    </row>
    <row r="549">
      <c r="A549" s="16" t="s">
        <v>1181</v>
      </c>
      <c r="B549" s="28" t="s">
        <v>1745</v>
      </c>
      <c r="C549" s="28" t="s">
        <v>1702</v>
      </c>
      <c r="D549" s="28" t="s">
        <v>2449</v>
      </c>
      <c r="E549" s="28" t="s">
        <v>1796</v>
      </c>
      <c r="F549" s="28" t="s">
        <v>1177</v>
      </c>
      <c r="G549" s="28" t="s">
        <v>1177</v>
      </c>
      <c r="H549" s="26"/>
    </row>
    <row r="550">
      <c r="A550" s="16" t="s">
        <v>1182</v>
      </c>
      <c r="B550" s="21" t="s">
        <v>2450</v>
      </c>
      <c r="C550" s="21" t="s">
        <v>1267</v>
      </c>
      <c r="D550" s="21" t="s">
        <v>2172</v>
      </c>
      <c r="E550" s="21" t="s">
        <v>2109</v>
      </c>
      <c r="F550" s="21" t="s">
        <v>1177</v>
      </c>
      <c r="G550" s="21" t="s">
        <v>1177</v>
      </c>
      <c r="H550" s="26"/>
    </row>
    <row r="551">
      <c r="A551" s="16" t="s">
        <v>1186</v>
      </c>
      <c r="B551" s="28" t="s">
        <v>1284</v>
      </c>
      <c r="C551" s="28" t="s">
        <v>1248</v>
      </c>
      <c r="D551" s="28" t="s">
        <v>1235</v>
      </c>
      <c r="E551" s="28" t="s">
        <v>1256</v>
      </c>
      <c r="F551" s="28" t="s">
        <v>1177</v>
      </c>
      <c r="G551" s="28" t="s">
        <v>1177</v>
      </c>
      <c r="H551" s="26"/>
    </row>
    <row r="552">
      <c r="A552" s="20" t="s">
        <v>1188</v>
      </c>
      <c r="B552" s="21" t="s">
        <v>2451</v>
      </c>
      <c r="C552" s="21" t="s">
        <v>1814</v>
      </c>
      <c r="D552" s="21" t="s">
        <v>2173</v>
      </c>
      <c r="E552" s="21" t="s">
        <v>1778</v>
      </c>
      <c r="F552" s="21" t="s">
        <v>1177</v>
      </c>
      <c r="G552" s="21" t="s">
        <v>1177</v>
      </c>
      <c r="H552" s="26"/>
    </row>
    <row r="553">
      <c r="A553" s="29"/>
      <c r="B553" s="21" t="s">
        <v>2198</v>
      </c>
      <c r="C553" s="21" t="s">
        <v>1307</v>
      </c>
      <c r="D553" s="21" t="s">
        <v>1238</v>
      </c>
      <c r="E553" s="21" t="s">
        <v>1740</v>
      </c>
      <c r="F553" s="21" t="s">
        <v>1177</v>
      </c>
      <c r="G553" s="21" t="s">
        <v>1177</v>
      </c>
      <c r="H553" s="26"/>
    </row>
    <row r="554">
      <c r="A554" s="29"/>
      <c r="B554" s="21" t="s">
        <v>2058</v>
      </c>
      <c r="C554" s="21" t="s">
        <v>1336</v>
      </c>
      <c r="D554" s="21" t="s">
        <v>1759</v>
      </c>
      <c r="E554" s="21" t="s">
        <v>1731</v>
      </c>
      <c r="F554" s="21" t="s">
        <v>1177</v>
      </c>
      <c r="G554" s="21" t="s">
        <v>1177</v>
      </c>
      <c r="H554" s="26"/>
    </row>
    <row r="555">
      <c r="A555" s="24"/>
      <c r="B555" s="21" t="s">
        <v>2104</v>
      </c>
      <c r="C555" s="21" t="s">
        <v>1830</v>
      </c>
      <c r="D555" s="21" t="s">
        <v>1410</v>
      </c>
      <c r="E555" s="21" t="s">
        <v>1698</v>
      </c>
      <c r="F555" s="21" t="s">
        <v>1177</v>
      </c>
      <c r="G555" s="21" t="s">
        <v>1177</v>
      </c>
      <c r="H555" s="30"/>
      <c r="I555" s="14"/>
    </row>
    <row r="556">
      <c r="A556" s="16" t="s">
        <v>1174</v>
      </c>
      <c r="B556" s="17" t="s">
        <v>2452</v>
      </c>
      <c r="C556" s="18"/>
      <c r="D556" s="18"/>
      <c r="E556" s="18"/>
      <c r="F556" s="18"/>
      <c r="G556" s="18"/>
      <c r="H556" s="18"/>
      <c r="I556" s="16"/>
    </row>
    <row r="557" ht="60.0" customHeight="1">
      <c r="A557" s="20" t="s">
        <v>1176</v>
      </c>
      <c r="B557" s="21" t="str">
        <f t="array" ref="B557">iferror(VLOOKUP(INDIRECT(ADDRESS(ROW()+1,COLUMN(), 4)),Dex!$A$2:$C954,3,false),"")</f>
        <v/>
      </c>
      <c r="C557" s="21" t="str">
        <f t="array" ref="C557">iferror(VLOOKUP(INDIRECT(ADDRESS(ROW()+1,COLUMN(), 4)),Dex!$A$2:$C954,3,false),"")</f>
        <v/>
      </c>
      <c r="D557" s="21" t="str">
        <f t="array" ref="D557">iferror(VLOOKUP(INDIRECT(ADDRESS(ROW()+1,COLUMN(), 4)),Dex!$A$2:$C954,3,false),"")</f>
        <v/>
      </c>
      <c r="E557" s="21" t="str">
        <f t="array" ref="E557">iferror(VLOOKUP(INDIRECT(ADDRESS(ROW()+1,COLUMN(), 4)),Dex!$A$2:$C954,3,false),"")</f>
        <v/>
      </c>
      <c r="F557" s="21" t="str">
        <f t="array" ref="F557">iferror(VLOOKUP(INDIRECT(ADDRESS(ROW()+1,COLUMN(), 4)),Dex!$A$2:$C954,3,false),"")</f>
        <v/>
      </c>
      <c r="G557" s="21" t="s">
        <v>1177</v>
      </c>
      <c r="H557" s="22" t="str">
        <f t="array" ref="H557">iferror(VLOOKUP("TRAINER_PIC_MAGMA_GRUNT_F",Sprites!$A$1:$B954,2,false),"")</f>
        <v/>
      </c>
      <c r="I557" s="23"/>
    </row>
    <row r="558">
      <c r="A558" s="24"/>
      <c r="B558" s="25" t="s">
        <v>1111</v>
      </c>
      <c r="C558" s="25" t="s">
        <v>278</v>
      </c>
      <c r="D558" s="25" t="s">
        <v>768</v>
      </c>
      <c r="E558" s="25" t="s">
        <v>433</v>
      </c>
      <c r="F558" s="25" t="s">
        <v>385</v>
      </c>
      <c r="G558" s="25" t="s">
        <v>1177</v>
      </c>
      <c r="H558" s="26"/>
    </row>
    <row r="559">
      <c r="A559" s="16" t="s">
        <v>1178</v>
      </c>
      <c r="B559" s="27" t="s">
        <v>2410</v>
      </c>
      <c r="C559" s="27" t="s">
        <v>2420</v>
      </c>
      <c r="D559" s="27" t="s">
        <v>2410</v>
      </c>
      <c r="E559" s="27" t="s">
        <v>2410</v>
      </c>
      <c r="F559" s="27" t="s">
        <v>2420</v>
      </c>
      <c r="G559" s="21" t="s">
        <v>1177</v>
      </c>
      <c r="H559" s="26"/>
    </row>
    <row r="560">
      <c r="A560" s="16" t="s">
        <v>1181</v>
      </c>
      <c r="B560" s="28" t="s">
        <v>1582</v>
      </c>
      <c r="C560" s="28" t="s">
        <v>1346</v>
      </c>
      <c r="D560" s="28" t="s">
        <v>1295</v>
      </c>
      <c r="E560" s="28" t="s">
        <v>1796</v>
      </c>
      <c r="F560" s="28" t="s">
        <v>2300</v>
      </c>
      <c r="G560" s="28" t="s">
        <v>1177</v>
      </c>
      <c r="H560" s="26"/>
    </row>
    <row r="561">
      <c r="A561" s="16" t="s">
        <v>1182</v>
      </c>
      <c r="B561" s="21" t="s">
        <v>2399</v>
      </c>
      <c r="C561" s="21" t="s">
        <v>1667</v>
      </c>
      <c r="D561" s="21" t="s">
        <v>1730</v>
      </c>
      <c r="E561" s="21" t="s">
        <v>1462</v>
      </c>
      <c r="F561" s="21" t="s">
        <v>1233</v>
      </c>
      <c r="G561" s="21" t="s">
        <v>1177</v>
      </c>
      <c r="H561" s="26"/>
    </row>
    <row r="562">
      <c r="A562" s="16" t="s">
        <v>1186</v>
      </c>
      <c r="B562" s="28" t="s">
        <v>1248</v>
      </c>
      <c r="C562" s="28" t="s">
        <v>1257</v>
      </c>
      <c r="D562" s="28" t="s">
        <v>1284</v>
      </c>
      <c r="E562" s="28" t="s">
        <v>1754</v>
      </c>
      <c r="F562" s="28" t="s">
        <v>1248</v>
      </c>
      <c r="G562" s="28" t="s">
        <v>1177</v>
      </c>
      <c r="H562" s="26"/>
    </row>
    <row r="563">
      <c r="A563" s="20" t="s">
        <v>1188</v>
      </c>
      <c r="B563" s="21" t="s">
        <v>1677</v>
      </c>
      <c r="C563" s="21" t="s">
        <v>1350</v>
      </c>
      <c r="D563" s="21" t="s">
        <v>1740</v>
      </c>
      <c r="E563" s="21" t="s">
        <v>1890</v>
      </c>
      <c r="F563" s="21" t="s">
        <v>1415</v>
      </c>
      <c r="G563" s="21" t="s">
        <v>1177</v>
      </c>
      <c r="H563" s="26"/>
    </row>
    <row r="564">
      <c r="A564" s="29"/>
      <c r="B564" s="21" t="s">
        <v>1678</v>
      </c>
      <c r="C564" s="21" t="s">
        <v>2104</v>
      </c>
      <c r="D564" s="21" t="s">
        <v>1395</v>
      </c>
      <c r="E564" s="21" t="s">
        <v>1630</v>
      </c>
      <c r="F564" s="21" t="s">
        <v>1575</v>
      </c>
      <c r="G564" s="21" t="s">
        <v>1177</v>
      </c>
      <c r="H564" s="26"/>
    </row>
    <row r="565">
      <c r="A565" s="29"/>
      <c r="B565" s="21" t="s">
        <v>1705</v>
      </c>
      <c r="C565" s="21" t="s">
        <v>1652</v>
      </c>
      <c r="D565" s="21" t="s">
        <v>1959</v>
      </c>
      <c r="E565" s="21" t="s">
        <v>1423</v>
      </c>
      <c r="F565" s="21" t="s">
        <v>1389</v>
      </c>
      <c r="G565" s="21" t="s">
        <v>1177</v>
      </c>
      <c r="H565" s="26"/>
    </row>
    <row r="566">
      <c r="A566" s="24"/>
      <c r="B566" s="21" t="s">
        <v>1854</v>
      </c>
      <c r="C566" s="21" t="s">
        <v>1389</v>
      </c>
      <c r="D566" s="21" t="s">
        <v>1590</v>
      </c>
      <c r="E566" s="21" t="s">
        <v>2438</v>
      </c>
      <c r="F566" s="21" t="s">
        <v>1641</v>
      </c>
      <c r="G566" s="21" t="s">
        <v>1177</v>
      </c>
      <c r="H566" s="30"/>
      <c r="I566" s="14"/>
    </row>
    <row r="567">
      <c r="A567" s="16" t="s">
        <v>1174</v>
      </c>
      <c r="B567" s="17" t="s">
        <v>2453</v>
      </c>
      <c r="C567" s="18"/>
      <c r="D567" s="18"/>
      <c r="E567" s="18"/>
      <c r="F567" s="18"/>
      <c r="G567" s="18"/>
      <c r="H567" s="18"/>
      <c r="I567" s="19"/>
    </row>
    <row r="568" ht="60.0" customHeight="1">
      <c r="A568" s="20" t="s">
        <v>1176</v>
      </c>
      <c r="B568" s="21" t="str">
        <f t="array" ref="B568">iferror(VLOOKUP(INDIRECT(ADDRESS(ROW()+1,COLUMN(), 4)),Dex!$A$2:$C954,3,false),"")</f>
        <v/>
      </c>
      <c r="C568" s="21" t="str">
        <f t="array" ref="C568">iferror(VLOOKUP(INDIRECT(ADDRESS(ROW()+1,COLUMN(), 4)),Dex!$A$2:$C954,3,false),"")</f>
        <v/>
      </c>
      <c r="D568" s="21" t="str">
        <f t="array" ref="D568">iferror(VLOOKUP(INDIRECT(ADDRESS(ROW()+1,COLUMN(), 4)),Dex!$A$2:$C954,3,false),"")</f>
        <v/>
      </c>
      <c r="E568" s="21" t="str">
        <f t="array" ref="E568">iferror(VLOOKUP(INDIRECT(ADDRESS(ROW()+1,COLUMN(), 4)),Dex!$A$2:$C954,3,false),"")</f>
        <v/>
      </c>
      <c r="F568" s="21" t="s">
        <v>1177</v>
      </c>
      <c r="G568" s="21" t="s">
        <v>1177</v>
      </c>
      <c r="H568" s="22" t="str">
        <f t="array" ref="H568">iferror(VLOOKUP("TRAINER_PIC_MAGMA_GRUNT_M",Sprites!$A$1:$B954,2,false),"")</f>
        <v/>
      </c>
      <c r="I568" s="23"/>
    </row>
    <row r="569">
      <c r="A569" s="24"/>
      <c r="B569" s="25" t="s">
        <v>170</v>
      </c>
      <c r="C569" s="25" t="s">
        <v>1090</v>
      </c>
      <c r="D569" s="25" t="s">
        <v>245</v>
      </c>
      <c r="E569" s="25" t="s">
        <v>943</v>
      </c>
      <c r="F569" s="25" t="s">
        <v>1177</v>
      </c>
      <c r="G569" s="25" t="s">
        <v>1177</v>
      </c>
      <c r="H569" s="26"/>
    </row>
    <row r="570">
      <c r="A570" s="16" t="s">
        <v>1178</v>
      </c>
      <c r="B570" s="27" t="s">
        <v>2410</v>
      </c>
      <c r="C570" s="27" t="s">
        <v>2410</v>
      </c>
      <c r="D570" s="27" t="s">
        <v>2410</v>
      </c>
      <c r="E570" s="27" t="s">
        <v>2420</v>
      </c>
      <c r="F570" s="21" t="s">
        <v>1177</v>
      </c>
      <c r="G570" s="21" t="s">
        <v>1177</v>
      </c>
      <c r="H570" s="26"/>
    </row>
    <row r="571">
      <c r="A571" s="16" t="s">
        <v>1181</v>
      </c>
      <c r="B571" s="28" t="s">
        <v>1345</v>
      </c>
      <c r="C571" s="28" t="s">
        <v>1295</v>
      </c>
      <c r="D571" s="28" t="s">
        <v>1341</v>
      </c>
      <c r="E571" s="28" t="s">
        <v>1346</v>
      </c>
      <c r="F571" s="28" t="s">
        <v>1177</v>
      </c>
      <c r="G571" s="28" t="s">
        <v>1177</v>
      </c>
      <c r="H571" s="26"/>
    </row>
    <row r="572">
      <c r="A572" s="16" t="s">
        <v>1182</v>
      </c>
      <c r="B572" s="21" t="s">
        <v>1907</v>
      </c>
      <c r="C572" s="21" t="s">
        <v>1318</v>
      </c>
      <c r="D572" s="21" t="s">
        <v>1356</v>
      </c>
      <c r="E572" s="21" t="s">
        <v>1392</v>
      </c>
      <c r="F572" s="21" t="s">
        <v>1177</v>
      </c>
      <c r="G572" s="21" t="s">
        <v>1177</v>
      </c>
      <c r="H572" s="26"/>
    </row>
    <row r="573">
      <c r="A573" s="16" t="s">
        <v>1186</v>
      </c>
      <c r="B573" s="28" t="s">
        <v>1235</v>
      </c>
      <c r="C573" s="28" t="s">
        <v>1406</v>
      </c>
      <c r="D573" s="28" t="s">
        <v>1284</v>
      </c>
      <c r="E573" s="28" t="s">
        <v>1234</v>
      </c>
      <c r="F573" s="28" t="s">
        <v>1177</v>
      </c>
      <c r="G573" s="28" t="s">
        <v>1177</v>
      </c>
      <c r="H573" s="26"/>
    </row>
    <row r="574">
      <c r="A574" s="20" t="s">
        <v>1188</v>
      </c>
      <c r="B574" s="21" t="s">
        <v>1738</v>
      </c>
      <c r="C574" s="21" t="s">
        <v>1827</v>
      </c>
      <c r="D574" s="21" t="s">
        <v>1822</v>
      </c>
      <c r="E574" s="21" t="s">
        <v>1760</v>
      </c>
      <c r="F574" s="21" t="s">
        <v>1177</v>
      </c>
      <c r="G574" s="21" t="s">
        <v>1177</v>
      </c>
      <c r="H574" s="26"/>
    </row>
    <row r="575">
      <c r="A575" s="29"/>
      <c r="B575" s="21" t="s">
        <v>1225</v>
      </c>
      <c r="C575" s="21" t="s">
        <v>1575</v>
      </c>
      <c r="D575" s="21" t="s">
        <v>1373</v>
      </c>
      <c r="E575" s="21" t="s">
        <v>1350</v>
      </c>
      <c r="F575" s="21" t="s">
        <v>1177</v>
      </c>
      <c r="G575" s="21" t="s">
        <v>1177</v>
      </c>
      <c r="H575" s="26"/>
    </row>
    <row r="576">
      <c r="A576" s="29"/>
      <c r="B576" s="21" t="s">
        <v>1759</v>
      </c>
      <c r="C576" s="21" t="s">
        <v>1818</v>
      </c>
      <c r="D576" s="21" t="s">
        <v>1629</v>
      </c>
      <c r="E576" s="21" t="s">
        <v>1362</v>
      </c>
      <c r="F576" s="21" t="s">
        <v>1177</v>
      </c>
      <c r="G576" s="21" t="s">
        <v>1177</v>
      </c>
      <c r="H576" s="26"/>
    </row>
    <row r="577">
      <c r="A577" s="24"/>
      <c r="B577" s="21" t="s">
        <v>1780</v>
      </c>
      <c r="C577" s="21" t="s">
        <v>1389</v>
      </c>
      <c r="D577" s="21" t="s">
        <v>1470</v>
      </c>
      <c r="E577" s="21" t="s">
        <v>1398</v>
      </c>
      <c r="F577" s="21" t="s">
        <v>1177</v>
      </c>
      <c r="G577" s="21" t="s">
        <v>1177</v>
      </c>
      <c r="H577" s="30"/>
      <c r="I577" s="14"/>
    </row>
    <row r="578">
      <c r="A578" s="16" t="s">
        <v>1174</v>
      </c>
      <c r="B578" s="17" t="s">
        <v>2454</v>
      </c>
      <c r="C578" s="18"/>
      <c r="D578" s="18"/>
      <c r="E578" s="18"/>
      <c r="F578" s="18"/>
      <c r="G578" s="18"/>
      <c r="H578" s="18"/>
      <c r="I578" s="16"/>
    </row>
    <row r="579" ht="60.0" customHeight="1">
      <c r="A579" s="20" t="s">
        <v>1176</v>
      </c>
      <c r="B579" s="21" t="str">
        <f t="array" ref="B579">iferror(VLOOKUP(INDIRECT(ADDRESS(ROW()+1,COLUMN(), 4)),Dex!$A$2:$C954,3,false),"")</f>
        <v/>
      </c>
      <c r="C579" s="21" t="str">
        <f t="array" ref="C579">iferror(VLOOKUP(INDIRECT(ADDRESS(ROW()+1,COLUMN(), 4)),Dex!$A$2:$C954,3,false),"")</f>
        <v/>
      </c>
      <c r="D579" s="21" t="str">
        <f t="array" ref="D579">iferror(VLOOKUP(INDIRECT(ADDRESS(ROW()+1,COLUMN(), 4)),Dex!$A$2:$C954,3,false),"")</f>
        <v/>
      </c>
      <c r="E579" s="21" t="str">
        <f t="array" ref="E579">iferror(VLOOKUP(INDIRECT(ADDRESS(ROW()+1,COLUMN(), 4)),Dex!$A$2:$C954,3,false),"")</f>
        <v/>
      </c>
      <c r="F579" s="21" t="str">
        <f t="array" ref="F579">iferror(VLOOKUP(INDIRECT(ADDRESS(ROW()+1,COLUMN(), 4)),Dex!$A$2:$C954,3,false),"")</f>
        <v/>
      </c>
      <c r="G579" s="21" t="s">
        <v>1177</v>
      </c>
      <c r="H579" s="22" t="str">
        <f t="array" ref="H579">iferror(VLOOKUP("TRAINER_PIC_MAGMA_GRUNT_M",Sprites!$A$1:$B954,2,false),"")</f>
        <v/>
      </c>
      <c r="I579" s="23"/>
    </row>
    <row r="580">
      <c r="A580" s="24"/>
      <c r="B580" s="25" t="s">
        <v>1102</v>
      </c>
      <c r="C580" s="25" t="s">
        <v>991</v>
      </c>
      <c r="D580" s="25" t="s">
        <v>585</v>
      </c>
      <c r="E580" s="25" t="s">
        <v>914</v>
      </c>
      <c r="F580" s="25" t="s">
        <v>266</v>
      </c>
      <c r="G580" s="25" t="s">
        <v>1177</v>
      </c>
      <c r="H580" s="26"/>
    </row>
    <row r="581">
      <c r="A581" s="16" t="s">
        <v>1178</v>
      </c>
      <c r="B581" s="27" t="s">
        <v>2420</v>
      </c>
      <c r="C581" s="27" t="s">
        <v>2420</v>
      </c>
      <c r="D581" s="27" t="s">
        <v>2410</v>
      </c>
      <c r="E581" s="27" t="s">
        <v>2410</v>
      </c>
      <c r="F581" s="27" t="s">
        <v>2410</v>
      </c>
      <c r="G581" s="21" t="s">
        <v>1177</v>
      </c>
      <c r="H581" s="26"/>
    </row>
    <row r="582">
      <c r="A582" s="16" t="s">
        <v>1181</v>
      </c>
      <c r="B582" s="28" t="s">
        <v>1633</v>
      </c>
      <c r="C582" s="28" t="s">
        <v>2354</v>
      </c>
      <c r="D582" s="28" t="s">
        <v>1796</v>
      </c>
      <c r="E582" s="28" t="s">
        <v>1838</v>
      </c>
      <c r="F582" s="28" t="s">
        <v>1295</v>
      </c>
      <c r="G582" s="28" t="s">
        <v>1177</v>
      </c>
      <c r="H582" s="26"/>
    </row>
    <row r="583">
      <c r="A583" s="16" t="s">
        <v>1182</v>
      </c>
      <c r="B583" s="21" t="s">
        <v>1636</v>
      </c>
      <c r="C583" s="21" t="s">
        <v>1231</v>
      </c>
      <c r="D583" s="21" t="s">
        <v>1223</v>
      </c>
      <c r="E583" s="21" t="s">
        <v>1298</v>
      </c>
      <c r="F583" s="21" t="s">
        <v>1884</v>
      </c>
      <c r="G583" s="21" t="s">
        <v>1177</v>
      </c>
      <c r="H583" s="26"/>
    </row>
    <row r="584">
      <c r="A584" s="16" t="s">
        <v>1186</v>
      </c>
      <c r="B584" s="28" t="s">
        <v>1248</v>
      </c>
      <c r="C584" s="28" t="s">
        <v>1256</v>
      </c>
      <c r="D584" s="28" t="s">
        <v>1248</v>
      </c>
      <c r="E584" s="28" t="s">
        <v>1235</v>
      </c>
      <c r="F584" s="28" t="s">
        <v>1284</v>
      </c>
      <c r="G584" s="28" t="s">
        <v>1177</v>
      </c>
      <c r="H584" s="26"/>
    </row>
    <row r="585">
      <c r="A585" s="20" t="s">
        <v>1188</v>
      </c>
      <c r="B585" s="21" t="s">
        <v>1372</v>
      </c>
      <c r="C585" s="21" t="s">
        <v>2268</v>
      </c>
      <c r="D585" s="21" t="s">
        <v>1830</v>
      </c>
      <c r="E585" s="21" t="s">
        <v>1887</v>
      </c>
      <c r="F585" s="21" t="s">
        <v>1619</v>
      </c>
      <c r="G585" s="21" t="s">
        <v>1177</v>
      </c>
      <c r="H585" s="26"/>
    </row>
    <row r="586">
      <c r="A586" s="29"/>
      <c r="B586" s="21" t="s">
        <v>2159</v>
      </c>
      <c r="C586" s="21" t="s">
        <v>1918</v>
      </c>
      <c r="D586" s="21" t="s">
        <v>1177</v>
      </c>
      <c r="E586" s="21" t="s">
        <v>1307</v>
      </c>
      <c r="F586" s="21" t="s">
        <v>1275</v>
      </c>
      <c r="G586" s="21" t="s">
        <v>1177</v>
      </c>
      <c r="H586" s="26"/>
    </row>
    <row r="587">
      <c r="A587" s="29"/>
      <c r="B587" s="21" t="s">
        <v>1225</v>
      </c>
      <c r="C587" s="21" t="s">
        <v>1697</v>
      </c>
      <c r="D587" s="21" t="s">
        <v>1177</v>
      </c>
      <c r="E587" s="21" t="s">
        <v>1677</v>
      </c>
      <c r="F587" s="21" t="s">
        <v>1441</v>
      </c>
      <c r="G587" s="21" t="s">
        <v>1177</v>
      </c>
      <c r="H587" s="26"/>
    </row>
    <row r="588">
      <c r="A588" s="24"/>
      <c r="B588" s="21" t="s">
        <v>1940</v>
      </c>
      <c r="C588" s="21" t="s">
        <v>1389</v>
      </c>
      <c r="D588" s="21" t="s">
        <v>1177</v>
      </c>
      <c r="E588" s="21" t="s">
        <v>1225</v>
      </c>
      <c r="F588" s="21" t="s">
        <v>1959</v>
      </c>
      <c r="G588" s="21" t="s">
        <v>1177</v>
      </c>
      <c r="H588" s="30"/>
      <c r="I588" s="14"/>
    </row>
    <row r="589">
      <c r="A589" s="16" t="s">
        <v>1174</v>
      </c>
      <c r="B589" s="17" t="s">
        <v>2455</v>
      </c>
      <c r="C589" s="18"/>
      <c r="D589" s="18"/>
      <c r="E589" s="18"/>
      <c r="F589" s="18"/>
      <c r="G589" s="18"/>
      <c r="H589" s="18"/>
      <c r="I589" s="16"/>
    </row>
    <row r="590" ht="60.0" customHeight="1">
      <c r="A590" s="20" t="s">
        <v>1176</v>
      </c>
      <c r="B590" s="21" t="str">
        <f t="array" ref="B590">iferror(VLOOKUP(INDIRECT(ADDRESS(ROW()+1,COLUMN(), 4)),Dex!$A$2:$C954,3,false),"")</f>
        <v/>
      </c>
      <c r="C590" s="21" t="str">
        <f t="array" ref="C590">iferror(VLOOKUP(INDIRECT(ADDRESS(ROW()+1,COLUMN(), 4)),Dex!$A$2:$C954,3,false),"")</f>
        <v/>
      </c>
      <c r="D590" s="21" t="str">
        <f t="array" ref="D590">iferror(VLOOKUP(INDIRECT(ADDRESS(ROW()+1,COLUMN(), 4)),Dex!$A$2:$C954,3,false),"")</f>
        <v/>
      </c>
      <c r="E590" s="21" t="str">
        <f t="array" ref="E590">iferror(VLOOKUP(INDIRECT(ADDRESS(ROW()+1,COLUMN(), 4)),Dex!$A$2:$C954,3,false),"")</f>
        <v/>
      </c>
      <c r="F590" s="21" t="str">
        <f t="array" ref="F590">iferror(VLOOKUP(INDIRECT(ADDRESS(ROW()+1,COLUMN(), 4)),Dex!$A$2:$C954,3,false),"")</f>
        <v/>
      </c>
      <c r="G590" s="21" t="s">
        <v>1177</v>
      </c>
      <c r="H590" s="22" t="str">
        <f t="array" ref="H590">iferror(VLOOKUP("TRAINER_PIC_MAGMA_GRUNT_M",Sprites!$A$1:$B954,2,false),"")</f>
        <v/>
      </c>
      <c r="I590" s="23"/>
    </row>
    <row r="591">
      <c r="A591" s="24"/>
      <c r="B591" s="25" t="s">
        <v>755</v>
      </c>
      <c r="C591" s="25" t="s">
        <v>589</v>
      </c>
      <c r="D591" s="25" t="s">
        <v>301</v>
      </c>
      <c r="E591" s="25" t="s">
        <v>40</v>
      </c>
      <c r="F591" s="25" t="s">
        <v>576</v>
      </c>
      <c r="G591" s="25" t="s">
        <v>1177</v>
      </c>
      <c r="H591" s="26"/>
    </row>
    <row r="592">
      <c r="A592" s="16" t="s">
        <v>1178</v>
      </c>
      <c r="B592" s="27" t="s">
        <v>2420</v>
      </c>
      <c r="C592" s="27" t="s">
        <v>2410</v>
      </c>
      <c r="D592" s="27" t="s">
        <v>2410</v>
      </c>
      <c r="E592" s="27" t="s">
        <v>2398</v>
      </c>
      <c r="F592" s="27" t="s">
        <v>2420</v>
      </c>
      <c r="G592" s="21" t="s">
        <v>1177</v>
      </c>
      <c r="H592" s="26"/>
    </row>
    <row r="593">
      <c r="A593" s="16" t="s">
        <v>1181</v>
      </c>
      <c r="B593" s="28" t="s">
        <v>1247</v>
      </c>
      <c r="C593" s="28" t="s">
        <v>1341</v>
      </c>
      <c r="D593" s="28" t="s">
        <v>1434</v>
      </c>
      <c r="E593" s="28" t="s">
        <v>1582</v>
      </c>
      <c r="F593" s="28" t="s">
        <v>1571</v>
      </c>
      <c r="G593" s="28" t="s">
        <v>1177</v>
      </c>
      <c r="H593" s="26"/>
    </row>
    <row r="594">
      <c r="A594" s="16" t="s">
        <v>1182</v>
      </c>
      <c r="B594" s="21" t="s">
        <v>1746</v>
      </c>
      <c r="C594" s="21" t="s">
        <v>1318</v>
      </c>
      <c r="D594" s="21" t="s">
        <v>1626</v>
      </c>
      <c r="E594" s="21" t="s">
        <v>1298</v>
      </c>
      <c r="F594" s="21" t="s">
        <v>1368</v>
      </c>
      <c r="G594" s="21" t="s">
        <v>1177</v>
      </c>
      <c r="H594" s="26"/>
    </row>
    <row r="595">
      <c r="A595" s="16" t="s">
        <v>1186</v>
      </c>
      <c r="B595" s="28" t="s">
        <v>1284</v>
      </c>
      <c r="C595" s="28" t="s">
        <v>1284</v>
      </c>
      <c r="D595" s="28" t="s">
        <v>1248</v>
      </c>
      <c r="E595" s="28" t="s">
        <v>1235</v>
      </c>
      <c r="F595" s="28" t="s">
        <v>1249</v>
      </c>
      <c r="G595" s="28" t="s">
        <v>1177</v>
      </c>
      <c r="H595" s="26"/>
    </row>
    <row r="596">
      <c r="A596" s="20" t="s">
        <v>1188</v>
      </c>
      <c r="B596" s="21" t="s">
        <v>1663</v>
      </c>
      <c r="C596" s="21" t="s">
        <v>1740</v>
      </c>
      <c r="D596" s="21" t="s">
        <v>1432</v>
      </c>
      <c r="E596" s="21" t="s">
        <v>1814</v>
      </c>
      <c r="F596" s="21" t="s">
        <v>1823</v>
      </c>
      <c r="G596" s="21" t="s">
        <v>1177</v>
      </c>
      <c r="H596" s="26"/>
    </row>
    <row r="597">
      <c r="A597" s="29"/>
      <c r="B597" s="21" t="s">
        <v>1650</v>
      </c>
      <c r="C597" s="21" t="s">
        <v>1731</v>
      </c>
      <c r="D597" s="21" t="s">
        <v>1677</v>
      </c>
      <c r="E597" s="21" t="s">
        <v>1817</v>
      </c>
      <c r="F597" s="21" t="s">
        <v>1816</v>
      </c>
      <c r="G597" s="21" t="s">
        <v>1177</v>
      </c>
      <c r="H597" s="26"/>
    </row>
    <row r="598">
      <c r="A598" s="29"/>
      <c r="B598" s="21" t="s">
        <v>1371</v>
      </c>
      <c r="C598" s="21" t="s">
        <v>1724</v>
      </c>
      <c r="D598" s="21" t="s">
        <v>1594</v>
      </c>
      <c r="E598" s="21" t="s">
        <v>1818</v>
      </c>
      <c r="F598" s="21" t="s">
        <v>1307</v>
      </c>
      <c r="G598" s="21" t="s">
        <v>1177</v>
      </c>
      <c r="H598" s="26"/>
    </row>
    <row r="599">
      <c r="A599" s="24"/>
      <c r="B599" s="21" t="s">
        <v>1310</v>
      </c>
      <c r="C599" s="21" t="s">
        <v>1697</v>
      </c>
      <c r="D599" s="21" t="s">
        <v>1389</v>
      </c>
      <c r="E599" s="21" t="s">
        <v>1725</v>
      </c>
      <c r="F599" s="21" t="s">
        <v>1622</v>
      </c>
      <c r="G599" s="21" t="s">
        <v>1177</v>
      </c>
      <c r="H599" s="30"/>
      <c r="I599" s="14"/>
    </row>
    <row r="600">
      <c r="A600" s="16" t="s">
        <v>1174</v>
      </c>
      <c r="B600" s="17" t="s">
        <v>2154</v>
      </c>
      <c r="C600" s="18"/>
      <c r="D600" s="18"/>
      <c r="E600" s="18"/>
      <c r="F600" s="18"/>
      <c r="G600" s="18"/>
      <c r="H600" s="18"/>
      <c r="I600" s="16"/>
    </row>
    <row r="601" ht="60.0" customHeight="1">
      <c r="A601" s="20" t="s">
        <v>1176</v>
      </c>
      <c r="B601" s="21" t="str">
        <f t="array" ref="B601">iferror(VLOOKUP(INDIRECT(ADDRESS(ROW()+1,COLUMN(), 4)),Dex!$A$2:$C954,3,false),"")</f>
        <v/>
      </c>
      <c r="C601" s="21" t="str">
        <f t="array" ref="C601">iferror(VLOOKUP(INDIRECT(ADDRESS(ROW()+1,COLUMN(), 4)),Dex!$A$2:$C954,3,false),"")</f>
        <v/>
      </c>
      <c r="D601" s="21" t="str">
        <f t="array" ref="D601">iferror(VLOOKUP(INDIRECT(ADDRESS(ROW()+1,COLUMN(), 4)),Dex!$A$2:$C954,3,false),"")</f>
        <v/>
      </c>
      <c r="E601" s="21" t="str">
        <f t="array" ref="E601">iferror(VLOOKUP(INDIRECT(ADDRESS(ROW()+1,COLUMN(), 4)),Dex!$A$2:$C954,3,false),"")</f>
        <v/>
      </c>
      <c r="F601" s="21" t="str">
        <f t="array" ref="F601">iferror(VLOOKUP(INDIRECT(ADDRESS(ROW()+1,COLUMN(), 4)),Dex!$A$2:$C954,3,false),"")</f>
        <v/>
      </c>
      <c r="G601" s="21" t="str">
        <f t="array" ref="G601">iferror(VLOOKUP(INDIRECT(ADDRESS(ROW()+1,COLUMN(), 4)),Dex!$A$2:$C954,3,false),"")</f>
        <v/>
      </c>
      <c r="H601" s="22" t="str">
        <f t="array" ref="H601">iferror(VLOOKUP("TRAINER_PIC_MAGMA_ADMIN",Sprites!$A$1:$B954,2,false),"")</f>
        <v/>
      </c>
      <c r="I601" s="23"/>
    </row>
    <row r="602">
      <c r="A602" s="24"/>
      <c r="B602" s="25" t="s">
        <v>1033</v>
      </c>
      <c r="C602" s="25" t="s">
        <v>160</v>
      </c>
      <c r="D602" s="25" t="s">
        <v>591</v>
      </c>
      <c r="E602" s="25" t="s">
        <v>210</v>
      </c>
      <c r="F602" s="25" t="s">
        <v>644</v>
      </c>
      <c r="G602" s="25" t="s">
        <v>463</v>
      </c>
      <c r="H602" s="26"/>
    </row>
    <row r="603">
      <c r="A603" s="16" t="s">
        <v>1178</v>
      </c>
      <c r="B603" s="27" t="s">
        <v>2436</v>
      </c>
      <c r="C603" s="27" t="s">
        <v>2420</v>
      </c>
      <c r="D603" s="27" t="s">
        <v>2421</v>
      </c>
      <c r="E603" s="27" t="s">
        <v>2420</v>
      </c>
      <c r="F603" s="27" t="s">
        <v>2436</v>
      </c>
      <c r="G603" s="27" t="s">
        <v>2456</v>
      </c>
      <c r="H603" s="26"/>
    </row>
    <row r="604">
      <c r="A604" s="16" t="s">
        <v>1181</v>
      </c>
      <c r="B604" s="28" t="s">
        <v>1247</v>
      </c>
      <c r="C604" s="28" t="s">
        <v>1833</v>
      </c>
      <c r="D604" s="28" t="s">
        <v>1282</v>
      </c>
      <c r="E604" s="28" t="s">
        <v>1295</v>
      </c>
      <c r="F604" s="28" t="s">
        <v>2354</v>
      </c>
      <c r="G604" s="28" t="s">
        <v>2155</v>
      </c>
      <c r="H604" s="26"/>
    </row>
    <row r="605">
      <c r="A605" s="16" t="s">
        <v>1182</v>
      </c>
      <c r="B605" s="21" t="s">
        <v>2309</v>
      </c>
      <c r="C605" s="21" t="s">
        <v>1222</v>
      </c>
      <c r="D605" s="21" t="s">
        <v>1233</v>
      </c>
      <c r="E605" s="21" t="s">
        <v>1748</v>
      </c>
      <c r="F605" s="21" t="s">
        <v>2457</v>
      </c>
      <c r="G605" s="21" t="s">
        <v>1877</v>
      </c>
      <c r="H605" s="26"/>
    </row>
    <row r="606">
      <c r="A606" s="16" t="s">
        <v>1186</v>
      </c>
      <c r="B606" s="28" t="s">
        <v>1249</v>
      </c>
      <c r="C606" s="28" t="s">
        <v>1248</v>
      </c>
      <c r="D606" s="28" t="s">
        <v>1256</v>
      </c>
      <c r="E606" s="28" t="s">
        <v>1446</v>
      </c>
      <c r="F606" s="28" t="s">
        <v>1269</v>
      </c>
      <c r="G606" s="28" t="s">
        <v>1235</v>
      </c>
      <c r="H606" s="26"/>
    </row>
    <row r="607">
      <c r="A607" s="20" t="s">
        <v>1188</v>
      </c>
      <c r="B607" s="21" t="s">
        <v>1740</v>
      </c>
      <c r="C607" s="21" t="s">
        <v>1759</v>
      </c>
      <c r="D607" s="21" t="s">
        <v>1619</v>
      </c>
      <c r="E607" s="21" t="s">
        <v>1407</v>
      </c>
      <c r="F607" s="21" t="s">
        <v>2458</v>
      </c>
      <c r="G607" s="21" t="s">
        <v>1577</v>
      </c>
      <c r="H607" s="26"/>
    </row>
    <row r="608">
      <c r="A608" s="29"/>
      <c r="B608" s="21" t="s">
        <v>1742</v>
      </c>
      <c r="C608" s="21" t="s">
        <v>1677</v>
      </c>
      <c r="D608" s="21" t="s">
        <v>1285</v>
      </c>
      <c r="E608" s="21" t="s">
        <v>1755</v>
      </c>
      <c r="F608" s="21" t="s">
        <v>1731</v>
      </c>
      <c r="G608" s="21" t="s">
        <v>1471</v>
      </c>
      <c r="H608" s="26"/>
    </row>
    <row r="609">
      <c r="A609" s="29"/>
      <c r="B609" s="21" t="s">
        <v>1830</v>
      </c>
      <c r="C609" s="21" t="s">
        <v>1678</v>
      </c>
      <c r="D609" s="21" t="s">
        <v>2021</v>
      </c>
      <c r="E609" s="21" t="s">
        <v>1761</v>
      </c>
      <c r="F609" s="21" t="s">
        <v>2459</v>
      </c>
      <c r="G609" s="21" t="s">
        <v>1874</v>
      </c>
      <c r="H609" s="26"/>
    </row>
    <row r="610">
      <c r="A610" s="24"/>
      <c r="B610" s="21" t="s">
        <v>1839</v>
      </c>
      <c r="C610" s="21" t="s">
        <v>1225</v>
      </c>
      <c r="D610" s="21" t="s">
        <v>1243</v>
      </c>
      <c r="E610" s="21" t="s">
        <v>1473</v>
      </c>
      <c r="F610" s="21" t="s">
        <v>1371</v>
      </c>
      <c r="G610" s="21" t="s">
        <v>1641</v>
      </c>
      <c r="H610" s="30"/>
      <c r="I610" s="14"/>
    </row>
    <row r="611">
      <c r="A611" s="16" t="s">
        <v>1174</v>
      </c>
      <c r="B611" s="17" t="s">
        <v>2157</v>
      </c>
      <c r="C611" s="18"/>
      <c r="D611" s="18"/>
      <c r="E611" s="18"/>
      <c r="F611" s="18"/>
      <c r="G611" s="18"/>
      <c r="H611" s="18"/>
      <c r="I611" s="16"/>
    </row>
    <row r="612" ht="60.0" customHeight="1">
      <c r="A612" s="20" t="s">
        <v>1176</v>
      </c>
      <c r="B612" s="21" t="str">
        <f t="array" ref="B612">iferror(VLOOKUP(INDIRECT(ADDRESS(ROW()+1,COLUMN(), 4)),Dex!$A$2:$C954,3,false),"")</f>
        <v/>
      </c>
      <c r="C612" s="21" t="str">
        <f t="array" ref="C612">iferror(VLOOKUP(INDIRECT(ADDRESS(ROW()+1,COLUMN(), 4)),Dex!$A$2:$C954,3,false),"")</f>
        <v/>
      </c>
      <c r="D612" s="21" t="str">
        <f t="array" ref="D612">iferror(VLOOKUP(INDIRECT(ADDRESS(ROW()+1,COLUMN(), 4)),Dex!$A$2:$C954,3,false),"")</f>
        <v/>
      </c>
      <c r="E612" s="21" t="str">
        <f t="array" ref="E612">iferror(VLOOKUP(INDIRECT(ADDRESS(ROW()+1,COLUMN(), 4)),Dex!$A$2:$C954,3,false),"")</f>
        <v/>
      </c>
      <c r="F612" s="21" t="str">
        <f t="array" ref="F612">iferror(VLOOKUP(INDIRECT(ADDRESS(ROW()+1,COLUMN(), 4)),Dex!$A$2:$C954,3,false),"")</f>
        <v/>
      </c>
      <c r="G612" s="21" t="str">
        <f t="array" ref="G612">iferror(VLOOKUP(INDIRECT(ADDRESS(ROW()+1,COLUMN(), 4)),Dex!$A$2:$C954,3,false),"")</f>
        <v/>
      </c>
      <c r="H612" s="22" t="str">
        <f t="array" ref="H612">iferror(VLOOKUP("TRAINER_PIC_MAGMA_LEADER_MAXIE",Sprites!$A$1:$B954,2,false),"")</f>
        <v/>
      </c>
      <c r="I612" s="23"/>
    </row>
    <row r="613">
      <c r="A613" s="24"/>
      <c r="B613" s="25" t="s">
        <v>493</v>
      </c>
      <c r="C613" s="25" t="s">
        <v>587</v>
      </c>
      <c r="D613" s="25" t="s">
        <v>564</v>
      </c>
      <c r="E613" s="25" t="s">
        <v>1031</v>
      </c>
      <c r="F613" s="25" t="s">
        <v>226</v>
      </c>
      <c r="G613" s="25" t="s">
        <v>315</v>
      </c>
      <c r="H613" s="26"/>
    </row>
    <row r="614">
      <c r="A614" s="16" t="s">
        <v>1178</v>
      </c>
      <c r="B614" s="27" t="s">
        <v>2264</v>
      </c>
      <c r="C614" s="27" t="s">
        <v>2436</v>
      </c>
      <c r="D614" s="27" t="s">
        <v>2436</v>
      </c>
      <c r="E614" s="27" t="s">
        <v>2456</v>
      </c>
      <c r="F614" s="27" t="s">
        <v>2456</v>
      </c>
      <c r="G614" s="27" t="s">
        <v>2264</v>
      </c>
      <c r="H614" s="26"/>
    </row>
    <row r="615">
      <c r="A615" s="16" t="s">
        <v>1181</v>
      </c>
      <c r="B615" s="28" t="s">
        <v>1457</v>
      </c>
      <c r="C615" s="28" t="s">
        <v>1882</v>
      </c>
      <c r="D615" s="28" t="s">
        <v>1391</v>
      </c>
      <c r="E615" s="28" t="s">
        <v>1688</v>
      </c>
      <c r="F615" s="28" t="s">
        <v>1209</v>
      </c>
      <c r="G615" s="28" t="s">
        <v>2460</v>
      </c>
      <c r="H615" s="26"/>
    </row>
    <row r="616">
      <c r="A616" s="16" t="s">
        <v>1182</v>
      </c>
      <c r="B616" s="21" t="s">
        <v>2065</v>
      </c>
      <c r="C616" s="21" t="s">
        <v>1369</v>
      </c>
      <c r="D616" s="21" t="s">
        <v>1266</v>
      </c>
      <c r="E616" s="21" t="s">
        <v>2309</v>
      </c>
      <c r="F616" s="21" t="s">
        <v>1844</v>
      </c>
      <c r="G616" s="21" t="s">
        <v>2136</v>
      </c>
      <c r="H616" s="26"/>
    </row>
    <row r="617">
      <c r="A617" s="16" t="s">
        <v>1186</v>
      </c>
      <c r="B617" s="28" t="s">
        <v>1248</v>
      </c>
      <c r="C617" s="28" t="s">
        <v>1284</v>
      </c>
      <c r="D617" s="28" t="s">
        <v>1235</v>
      </c>
      <c r="E617" s="28" t="s">
        <v>1256</v>
      </c>
      <c r="F617" s="28" t="s">
        <v>1235</v>
      </c>
      <c r="G617" s="28" t="s">
        <v>1284</v>
      </c>
      <c r="H617" s="26"/>
    </row>
    <row r="618">
      <c r="A618" s="20" t="s">
        <v>1188</v>
      </c>
      <c r="B618" s="21" t="s">
        <v>2461</v>
      </c>
      <c r="C618" s="21" t="s">
        <v>1914</v>
      </c>
      <c r="D618" s="21" t="s">
        <v>1677</v>
      </c>
      <c r="E618" s="21" t="s">
        <v>2198</v>
      </c>
      <c r="F618" s="21" t="s">
        <v>1741</v>
      </c>
      <c r="G618" s="21" t="s">
        <v>1740</v>
      </c>
      <c r="H618" s="26"/>
    </row>
    <row r="619">
      <c r="A619" s="29"/>
      <c r="B619" s="21" t="s">
        <v>1678</v>
      </c>
      <c r="C619" s="21" t="s">
        <v>1788</v>
      </c>
      <c r="D619" s="21" t="s">
        <v>1919</v>
      </c>
      <c r="E619" s="21" t="s">
        <v>1828</v>
      </c>
      <c r="F619" s="21" t="s">
        <v>1737</v>
      </c>
      <c r="G619" s="21" t="s">
        <v>1890</v>
      </c>
      <c r="H619" s="26"/>
    </row>
    <row r="620">
      <c r="A620" s="29"/>
      <c r="B620" s="21" t="s">
        <v>1755</v>
      </c>
      <c r="C620" s="21" t="s">
        <v>2022</v>
      </c>
      <c r="D620" s="21" t="s">
        <v>1678</v>
      </c>
      <c r="E620" s="21" t="s">
        <v>1740</v>
      </c>
      <c r="F620" s="21" t="s">
        <v>1915</v>
      </c>
      <c r="G620" s="21" t="s">
        <v>1914</v>
      </c>
      <c r="H620" s="26"/>
    </row>
    <row r="621">
      <c r="A621" s="24"/>
      <c r="B621" s="21" t="s">
        <v>1685</v>
      </c>
      <c r="C621" s="21" t="s">
        <v>1622</v>
      </c>
      <c r="D621" s="21" t="s">
        <v>1641</v>
      </c>
      <c r="E621" s="21" t="s">
        <v>1886</v>
      </c>
      <c r="F621" s="21" t="s">
        <v>1980</v>
      </c>
      <c r="G621" s="21" t="s">
        <v>1924</v>
      </c>
      <c r="H621" s="30"/>
      <c r="I621" s="14"/>
    </row>
    <row r="622">
      <c r="A622" s="37"/>
      <c r="B622" s="38" t="s">
        <v>2462</v>
      </c>
      <c r="C622" s="14"/>
      <c r="D622" s="14"/>
      <c r="E622" s="14"/>
      <c r="F622" s="14"/>
      <c r="G622" s="14"/>
      <c r="H622" s="24"/>
      <c r="I622" s="33"/>
    </row>
    <row r="623">
      <c r="A623" s="16" t="s">
        <v>1174</v>
      </c>
      <c r="B623" s="17" t="s">
        <v>2463</v>
      </c>
      <c r="C623" s="18"/>
      <c r="D623" s="18"/>
      <c r="E623" s="18"/>
      <c r="F623" s="18"/>
      <c r="G623" s="18"/>
      <c r="H623" s="18"/>
      <c r="I623" s="16"/>
    </row>
    <row r="624" ht="60.0" customHeight="1">
      <c r="A624" s="20" t="s">
        <v>1176</v>
      </c>
      <c r="B624" s="21" t="str">
        <f t="array" ref="B624">iferror(VLOOKUP(INDIRECT(ADDRESS(ROW()+1,COLUMN(), 4)),Dex!$A$2:$C954,3,false),"")</f>
        <v/>
      </c>
      <c r="C624" s="21" t="str">
        <f t="array" ref="C624">iferror(VLOOKUP(INDIRECT(ADDRESS(ROW()+1,COLUMN(), 4)),Dex!$A$2:$C954,3,false),"")</f>
        <v/>
      </c>
      <c r="D624" s="21" t="str">
        <f t="array" ref="D624">iferror(VLOOKUP(INDIRECT(ADDRESS(ROW()+1,COLUMN(), 4)),Dex!$A$2:$C954,3,false),"")</f>
        <v/>
      </c>
      <c r="E624" s="21" t="str">
        <f t="array" ref="E624">iferror(VLOOKUP(INDIRECT(ADDRESS(ROW()+1,COLUMN(), 4)),Dex!$A$2:$C954,3,false),"")</f>
        <v/>
      </c>
      <c r="F624" s="21" t="str">
        <f t="array" ref="F624">iferror(VLOOKUP(INDIRECT(ADDRESS(ROW()+1,COLUMN(), 4)),Dex!$A$2:$C954,3,false),"")</f>
        <v/>
      </c>
      <c r="G624" s="21" t="str">
        <f t="array" ref="G624">iferror(VLOOKUP(INDIRECT(ADDRESS(ROW()+1,COLUMN(), 4)),Dex!$A$2:$C954,3,false),"")</f>
        <v/>
      </c>
      <c r="H624" s="22" t="str">
        <f t="array" ref="H624">iferror(VLOOKUP("TRAINER_PIC_AQUA_GRUNT_M",Sprites!$A$1:$B954,2,false),"")</f>
        <v/>
      </c>
      <c r="I624" s="23"/>
    </row>
    <row r="625">
      <c r="A625" s="24"/>
      <c r="B625" s="25" t="s">
        <v>83</v>
      </c>
      <c r="C625" s="25" t="s">
        <v>847</v>
      </c>
      <c r="D625" s="25" t="s">
        <v>786</v>
      </c>
      <c r="E625" s="25" t="s">
        <v>1093</v>
      </c>
      <c r="F625" s="25" t="s">
        <v>536</v>
      </c>
      <c r="G625" s="25" t="s">
        <v>148</v>
      </c>
      <c r="H625" s="26"/>
    </row>
    <row r="626">
      <c r="A626" s="16" t="s">
        <v>1178</v>
      </c>
      <c r="B626" s="27" t="s">
        <v>2421</v>
      </c>
      <c r="C626" s="27" t="s">
        <v>2420</v>
      </c>
      <c r="D626" s="27" t="s">
        <v>2436</v>
      </c>
      <c r="E626" s="27" t="s">
        <v>2436</v>
      </c>
      <c r="F626" s="27" t="s">
        <v>2421</v>
      </c>
      <c r="G626" s="27" t="s">
        <v>2436</v>
      </c>
      <c r="H626" s="26"/>
    </row>
    <row r="627">
      <c r="A627" s="16" t="s">
        <v>1181</v>
      </c>
      <c r="B627" s="28" t="s">
        <v>1582</v>
      </c>
      <c r="C627" s="28" t="s">
        <v>1796</v>
      </c>
      <c r="D627" s="28" t="s">
        <v>1962</v>
      </c>
      <c r="E627" s="28" t="s">
        <v>1838</v>
      </c>
      <c r="F627" s="28" t="s">
        <v>2300</v>
      </c>
      <c r="G627" s="28" t="s">
        <v>1882</v>
      </c>
      <c r="H627" s="26"/>
    </row>
    <row r="628">
      <c r="A628" s="16" t="s">
        <v>1182</v>
      </c>
      <c r="B628" s="21" t="s">
        <v>1593</v>
      </c>
      <c r="C628" s="21" t="s">
        <v>1907</v>
      </c>
      <c r="D628" s="21" t="s">
        <v>1210</v>
      </c>
      <c r="E628" s="21" t="s">
        <v>1461</v>
      </c>
      <c r="F628" s="21" t="s">
        <v>1614</v>
      </c>
      <c r="G628" s="21" t="s">
        <v>1938</v>
      </c>
      <c r="H628" s="26"/>
    </row>
    <row r="629">
      <c r="A629" s="16" t="s">
        <v>1186</v>
      </c>
      <c r="B629" s="28" t="s">
        <v>1235</v>
      </c>
      <c r="C629" s="28" t="s">
        <v>1248</v>
      </c>
      <c r="D629" s="28" t="s">
        <v>1249</v>
      </c>
      <c r="E629" s="28" t="s">
        <v>1248</v>
      </c>
      <c r="F629" s="28" t="s">
        <v>1235</v>
      </c>
      <c r="G629" s="28" t="s">
        <v>1248</v>
      </c>
      <c r="H629" s="26"/>
    </row>
    <row r="630">
      <c r="A630" s="20" t="s">
        <v>1188</v>
      </c>
      <c r="B630" s="21" t="s">
        <v>1577</v>
      </c>
      <c r="C630" s="21" t="s">
        <v>1874</v>
      </c>
      <c r="D630" s="21" t="s">
        <v>1991</v>
      </c>
      <c r="E630" s="21" t="s">
        <v>1757</v>
      </c>
      <c r="F630" s="21" t="s">
        <v>1760</v>
      </c>
      <c r="G630" s="21" t="s">
        <v>1760</v>
      </c>
      <c r="H630" s="26"/>
    </row>
    <row r="631">
      <c r="A631" s="29"/>
      <c r="B631" s="21" t="s">
        <v>1814</v>
      </c>
      <c r="C631" s="21" t="s">
        <v>1594</v>
      </c>
      <c r="D631" s="21" t="s">
        <v>1617</v>
      </c>
      <c r="E631" s="21" t="s">
        <v>1323</v>
      </c>
      <c r="F631" s="21" t="s">
        <v>1594</v>
      </c>
      <c r="G631" s="21" t="s">
        <v>1586</v>
      </c>
      <c r="H631" s="26"/>
    </row>
    <row r="632">
      <c r="A632" s="29"/>
      <c r="B632" s="21" t="s">
        <v>1372</v>
      </c>
      <c r="C632" s="21" t="s">
        <v>1814</v>
      </c>
      <c r="D632" s="21" t="s">
        <v>1993</v>
      </c>
      <c r="E632" s="21" t="s">
        <v>1385</v>
      </c>
      <c r="F632" s="21" t="s">
        <v>1323</v>
      </c>
      <c r="G632" s="21" t="s">
        <v>1438</v>
      </c>
      <c r="H632" s="26"/>
    </row>
    <row r="633">
      <c r="A633" s="24"/>
      <c r="B633" s="21" t="s">
        <v>1311</v>
      </c>
      <c r="C633" s="21" t="s">
        <v>1678</v>
      </c>
      <c r="D633" s="21" t="s">
        <v>1218</v>
      </c>
      <c r="E633" s="21" t="s">
        <v>1598</v>
      </c>
      <c r="F633" s="21" t="s">
        <v>1422</v>
      </c>
      <c r="G633" s="21" t="s">
        <v>1891</v>
      </c>
      <c r="H633" s="30"/>
      <c r="I633" s="14"/>
    </row>
    <row r="634">
      <c r="A634" s="16" t="s">
        <v>1174</v>
      </c>
      <c r="B634" s="17" t="s">
        <v>2464</v>
      </c>
      <c r="C634" s="18"/>
      <c r="D634" s="18"/>
      <c r="E634" s="18"/>
      <c r="F634" s="18"/>
      <c r="G634" s="18"/>
      <c r="H634" s="18"/>
      <c r="I634" s="16"/>
    </row>
    <row r="635" ht="60.0" customHeight="1">
      <c r="A635" s="20" t="s">
        <v>1176</v>
      </c>
      <c r="B635" s="21" t="str">
        <f t="array" ref="B635">iferror(VLOOKUP(INDIRECT(ADDRESS(ROW()+1,COLUMN(), 4)),Dex!$A$2:$C954,3,false),"")</f>
        <v/>
      </c>
      <c r="C635" s="21" t="str">
        <f t="array" ref="C635">iferror(VLOOKUP(INDIRECT(ADDRESS(ROW()+1,COLUMN(), 4)),Dex!$A$2:$C954,3,false),"")</f>
        <v/>
      </c>
      <c r="D635" s="21" t="str">
        <f t="array" ref="D635">iferror(VLOOKUP(INDIRECT(ADDRESS(ROW()+1,COLUMN(), 4)),Dex!$A$2:$C954,3,false),"")</f>
        <v/>
      </c>
      <c r="E635" s="21" t="str">
        <f t="array" ref="E635">iferror(VLOOKUP(INDIRECT(ADDRESS(ROW()+1,COLUMN(), 4)),Dex!$A$2:$C954,3,false),"")</f>
        <v/>
      </c>
      <c r="F635" s="21" t="str">
        <f t="array" ref="F635">iferror(VLOOKUP(INDIRECT(ADDRESS(ROW()+1,COLUMN(), 4)),Dex!$A$2:$C954,3,false),"")</f>
        <v/>
      </c>
      <c r="G635" s="21" t="s">
        <v>1177</v>
      </c>
      <c r="H635" s="22" t="str">
        <f t="array" ref="H635">iferror(VLOOKUP("TRAINER_PIC_AQUA_GRUNT_F",Sprites!$A$1:$B954,2,false),"")</f>
        <v/>
      </c>
      <c r="I635" s="23"/>
    </row>
    <row r="636">
      <c r="A636" s="24"/>
      <c r="B636" s="25" t="s">
        <v>774</v>
      </c>
      <c r="C636" s="25" t="s">
        <v>391</v>
      </c>
      <c r="D636" s="25" t="s">
        <v>647</v>
      </c>
      <c r="E636" s="25" t="s">
        <v>753</v>
      </c>
      <c r="F636" s="25" t="s">
        <v>763</v>
      </c>
      <c r="G636" s="25" t="s">
        <v>1177</v>
      </c>
      <c r="H636" s="26"/>
    </row>
    <row r="637">
      <c r="A637" s="16" t="s">
        <v>1178</v>
      </c>
      <c r="B637" s="27" t="s">
        <v>2436</v>
      </c>
      <c r="C637" s="27" t="s">
        <v>2436</v>
      </c>
      <c r="D637" s="27" t="s">
        <v>2421</v>
      </c>
      <c r="E637" s="27" t="s">
        <v>2456</v>
      </c>
      <c r="F637" s="27" t="s">
        <v>2456</v>
      </c>
      <c r="G637" s="21" t="s">
        <v>1177</v>
      </c>
      <c r="H637" s="26"/>
    </row>
    <row r="638">
      <c r="A638" s="16" t="s">
        <v>1181</v>
      </c>
      <c r="B638" s="28" t="s">
        <v>2300</v>
      </c>
      <c r="C638" s="28" t="s">
        <v>1882</v>
      </c>
      <c r="D638" s="28" t="s">
        <v>1582</v>
      </c>
      <c r="E638" s="28" t="s">
        <v>1391</v>
      </c>
      <c r="F638" s="28" t="s">
        <v>1295</v>
      </c>
      <c r="G638" s="28" t="s">
        <v>1177</v>
      </c>
      <c r="H638" s="26"/>
    </row>
    <row r="639">
      <c r="A639" s="16" t="s">
        <v>1182</v>
      </c>
      <c r="B639" s="21" t="s">
        <v>1368</v>
      </c>
      <c r="C639" s="21" t="s">
        <v>1938</v>
      </c>
      <c r="D639" s="21" t="s">
        <v>1950</v>
      </c>
      <c r="E639" s="21" t="s">
        <v>1667</v>
      </c>
      <c r="F639" s="21" t="s">
        <v>1368</v>
      </c>
      <c r="G639" s="21" t="s">
        <v>1177</v>
      </c>
      <c r="H639" s="26"/>
    </row>
    <row r="640">
      <c r="A640" s="16" t="s">
        <v>1186</v>
      </c>
      <c r="B640" s="28" t="s">
        <v>1284</v>
      </c>
      <c r="C640" s="28" t="s">
        <v>1235</v>
      </c>
      <c r="D640" s="28" t="s">
        <v>1284</v>
      </c>
      <c r="E640" s="28" t="s">
        <v>1383</v>
      </c>
      <c r="F640" s="28" t="s">
        <v>1406</v>
      </c>
      <c r="G640" s="28" t="s">
        <v>1177</v>
      </c>
      <c r="H640" s="26"/>
    </row>
    <row r="641">
      <c r="A641" s="20" t="s">
        <v>1188</v>
      </c>
      <c r="B641" s="21" t="s">
        <v>1468</v>
      </c>
      <c r="C641" s="21" t="s">
        <v>1874</v>
      </c>
      <c r="D641" s="21" t="s">
        <v>1823</v>
      </c>
      <c r="E641" s="21" t="s">
        <v>1695</v>
      </c>
      <c r="F641" s="21" t="s">
        <v>1704</v>
      </c>
      <c r="G641" s="21" t="s">
        <v>1177</v>
      </c>
      <c r="H641" s="26"/>
    </row>
    <row r="642">
      <c r="A642" s="29"/>
      <c r="B642" s="21" t="s">
        <v>1835</v>
      </c>
      <c r="C642" s="21" t="s">
        <v>1749</v>
      </c>
      <c r="D642" s="21" t="s">
        <v>1828</v>
      </c>
      <c r="E642" s="21" t="s">
        <v>1598</v>
      </c>
      <c r="F642" s="21" t="s">
        <v>1817</v>
      </c>
      <c r="G642" s="21" t="s">
        <v>1177</v>
      </c>
      <c r="H642" s="26"/>
    </row>
    <row r="643">
      <c r="A643" s="29"/>
      <c r="B643" s="21" t="s">
        <v>1880</v>
      </c>
      <c r="C643" s="21" t="s">
        <v>1438</v>
      </c>
      <c r="D643" s="21" t="s">
        <v>1725</v>
      </c>
      <c r="E643" s="21" t="s">
        <v>1362</v>
      </c>
      <c r="F643" s="21" t="s">
        <v>1307</v>
      </c>
      <c r="G643" s="21" t="s">
        <v>1177</v>
      </c>
      <c r="H643" s="26"/>
    </row>
    <row r="644">
      <c r="A644" s="24"/>
      <c r="B644" s="21" t="s">
        <v>1879</v>
      </c>
      <c r="C644" s="21" t="s">
        <v>1425</v>
      </c>
      <c r="D644" s="21" t="s">
        <v>1275</v>
      </c>
      <c r="E644" s="21" t="s">
        <v>2465</v>
      </c>
      <c r="F644" s="21" t="s">
        <v>1818</v>
      </c>
      <c r="G644" s="21" t="s">
        <v>1177</v>
      </c>
      <c r="H644" s="30"/>
      <c r="I644" s="14"/>
    </row>
    <row r="645">
      <c r="A645" s="16" t="s">
        <v>1174</v>
      </c>
      <c r="B645" s="17" t="s">
        <v>2466</v>
      </c>
      <c r="C645" s="18"/>
      <c r="D645" s="18"/>
      <c r="E645" s="18"/>
      <c r="F645" s="18"/>
      <c r="G645" s="18"/>
      <c r="H645" s="18"/>
      <c r="I645" s="16"/>
    </row>
    <row r="646" ht="60.0" customHeight="1">
      <c r="A646" s="20" t="s">
        <v>1176</v>
      </c>
      <c r="B646" s="21" t="str">
        <f t="array" ref="B646">iferror(VLOOKUP(INDIRECT(ADDRESS(ROW()+1,COLUMN(), 4)),Dex!$A$2:$C954,3,false),"")</f>
        <v/>
      </c>
      <c r="C646" s="21" t="str">
        <f t="array" ref="C646">iferror(VLOOKUP(INDIRECT(ADDRESS(ROW()+1,COLUMN(), 4)),Dex!$A$2:$C954,3,false),"")</f>
        <v/>
      </c>
      <c r="D646" s="21" t="str">
        <f t="array" ref="D646">iferror(VLOOKUP(INDIRECT(ADDRESS(ROW()+1,COLUMN(), 4)),Dex!$A$2:$C954,3,false),"")</f>
        <v/>
      </c>
      <c r="E646" s="21" t="str">
        <f t="array" ref="E646">iferror(VLOOKUP(INDIRECT(ADDRESS(ROW()+1,COLUMN(), 4)),Dex!$A$2:$C954,3,false),"")</f>
        <v/>
      </c>
      <c r="F646" s="21" t="str">
        <f t="array" ref="F646">iferror(VLOOKUP(INDIRECT(ADDRESS(ROW()+1,COLUMN(), 4)),Dex!$A$2:$C954,3,false),"")</f>
        <v/>
      </c>
      <c r="G646" s="21" t="s">
        <v>1177</v>
      </c>
      <c r="H646" s="22" t="str">
        <f t="array" ref="H646">iferror(VLOOKUP("TRAINER_PIC_AQUA_GRUNT_F",Sprites!$A$1:$B954,2,false),"")</f>
        <v/>
      </c>
      <c r="I646" s="23"/>
    </row>
    <row r="647">
      <c r="A647" s="24"/>
      <c r="B647" s="25" t="s">
        <v>205</v>
      </c>
      <c r="C647" s="25" t="s">
        <v>748</v>
      </c>
      <c r="D647" s="25" t="s">
        <v>247</v>
      </c>
      <c r="E647" s="25" t="s">
        <v>245</v>
      </c>
      <c r="F647" s="25" t="s">
        <v>418</v>
      </c>
      <c r="G647" s="25" t="s">
        <v>1177</v>
      </c>
      <c r="H647" s="26"/>
    </row>
    <row r="648">
      <c r="A648" s="16" t="s">
        <v>1178</v>
      </c>
      <c r="B648" s="27" t="s">
        <v>2264</v>
      </c>
      <c r="C648" s="27" t="s">
        <v>2436</v>
      </c>
      <c r="D648" s="27" t="s">
        <v>2436</v>
      </c>
      <c r="E648" s="27" t="s">
        <v>2264</v>
      </c>
      <c r="F648" s="27" t="s">
        <v>2456</v>
      </c>
      <c r="G648" s="21" t="s">
        <v>1177</v>
      </c>
      <c r="H648" s="26"/>
    </row>
    <row r="649">
      <c r="A649" s="16" t="s">
        <v>1181</v>
      </c>
      <c r="B649" s="28" t="s">
        <v>1247</v>
      </c>
      <c r="C649" s="28" t="s">
        <v>1796</v>
      </c>
      <c r="D649" s="28" t="s">
        <v>1582</v>
      </c>
      <c r="E649" s="28" t="s">
        <v>1282</v>
      </c>
      <c r="F649" s="28" t="s">
        <v>2300</v>
      </c>
      <c r="G649" s="28" t="s">
        <v>1177</v>
      </c>
      <c r="H649" s="26"/>
    </row>
    <row r="650">
      <c r="A650" s="16" t="s">
        <v>1182</v>
      </c>
      <c r="B650" s="21" t="s">
        <v>1296</v>
      </c>
      <c r="C650" s="21" t="s">
        <v>1445</v>
      </c>
      <c r="D650" s="21" t="s">
        <v>1791</v>
      </c>
      <c r="E650" s="21" t="s">
        <v>1356</v>
      </c>
      <c r="F650" s="21" t="s">
        <v>1233</v>
      </c>
      <c r="G650" s="21" t="s">
        <v>1177</v>
      </c>
      <c r="H650" s="26"/>
    </row>
    <row r="651">
      <c r="A651" s="16" t="s">
        <v>1186</v>
      </c>
      <c r="B651" s="28" t="s">
        <v>1284</v>
      </c>
      <c r="C651" s="28" t="s">
        <v>1248</v>
      </c>
      <c r="D651" s="28" t="s">
        <v>1257</v>
      </c>
      <c r="E651" s="28" t="s">
        <v>1269</v>
      </c>
      <c r="F651" s="28" t="s">
        <v>1300</v>
      </c>
      <c r="G651" s="28" t="s">
        <v>1177</v>
      </c>
      <c r="H651" s="26"/>
    </row>
    <row r="652">
      <c r="A652" s="20" t="s">
        <v>1188</v>
      </c>
      <c r="B652" s="21" t="s">
        <v>1713</v>
      </c>
      <c r="C652" s="21" t="s">
        <v>1777</v>
      </c>
      <c r="D652" s="21" t="s">
        <v>1251</v>
      </c>
      <c r="E652" s="21" t="s">
        <v>1238</v>
      </c>
      <c r="F652" s="21" t="s">
        <v>1834</v>
      </c>
      <c r="G652" s="21" t="s">
        <v>1177</v>
      </c>
      <c r="H652" s="26"/>
    </row>
    <row r="653">
      <c r="A653" s="29"/>
      <c r="B653" s="21" t="s">
        <v>1618</v>
      </c>
      <c r="C653" s="21" t="s">
        <v>1607</v>
      </c>
      <c r="D653" s="21" t="s">
        <v>1663</v>
      </c>
      <c r="E653" s="21" t="s">
        <v>1629</v>
      </c>
      <c r="F653" s="21" t="s">
        <v>1890</v>
      </c>
      <c r="G653" s="21" t="s">
        <v>1177</v>
      </c>
      <c r="H653" s="26"/>
    </row>
    <row r="654">
      <c r="A654" s="29"/>
      <c r="B654" s="21" t="s">
        <v>2026</v>
      </c>
      <c r="C654" s="21" t="s">
        <v>1772</v>
      </c>
      <c r="D654" s="21" t="s">
        <v>1325</v>
      </c>
      <c r="E654" s="21" t="s">
        <v>1285</v>
      </c>
      <c r="F654" s="21" t="s">
        <v>1468</v>
      </c>
      <c r="G654" s="21" t="s">
        <v>1177</v>
      </c>
      <c r="H654" s="26"/>
    </row>
    <row r="655">
      <c r="A655" s="24"/>
      <c r="B655" s="21" t="s">
        <v>1705</v>
      </c>
      <c r="C655" s="21" t="s">
        <v>1641</v>
      </c>
      <c r="D655" s="21" t="s">
        <v>1262</v>
      </c>
      <c r="E655" s="21" t="s">
        <v>1376</v>
      </c>
      <c r="F655" s="21" t="s">
        <v>1677</v>
      </c>
      <c r="G655" s="21" t="s">
        <v>1177</v>
      </c>
      <c r="H655" s="30"/>
      <c r="I655" s="14"/>
    </row>
    <row r="656">
      <c r="A656" s="16" t="s">
        <v>1174</v>
      </c>
      <c r="B656" s="17" t="s">
        <v>2467</v>
      </c>
      <c r="C656" s="18"/>
      <c r="D656" s="18"/>
      <c r="E656" s="18"/>
      <c r="F656" s="18"/>
      <c r="G656" s="18"/>
      <c r="H656" s="18"/>
      <c r="I656" s="16"/>
    </row>
    <row r="657" ht="60.0" customHeight="1">
      <c r="A657" s="20" t="s">
        <v>1176</v>
      </c>
      <c r="B657" s="21" t="str">
        <f t="array" ref="B657">iferror(VLOOKUP(INDIRECT(ADDRESS(ROW()+1,COLUMN(), 4)),Dex!$A$2:$C954,3,false),"")</f>
        <v/>
      </c>
      <c r="C657" s="21" t="str">
        <f t="array" ref="C657">iferror(VLOOKUP(INDIRECT(ADDRESS(ROW()+1,COLUMN(), 4)),Dex!$A$2:$C954,3,false),"")</f>
        <v/>
      </c>
      <c r="D657" s="21" t="str">
        <f t="array" ref="D657">iferror(VLOOKUP(INDIRECT(ADDRESS(ROW()+1,COLUMN(), 4)),Dex!$A$2:$C954,3,false),"")</f>
        <v/>
      </c>
      <c r="E657" s="21" t="str">
        <f t="array" ref="E657">iferror(VLOOKUP(INDIRECT(ADDRESS(ROW()+1,COLUMN(), 4)),Dex!$A$2:$C954,3,false),"")</f>
        <v/>
      </c>
      <c r="F657" s="21" t="str">
        <f t="array" ref="F657">iferror(VLOOKUP(INDIRECT(ADDRESS(ROW()+1,COLUMN(), 4)),Dex!$A$2:$C954,3,false),"")</f>
        <v/>
      </c>
      <c r="G657" s="21" t="s">
        <v>1177</v>
      </c>
      <c r="H657" s="22" t="str">
        <f t="array" ref="H657">iferror(VLOOKUP("TRAINER_PIC_AQUA_GRUNT_M",Sprites!$A$1:$B954,2,false),"")</f>
        <v/>
      </c>
      <c r="I657" s="23"/>
    </row>
    <row r="658">
      <c r="A658" s="24"/>
      <c r="B658" s="25" t="s">
        <v>62</v>
      </c>
      <c r="C658" s="25" t="s">
        <v>48</v>
      </c>
      <c r="D658" s="25" t="s">
        <v>1120</v>
      </c>
      <c r="E658" s="25" t="s">
        <v>470</v>
      </c>
      <c r="F658" s="25" t="s">
        <v>58</v>
      </c>
      <c r="G658" s="25" t="s">
        <v>1177</v>
      </c>
      <c r="H658" s="26"/>
    </row>
    <row r="659">
      <c r="A659" s="16" t="s">
        <v>1178</v>
      </c>
      <c r="B659" s="27" t="s">
        <v>2456</v>
      </c>
      <c r="C659" s="27" t="s">
        <v>2436</v>
      </c>
      <c r="D659" s="27" t="s">
        <v>2436</v>
      </c>
      <c r="E659" s="27" t="s">
        <v>2436</v>
      </c>
      <c r="F659" s="27" t="s">
        <v>2456</v>
      </c>
      <c r="G659" s="21" t="s">
        <v>1177</v>
      </c>
      <c r="H659" s="26"/>
    </row>
    <row r="660">
      <c r="A660" s="16" t="s">
        <v>1181</v>
      </c>
      <c r="B660" s="28" t="s">
        <v>1898</v>
      </c>
      <c r="C660" s="28" t="s">
        <v>1571</v>
      </c>
      <c r="D660" s="28" t="s">
        <v>1571</v>
      </c>
      <c r="E660" s="28" t="s">
        <v>1582</v>
      </c>
      <c r="F660" s="28" t="s">
        <v>1701</v>
      </c>
      <c r="G660" s="28" t="s">
        <v>1177</v>
      </c>
      <c r="H660" s="26"/>
    </row>
    <row r="661">
      <c r="A661" s="16" t="s">
        <v>1182</v>
      </c>
      <c r="B661" s="21" t="s">
        <v>2052</v>
      </c>
      <c r="C661" s="21" t="s">
        <v>2053</v>
      </c>
      <c r="D661" s="21" t="s">
        <v>2468</v>
      </c>
      <c r="E661" s="21" t="s">
        <v>1596</v>
      </c>
      <c r="F661" s="21" t="s">
        <v>1604</v>
      </c>
      <c r="G661" s="21" t="s">
        <v>1177</v>
      </c>
      <c r="H661" s="26"/>
    </row>
    <row r="662">
      <c r="A662" s="16" t="s">
        <v>1186</v>
      </c>
      <c r="B662" s="28" t="s">
        <v>1284</v>
      </c>
      <c r="C662" s="28" t="s">
        <v>1248</v>
      </c>
      <c r="D662" s="28" t="s">
        <v>1235</v>
      </c>
      <c r="E662" s="28" t="s">
        <v>1256</v>
      </c>
      <c r="F662" s="28" t="s">
        <v>1257</v>
      </c>
      <c r="G662" s="28" t="s">
        <v>1177</v>
      </c>
      <c r="H662" s="26"/>
    </row>
    <row r="663">
      <c r="A663" s="20" t="s">
        <v>1188</v>
      </c>
      <c r="B663" s="21" t="s">
        <v>1815</v>
      </c>
      <c r="C663" s="21" t="s">
        <v>1607</v>
      </c>
      <c r="D663" s="21" t="s">
        <v>1920</v>
      </c>
      <c r="E663" s="21" t="s">
        <v>2054</v>
      </c>
      <c r="F663" s="21" t="s">
        <v>1815</v>
      </c>
      <c r="G663" s="21" t="s">
        <v>1177</v>
      </c>
      <c r="H663" s="26"/>
    </row>
    <row r="664">
      <c r="A664" s="29"/>
      <c r="B664" s="21" t="s">
        <v>1835</v>
      </c>
      <c r="C664" s="21" t="s">
        <v>1440</v>
      </c>
      <c r="D664" s="21" t="s">
        <v>1974</v>
      </c>
      <c r="E664" s="21" t="s">
        <v>1695</v>
      </c>
      <c r="F664" s="21" t="s">
        <v>1711</v>
      </c>
      <c r="G664" s="21" t="s">
        <v>1177</v>
      </c>
      <c r="H664" s="26"/>
    </row>
    <row r="665">
      <c r="A665" s="29"/>
      <c r="B665" s="21" t="s">
        <v>2306</v>
      </c>
      <c r="C665" s="21" t="s">
        <v>1677</v>
      </c>
      <c r="D665" s="21" t="s">
        <v>1236</v>
      </c>
      <c r="E665" s="21" t="s">
        <v>1959</v>
      </c>
      <c r="F665" s="21" t="s">
        <v>1984</v>
      </c>
      <c r="G665" s="21" t="s">
        <v>1177</v>
      </c>
      <c r="H665" s="26"/>
    </row>
    <row r="666">
      <c r="A666" s="24"/>
      <c r="B666" s="21" t="s">
        <v>1771</v>
      </c>
      <c r="C666" s="21" t="s">
        <v>1641</v>
      </c>
      <c r="D666" s="21" t="s">
        <v>1306</v>
      </c>
      <c r="E666" s="21" t="s">
        <v>1362</v>
      </c>
      <c r="F666" s="21" t="s">
        <v>1980</v>
      </c>
      <c r="G666" s="21" t="s">
        <v>1177</v>
      </c>
      <c r="H666" s="30"/>
      <c r="I666" s="14"/>
    </row>
    <row r="667">
      <c r="A667" s="16" t="s">
        <v>1174</v>
      </c>
      <c r="B667" s="17" t="s">
        <v>2469</v>
      </c>
      <c r="C667" s="18"/>
      <c r="D667" s="18"/>
      <c r="E667" s="18"/>
      <c r="F667" s="18"/>
      <c r="G667" s="18"/>
      <c r="H667" s="18"/>
      <c r="I667" s="16"/>
    </row>
    <row r="668" ht="60.0" customHeight="1">
      <c r="A668" s="20" t="s">
        <v>1176</v>
      </c>
      <c r="B668" s="21" t="str">
        <f t="array" ref="B668">iferror(VLOOKUP(INDIRECT(ADDRESS(ROW()+1,COLUMN(), 4)),Dex!$A$2:$C954,3,false),"")</f>
        <v/>
      </c>
      <c r="C668" s="21" t="str">
        <f t="array" ref="C668">iferror(VLOOKUP(INDIRECT(ADDRESS(ROW()+1,COLUMN(), 4)),Dex!$A$2:$C954,3,false),"")</f>
        <v/>
      </c>
      <c r="D668" s="21" t="str">
        <f t="array" ref="D668">iferror(VLOOKUP(INDIRECT(ADDRESS(ROW()+1,COLUMN(), 4)),Dex!$A$2:$C954,3,false),"")</f>
        <v/>
      </c>
      <c r="E668" s="21" t="str">
        <f t="array" ref="E668">iferror(VLOOKUP(INDIRECT(ADDRESS(ROW()+1,COLUMN(), 4)),Dex!$A$2:$C954,3,false),"")</f>
        <v/>
      </c>
      <c r="F668" s="21" t="s">
        <v>1177</v>
      </c>
      <c r="G668" s="21" t="s">
        <v>1177</v>
      </c>
      <c r="H668" s="22" t="str">
        <f t="array" ref="H668">iferror(VLOOKUP("TRAINER_PIC_AQUA_GRUNT_F",Sprites!$A$1:$B954,2,false),"")</f>
        <v/>
      </c>
      <c r="I668" s="23"/>
    </row>
    <row r="669">
      <c r="A669" s="24"/>
      <c r="B669" s="25" t="s">
        <v>193</v>
      </c>
      <c r="C669" s="25" t="s">
        <v>845</v>
      </c>
      <c r="D669" s="25" t="s">
        <v>44</v>
      </c>
      <c r="E669" s="25" t="s">
        <v>1106</v>
      </c>
      <c r="F669" s="25" t="s">
        <v>1177</v>
      </c>
      <c r="G669" s="25" t="s">
        <v>1177</v>
      </c>
      <c r="H669" s="26"/>
    </row>
    <row r="670">
      <c r="A670" s="16" t="s">
        <v>1178</v>
      </c>
      <c r="B670" s="27" t="s">
        <v>2456</v>
      </c>
      <c r="C670" s="27" t="s">
        <v>2264</v>
      </c>
      <c r="D670" s="27" t="s">
        <v>2456</v>
      </c>
      <c r="E670" s="27" t="s">
        <v>2264</v>
      </c>
      <c r="F670" s="21" t="s">
        <v>1177</v>
      </c>
      <c r="G670" s="21" t="s">
        <v>1177</v>
      </c>
      <c r="H670" s="26"/>
    </row>
    <row r="671">
      <c r="A671" s="16" t="s">
        <v>1181</v>
      </c>
      <c r="B671" s="28" t="s">
        <v>1582</v>
      </c>
      <c r="C671" s="28" t="s">
        <v>1838</v>
      </c>
      <c r="D671" s="28" t="s">
        <v>2300</v>
      </c>
      <c r="E671" s="28" t="s">
        <v>1901</v>
      </c>
      <c r="F671" s="28" t="s">
        <v>1177</v>
      </c>
      <c r="G671" s="28" t="s">
        <v>1177</v>
      </c>
      <c r="H671" s="26"/>
    </row>
    <row r="672">
      <c r="A672" s="16" t="s">
        <v>1182</v>
      </c>
      <c r="B672" s="21" t="s">
        <v>1298</v>
      </c>
      <c r="C672" s="21" t="s">
        <v>1210</v>
      </c>
      <c r="D672" s="21" t="s">
        <v>1851</v>
      </c>
      <c r="E672" s="21" t="s">
        <v>1296</v>
      </c>
      <c r="F672" s="21" t="s">
        <v>1177</v>
      </c>
      <c r="G672" s="21" t="s">
        <v>1177</v>
      </c>
      <c r="H672" s="26"/>
    </row>
    <row r="673">
      <c r="A673" s="16" t="s">
        <v>1186</v>
      </c>
      <c r="B673" s="28" t="s">
        <v>1235</v>
      </c>
      <c r="C673" s="28" t="s">
        <v>1248</v>
      </c>
      <c r="D673" s="28" t="s">
        <v>1284</v>
      </c>
      <c r="E673" s="28" t="s">
        <v>1447</v>
      </c>
      <c r="F673" s="28" t="s">
        <v>1177</v>
      </c>
      <c r="G673" s="28" t="s">
        <v>1177</v>
      </c>
      <c r="H673" s="26"/>
    </row>
    <row r="674">
      <c r="A674" s="20" t="s">
        <v>1188</v>
      </c>
      <c r="B674" s="21" t="s">
        <v>1834</v>
      </c>
      <c r="C674" s="21" t="s">
        <v>2043</v>
      </c>
      <c r="D674" s="21" t="s">
        <v>1731</v>
      </c>
      <c r="E674" s="21" t="s">
        <v>1742</v>
      </c>
      <c r="F674" s="21" t="s">
        <v>1177</v>
      </c>
      <c r="G674" s="21" t="s">
        <v>1177</v>
      </c>
      <c r="H674" s="26"/>
    </row>
    <row r="675">
      <c r="A675" s="29"/>
      <c r="B675" s="21" t="s">
        <v>1677</v>
      </c>
      <c r="C675" s="21" t="s">
        <v>1677</v>
      </c>
      <c r="D675" s="21" t="s">
        <v>1670</v>
      </c>
      <c r="E675" s="21" t="s">
        <v>2214</v>
      </c>
      <c r="F675" s="21" t="s">
        <v>1177</v>
      </c>
      <c r="G675" s="21" t="s">
        <v>1177</v>
      </c>
      <c r="H675" s="26"/>
    </row>
    <row r="676">
      <c r="A676" s="29"/>
      <c r="B676" s="21" t="s">
        <v>1678</v>
      </c>
      <c r="C676" s="21" t="s">
        <v>1662</v>
      </c>
      <c r="D676" s="21" t="s">
        <v>1652</v>
      </c>
      <c r="E676" s="21" t="s">
        <v>1251</v>
      </c>
      <c r="F676" s="21" t="s">
        <v>1177</v>
      </c>
      <c r="G676" s="21" t="s">
        <v>1177</v>
      </c>
      <c r="H676" s="26"/>
    </row>
    <row r="677">
      <c r="A677" s="24"/>
      <c r="B677" s="21" t="s">
        <v>1915</v>
      </c>
      <c r="C677" s="21" t="s">
        <v>1438</v>
      </c>
      <c r="D677" s="21" t="s">
        <v>1771</v>
      </c>
      <c r="E677" s="21" t="s">
        <v>1954</v>
      </c>
      <c r="F677" s="21" t="s">
        <v>1177</v>
      </c>
      <c r="G677" s="21" t="s">
        <v>1177</v>
      </c>
      <c r="H677" s="30"/>
      <c r="I677" s="14"/>
    </row>
    <row r="678">
      <c r="A678" s="16" t="s">
        <v>1174</v>
      </c>
      <c r="B678" s="17" t="s">
        <v>2470</v>
      </c>
      <c r="C678" s="18"/>
      <c r="D678" s="18"/>
      <c r="E678" s="18"/>
      <c r="F678" s="18"/>
      <c r="G678" s="18"/>
      <c r="H678" s="18"/>
      <c r="I678" s="16"/>
    </row>
    <row r="679" ht="60.0" customHeight="1">
      <c r="A679" s="20" t="s">
        <v>1176</v>
      </c>
      <c r="B679" s="21" t="str">
        <f t="array" ref="B679">iferror(VLOOKUP(INDIRECT(ADDRESS(ROW()+1,COLUMN(), 4)),Dex!$A$2:$C954,3,false),"")</f>
        <v/>
      </c>
      <c r="C679" s="21" t="str">
        <f t="array" ref="C679">iferror(VLOOKUP(INDIRECT(ADDRESS(ROW()+1,COLUMN(), 4)),Dex!$A$2:$C954,3,false),"")</f>
        <v/>
      </c>
      <c r="D679" s="21" t="str">
        <f t="array" ref="D679">iferror(VLOOKUP(INDIRECT(ADDRESS(ROW()+1,COLUMN(), 4)),Dex!$A$2:$C954,3,false),"")</f>
        <v/>
      </c>
      <c r="E679" s="39" t="str">
        <f t="array" ref="E679">iferror(VLOOKUP(INDIRECT(ADDRESS(ROW()+1,COLUMN(), 4)),Dex!$A$2:$C954,3,false),"")</f>
        <v/>
      </c>
      <c r="F679" s="21" t="str">
        <f t="array" ref="F679">iferror(VLOOKUP(INDIRECT(ADDRESS(ROW()+1,COLUMN(), 4)),Dex!$A$2:$C954,3,false),"")</f>
        <v/>
      </c>
      <c r="G679" s="21" t="s">
        <v>1177</v>
      </c>
      <c r="H679" s="22" t="str">
        <f t="array" ref="H679">iferror(VLOOKUP("TRAINER_PIC_AQUA_GRUNT_M",Sprites!$A$1:$B954,2,false),"")</f>
        <v/>
      </c>
      <c r="I679" s="23"/>
    </row>
    <row r="680">
      <c r="A680" s="24"/>
      <c r="B680" s="25" t="s">
        <v>263</v>
      </c>
      <c r="C680" s="25" t="s">
        <v>869</v>
      </c>
      <c r="D680" s="25" t="s">
        <v>895</v>
      </c>
      <c r="E680" s="25" t="s">
        <v>757</v>
      </c>
      <c r="F680" s="25" t="s">
        <v>94</v>
      </c>
      <c r="G680" s="25" t="s">
        <v>1177</v>
      </c>
      <c r="H680" s="26"/>
    </row>
    <row r="681">
      <c r="A681" s="16" t="s">
        <v>1178</v>
      </c>
      <c r="B681" s="27" t="s">
        <v>2264</v>
      </c>
      <c r="C681" s="27" t="s">
        <v>2436</v>
      </c>
      <c r="D681" s="27" t="s">
        <v>2436</v>
      </c>
      <c r="E681" s="27" t="s">
        <v>2264</v>
      </c>
      <c r="F681" s="27" t="s">
        <v>2456</v>
      </c>
      <c r="G681" s="21" t="s">
        <v>1177</v>
      </c>
      <c r="H681" s="26"/>
    </row>
    <row r="682">
      <c r="A682" s="16" t="s">
        <v>1181</v>
      </c>
      <c r="B682" s="28" t="s">
        <v>1962</v>
      </c>
      <c r="C682" s="28" t="s">
        <v>1582</v>
      </c>
      <c r="D682" s="28" t="s">
        <v>1582</v>
      </c>
      <c r="E682" s="28" t="s">
        <v>1295</v>
      </c>
      <c r="F682" s="28" t="s">
        <v>1209</v>
      </c>
      <c r="G682" s="28" t="s">
        <v>1177</v>
      </c>
      <c r="H682" s="26"/>
    </row>
    <row r="683">
      <c r="A683" s="16" t="s">
        <v>1182</v>
      </c>
      <c r="B683" s="21" t="s">
        <v>2097</v>
      </c>
      <c r="C683" s="21" t="s">
        <v>1931</v>
      </c>
      <c r="D683" s="21" t="s">
        <v>1884</v>
      </c>
      <c r="E683" s="21" t="s">
        <v>1946</v>
      </c>
      <c r="F683" s="21" t="s">
        <v>1212</v>
      </c>
      <c r="G683" s="21" t="s">
        <v>1177</v>
      </c>
      <c r="H683" s="26"/>
    </row>
    <row r="684">
      <c r="A684" s="16" t="s">
        <v>1186</v>
      </c>
      <c r="B684" s="28" t="s">
        <v>1256</v>
      </c>
      <c r="C684" s="28" t="s">
        <v>1284</v>
      </c>
      <c r="D684" s="28" t="s">
        <v>1284</v>
      </c>
      <c r="E684" s="28" t="s">
        <v>1754</v>
      </c>
      <c r="F684" s="28" t="s">
        <v>1248</v>
      </c>
      <c r="G684" s="28" t="s">
        <v>1177</v>
      </c>
      <c r="H684" s="26"/>
    </row>
    <row r="685">
      <c r="A685" s="20" t="s">
        <v>1188</v>
      </c>
      <c r="B685" s="21" t="s">
        <v>1468</v>
      </c>
      <c r="C685" s="21" t="s">
        <v>1778</v>
      </c>
      <c r="D685" s="21" t="s">
        <v>1822</v>
      </c>
      <c r="E685" s="21" t="s">
        <v>2110</v>
      </c>
      <c r="F685" s="21" t="s">
        <v>1760</v>
      </c>
      <c r="G685" s="21" t="s">
        <v>1177</v>
      </c>
      <c r="H685" s="26"/>
    </row>
    <row r="686">
      <c r="A686" s="29"/>
      <c r="B686" s="21" t="s">
        <v>1618</v>
      </c>
      <c r="C686" s="21" t="s">
        <v>1724</v>
      </c>
      <c r="D686" s="21" t="s">
        <v>1828</v>
      </c>
      <c r="E686" s="21" t="s">
        <v>1830</v>
      </c>
      <c r="F686" s="21" t="s">
        <v>1423</v>
      </c>
      <c r="G686" s="21" t="s">
        <v>1177</v>
      </c>
      <c r="H686" s="26"/>
    </row>
    <row r="687">
      <c r="A687" s="29"/>
      <c r="B687" s="21" t="s">
        <v>2022</v>
      </c>
      <c r="C687" s="21" t="s">
        <v>2022</v>
      </c>
      <c r="D687" s="21" t="s">
        <v>1679</v>
      </c>
      <c r="E687" s="21" t="s">
        <v>1804</v>
      </c>
      <c r="F687" s="21" t="s">
        <v>2159</v>
      </c>
      <c r="G687" s="21" t="s">
        <v>1177</v>
      </c>
      <c r="H687" s="26"/>
    </row>
    <row r="688">
      <c r="A688" s="24"/>
      <c r="B688" s="21" t="s">
        <v>1311</v>
      </c>
      <c r="C688" s="21" t="s">
        <v>1725</v>
      </c>
      <c r="D688" s="21" t="s">
        <v>1377</v>
      </c>
      <c r="E688" s="21" t="s">
        <v>1761</v>
      </c>
      <c r="F688" s="21" t="s">
        <v>1306</v>
      </c>
      <c r="G688" s="21" t="s">
        <v>1177</v>
      </c>
      <c r="H688" s="30"/>
      <c r="I688" s="14"/>
    </row>
    <row r="689">
      <c r="A689" s="16" t="s">
        <v>1174</v>
      </c>
      <c r="B689" s="17" t="s">
        <v>2471</v>
      </c>
      <c r="C689" s="18"/>
      <c r="D689" s="18"/>
      <c r="E689" s="18"/>
      <c r="F689" s="18"/>
      <c r="G689" s="18"/>
      <c r="H689" s="18"/>
      <c r="I689" s="16"/>
    </row>
    <row r="690" ht="60.0" customHeight="1">
      <c r="A690" s="20" t="s">
        <v>1176</v>
      </c>
      <c r="B690" s="21" t="str">
        <f t="array" ref="B690">iferror(VLOOKUP(INDIRECT(ADDRESS(ROW()+1,COLUMN(), 4)),Dex!$A$2:$C954,3,false),"")</f>
        <v/>
      </c>
      <c r="C690" s="21" t="str">
        <f t="array" ref="C690">iferror(VLOOKUP(INDIRECT(ADDRESS(ROW()+1,COLUMN(), 4)),Dex!$A$2:$C954,3,false),"")</f>
        <v/>
      </c>
      <c r="D690" s="21" t="str">
        <f t="array" ref="D690">iferror(VLOOKUP(INDIRECT(ADDRESS(ROW()+1,COLUMN(), 4)),Dex!$A$2:$C954,3,false),"")</f>
        <v/>
      </c>
      <c r="E690" s="21" t="str">
        <f t="array" ref="E690">iferror(VLOOKUP(INDIRECT(ADDRESS(ROW()+1,COLUMN(), 4)),Dex!$A$2:$C954,3,false),"")</f>
        <v/>
      </c>
      <c r="F690" s="21" t="str">
        <f t="array" ref="F690">iferror(VLOOKUP(INDIRECT(ADDRESS(ROW()+1,COLUMN(), 4)),Dex!$A$2:$C954,3,false),"")</f>
        <v/>
      </c>
      <c r="G690" s="21" t="s">
        <v>1177</v>
      </c>
      <c r="H690" s="22" t="str">
        <f t="array" ref="H690">iferror(VLOOKUP("TRAINER_PIC_AQUA_GRUNT_M",Sprites!$A$1:$B954,2,false),"")</f>
        <v/>
      </c>
      <c r="I690" s="23"/>
    </row>
    <row r="691">
      <c r="A691" s="24"/>
      <c r="B691" s="25" t="s">
        <v>721</v>
      </c>
      <c r="C691" s="25" t="s">
        <v>309</v>
      </c>
      <c r="D691" s="25" t="s">
        <v>177</v>
      </c>
      <c r="E691" s="25" t="s">
        <v>594</v>
      </c>
      <c r="F691" s="25" t="s">
        <v>881</v>
      </c>
      <c r="G691" s="25" t="s">
        <v>1177</v>
      </c>
      <c r="H691" s="26"/>
    </row>
    <row r="692">
      <c r="A692" s="16" t="s">
        <v>1178</v>
      </c>
      <c r="B692" s="27" t="s">
        <v>2264</v>
      </c>
      <c r="C692" s="27" t="s">
        <v>2456</v>
      </c>
      <c r="D692" s="27" t="s">
        <v>2264</v>
      </c>
      <c r="E692" s="27" t="s">
        <v>2456</v>
      </c>
      <c r="F692" s="27" t="s">
        <v>2264</v>
      </c>
      <c r="G692" s="21" t="s">
        <v>1177</v>
      </c>
      <c r="H692" s="26"/>
    </row>
    <row r="693">
      <c r="A693" s="16" t="s">
        <v>1181</v>
      </c>
      <c r="B693" s="28" t="s">
        <v>1796</v>
      </c>
      <c r="C693" s="28" t="s">
        <v>1796</v>
      </c>
      <c r="D693" s="28" t="s">
        <v>1882</v>
      </c>
      <c r="E693" s="28" t="s">
        <v>1434</v>
      </c>
      <c r="F693" s="28" t="s">
        <v>1295</v>
      </c>
      <c r="G693" s="28" t="s">
        <v>1177</v>
      </c>
      <c r="H693" s="26"/>
    </row>
    <row r="694">
      <c r="A694" s="16" t="s">
        <v>1182</v>
      </c>
      <c r="B694" s="21" t="s">
        <v>1199</v>
      </c>
      <c r="C694" s="21" t="s">
        <v>1573</v>
      </c>
      <c r="D694" s="21" t="s">
        <v>1811</v>
      </c>
      <c r="E694" s="21" t="s">
        <v>1436</v>
      </c>
      <c r="F694" s="21" t="s">
        <v>2472</v>
      </c>
      <c r="G694" s="21" t="s">
        <v>1177</v>
      </c>
      <c r="H694" s="26"/>
    </row>
    <row r="695">
      <c r="A695" s="16" t="s">
        <v>1186</v>
      </c>
      <c r="B695" s="28" t="s">
        <v>1754</v>
      </c>
      <c r="C695" s="28" t="s">
        <v>1256</v>
      </c>
      <c r="D695" s="28" t="s">
        <v>1284</v>
      </c>
      <c r="E695" s="28" t="s">
        <v>1235</v>
      </c>
      <c r="F695" s="28" t="s">
        <v>1446</v>
      </c>
      <c r="G695" s="28" t="s">
        <v>1177</v>
      </c>
      <c r="H695" s="26"/>
    </row>
    <row r="696">
      <c r="A696" s="20" t="s">
        <v>1188</v>
      </c>
      <c r="B696" s="21" t="s">
        <v>1251</v>
      </c>
      <c r="C696" s="21" t="s">
        <v>2287</v>
      </c>
      <c r="D696" s="21" t="s">
        <v>1251</v>
      </c>
      <c r="E696" s="21" t="s">
        <v>1677</v>
      </c>
      <c r="F696" s="21" t="s">
        <v>1452</v>
      </c>
      <c r="G696" s="21" t="s">
        <v>1177</v>
      </c>
      <c r="H696" s="26"/>
    </row>
    <row r="697">
      <c r="A697" s="29"/>
      <c r="B697" s="21" t="s">
        <v>1678</v>
      </c>
      <c r="C697" s="21" t="s">
        <v>1987</v>
      </c>
      <c r="D697" s="21" t="s">
        <v>1731</v>
      </c>
      <c r="E697" s="21" t="s">
        <v>1415</v>
      </c>
      <c r="F697" s="21" t="s">
        <v>1817</v>
      </c>
      <c r="G697" s="21" t="s">
        <v>1177</v>
      </c>
      <c r="H697" s="26"/>
    </row>
    <row r="698">
      <c r="A698" s="29"/>
      <c r="B698" s="21" t="s">
        <v>1468</v>
      </c>
      <c r="C698" s="21" t="s">
        <v>1371</v>
      </c>
      <c r="D698" s="21" t="s">
        <v>1468</v>
      </c>
      <c r="E698" s="21" t="s">
        <v>1432</v>
      </c>
      <c r="F698" s="21" t="s">
        <v>1804</v>
      </c>
      <c r="G698" s="21" t="s">
        <v>1177</v>
      </c>
      <c r="H698" s="26"/>
    </row>
    <row r="699">
      <c r="A699" s="24"/>
      <c r="B699" s="21" t="s">
        <v>1705</v>
      </c>
      <c r="C699" s="21" t="s">
        <v>1468</v>
      </c>
      <c r="D699" s="21" t="s">
        <v>1724</v>
      </c>
      <c r="E699" s="21" t="s">
        <v>1641</v>
      </c>
      <c r="F699" s="21" t="s">
        <v>1761</v>
      </c>
      <c r="G699" s="21" t="s">
        <v>1177</v>
      </c>
      <c r="H699" s="30"/>
      <c r="I699" s="14"/>
    </row>
    <row r="700">
      <c r="A700" s="16" t="s">
        <v>1174</v>
      </c>
      <c r="B700" s="17" t="s">
        <v>2473</v>
      </c>
      <c r="C700" s="18"/>
      <c r="D700" s="18"/>
      <c r="E700" s="18"/>
      <c r="F700" s="18"/>
      <c r="G700" s="18"/>
      <c r="H700" s="18"/>
      <c r="I700" s="16"/>
    </row>
    <row r="701" ht="60.0" customHeight="1">
      <c r="A701" s="20" t="s">
        <v>1176</v>
      </c>
      <c r="B701" s="21" t="str">
        <f t="array" ref="B701">iferror(VLOOKUP(INDIRECT(ADDRESS(ROW()+1,COLUMN(), 4)),Dex!$A$2:$C954,3,false),"")</f>
        <v/>
      </c>
      <c r="C701" s="21" t="str">
        <f t="array" ref="C701">iferror(VLOOKUP(INDIRECT(ADDRESS(ROW()+1,COLUMN(), 4)),Dex!$A$2:$C954,3,false),"")</f>
        <v/>
      </c>
      <c r="D701" s="21" t="str">
        <f t="array" ref="D701">iferror(VLOOKUP(INDIRECT(ADDRESS(ROW()+1,COLUMN(), 4)),Dex!$A$2:$C954,3,false),"")</f>
        <v/>
      </c>
      <c r="E701" s="21" t="str">
        <f t="array" ref="E701">iferror(VLOOKUP(INDIRECT(ADDRESS(ROW()+1,COLUMN(), 4)),Dex!$A$2:$C954,3,false),"")</f>
        <v/>
      </c>
      <c r="F701" s="21" t="str">
        <f t="array" ref="F701">iferror(VLOOKUP(INDIRECT(ADDRESS(ROW()+1,COLUMN(), 4)),Dex!$A$2:$C954,3,false),"")</f>
        <v/>
      </c>
      <c r="G701" s="21" t="str">
        <f t="array" ref="G701">iferror(VLOOKUP(INDIRECT(ADDRESS(ROW()+1,COLUMN(), 4)),Dex!$A$2:$C954,3,false),"")</f>
        <v/>
      </c>
      <c r="H701" s="22" t="str">
        <f t="array" ref="H701">iferror(VLOOKUP("TRAINER_PIC_AQUA_GRUNT_M",Sprites!$A$1:$B954,2,false),"")</f>
        <v/>
      </c>
      <c r="I701" s="23"/>
    </row>
    <row r="702">
      <c r="A702" s="24"/>
      <c r="B702" s="25" t="s">
        <v>1040</v>
      </c>
      <c r="C702" s="25" t="s">
        <v>281</v>
      </c>
      <c r="D702" s="25" t="s">
        <v>107</v>
      </c>
      <c r="E702" s="25" t="s">
        <v>365</v>
      </c>
      <c r="F702" s="25" t="s">
        <v>257</v>
      </c>
      <c r="G702" s="25" t="s">
        <v>1104</v>
      </c>
      <c r="H702" s="26"/>
    </row>
    <row r="703">
      <c r="A703" s="16" t="s">
        <v>1178</v>
      </c>
      <c r="B703" s="27" t="s">
        <v>2456</v>
      </c>
      <c r="C703" s="27" t="s">
        <v>2264</v>
      </c>
      <c r="D703" s="27" t="s">
        <v>2436</v>
      </c>
      <c r="E703" s="27" t="s">
        <v>2436</v>
      </c>
      <c r="F703" s="27" t="s">
        <v>2436</v>
      </c>
      <c r="G703" s="27" t="s">
        <v>2436</v>
      </c>
      <c r="H703" s="26"/>
    </row>
    <row r="704">
      <c r="A704" s="16" t="s">
        <v>1181</v>
      </c>
      <c r="B704" s="28" t="s">
        <v>2300</v>
      </c>
      <c r="C704" s="28" t="s">
        <v>1295</v>
      </c>
      <c r="D704" s="28" t="s">
        <v>1346</v>
      </c>
      <c r="E704" s="28" t="s">
        <v>2135</v>
      </c>
      <c r="F704" s="28" t="s">
        <v>1796</v>
      </c>
      <c r="G704" s="28" t="s">
        <v>1417</v>
      </c>
      <c r="H704" s="26"/>
    </row>
    <row r="705">
      <c r="A705" s="16" t="s">
        <v>1182</v>
      </c>
      <c r="B705" s="21" t="s">
        <v>1979</v>
      </c>
      <c r="C705" s="21" t="s">
        <v>1730</v>
      </c>
      <c r="D705" s="21" t="s">
        <v>2400</v>
      </c>
      <c r="E705" s="21" t="s">
        <v>1223</v>
      </c>
      <c r="F705" s="21" t="s">
        <v>1357</v>
      </c>
      <c r="G705" s="21" t="s">
        <v>1419</v>
      </c>
      <c r="H705" s="26"/>
    </row>
    <row r="706">
      <c r="A706" s="16" t="s">
        <v>1186</v>
      </c>
      <c r="B706" s="28" t="s">
        <v>1235</v>
      </c>
      <c r="C706" s="28" t="s">
        <v>1284</v>
      </c>
      <c r="D706" s="28" t="s">
        <v>1284</v>
      </c>
      <c r="E706" s="28" t="s">
        <v>1248</v>
      </c>
      <c r="F706" s="28" t="s">
        <v>1256</v>
      </c>
      <c r="G706" s="28" t="s">
        <v>1235</v>
      </c>
      <c r="H706" s="26"/>
    </row>
    <row r="707">
      <c r="A707" s="20" t="s">
        <v>1188</v>
      </c>
      <c r="B707" s="21" t="s">
        <v>1646</v>
      </c>
      <c r="C707" s="21" t="s">
        <v>1896</v>
      </c>
      <c r="D707" s="21" t="s">
        <v>1373</v>
      </c>
      <c r="E707" s="21" t="s">
        <v>1834</v>
      </c>
      <c r="F707" s="21" t="s">
        <v>1724</v>
      </c>
      <c r="G707" s="21" t="s">
        <v>1432</v>
      </c>
      <c r="H707" s="26"/>
    </row>
    <row r="708">
      <c r="A708" s="29"/>
      <c r="B708" s="21" t="s">
        <v>1965</v>
      </c>
      <c r="C708" s="21" t="s">
        <v>2095</v>
      </c>
      <c r="D708" s="21" t="s">
        <v>1695</v>
      </c>
      <c r="E708" s="21" t="s">
        <v>1965</v>
      </c>
      <c r="F708" s="21" t="s">
        <v>1878</v>
      </c>
      <c r="G708" s="21" t="s">
        <v>1307</v>
      </c>
      <c r="H708" s="26"/>
    </row>
    <row r="709">
      <c r="A709" s="29"/>
      <c r="B709" s="21" t="s">
        <v>1779</v>
      </c>
      <c r="C709" s="21" t="s">
        <v>1924</v>
      </c>
      <c r="D709" s="21" t="s">
        <v>1285</v>
      </c>
      <c r="E709" s="21" t="s">
        <v>1469</v>
      </c>
      <c r="F709" s="21" t="s">
        <v>1788</v>
      </c>
      <c r="G709" s="21" t="s">
        <v>1874</v>
      </c>
      <c r="H709" s="26"/>
    </row>
    <row r="710">
      <c r="A710" s="24"/>
      <c r="B710" s="21" t="s">
        <v>1836</v>
      </c>
      <c r="C710" s="21" t="s">
        <v>2153</v>
      </c>
      <c r="D710" s="21" t="s">
        <v>1854</v>
      </c>
      <c r="E710" s="21" t="s">
        <v>1641</v>
      </c>
      <c r="F710" s="21" t="s">
        <v>1896</v>
      </c>
      <c r="G710" s="21" t="s">
        <v>2474</v>
      </c>
      <c r="H710" s="30"/>
      <c r="I710" s="14"/>
    </row>
    <row r="711">
      <c r="A711" s="16" t="s">
        <v>1174</v>
      </c>
      <c r="B711" s="17" t="s">
        <v>2475</v>
      </c>
      <c r="C711" s="18"/>
      <c r="D711" s="18"/>
      <c r="E711" s="18"/>
      <c r="F711" s="18"/>
      <c r="G711" s="18"/>
      <c r="H711" s="18"/>
      <c r="I711" s="16"/>
    </row>
    <row r="712" ht="60.0" customHeight="1">
      <c r="A712" s="20" t="s">
        <v>1176</v>
      </c>
      <c r="B712" s="21" t="str">
        <f t="array" ref="B712">iferror(VLOOKUP(INDIRECT(ADDRESS(ROW()+1,COLUMN(), 4)),Dex!$A$2:$C954,3,false),"")</f>
        <v/>
      </c>
      <c r="C712" s="21" t="str">
        <f t="array" ref="C712">iferror(VLOOKUP(INDIRECT(ADDRESS(ROW()+1,COLUMN(), 4)),Dex!$A$2:$C954,3,false),"")</f>
        <v/>
      </c>
      <c r="D712" s="21" t="str">
        <f t="array" ref="D712">iferror(VLOOKUP(INDIRECT(ADDRESS(ROW()+1,COLUMN(), 4)),Dex!$A$2:$C954,3,false),"")</f>
        <v/>
      </c>
      <c r="E712" s="21" t="str">
        <f t="array" ref="E712">iferror(VLOOKUP(INDIRECT(ADDRESS(ROW()+1,COLUMN(), 4)),Dex!$A$2:$C954,3,false),"")</f>
        <v/>
      </c>
      <c r="F712" s="21" t="str">
        <f t="array" ref="F712">iferror(VLOOKUP(INDIRECT(ADDRESS(ROW()+1,COLUMN(), 4)),Dex!$A$2:$C954,3,false),"")</f>
        <v/>
      </c>
      <c r="G712" s="21" t="str">
        <f t="array" ref="G712">iferror(VLOOKUP(INDIRECT(ADDRESS(ROW()+1,COLUMN(), 4)),Dex!$A$2:$C954,3,false),"")</f>
        <v/>
      </c>
      <c r="H712" s="22" t="str">
        <f t="array" ref="H712">iferror(VLOOKUP("TRAINER_PIC_AQUA_ADMIN_M",Sprites!$A$1:$B954,2,false),"")</f>
        <v/>
      </c>
      <c r="I712" s="23"/>
    </row>
    <row r="713">
      <c r="A713" s="24"/>
      <c r="B713" s="25" t="s">
        <v>595</v>
      </c>
      <c r="C713" s="25" t="s">
        <v>1130</v>
      </c>
      <c r="D713" s="25" t="s">
        <v>1136</v>
      </c>
      <c r="E713" s="25" t="s">
        <v>1020</v>
      </c>
      <c r="F713" s="25" t="s">
        <v>329</v>
      </c>
      <c r="G713" s="25" t="s">
        <v>194</v>
      </c>
      <c r="H713" s="26"/>
    </row>
    <row r="714">
      <c r="A714" s="16" t="s">
        <v>1178</v>
      </c>
      <c r="B714" s="27" t="s">
        <v>2264</v>
      </c>
      <c r="C714" s="27" t="s">
        <v>2264</v>
      </c>
      <c r="D714" s="27" t="s">
        <v>2476</v>
      </c>
      <c r="E714" s="27" t="s">
        <v>2476</v>
      </c>
      <c r="F714" s="27" t="s">
        <v>2477</v>
      </c>
      <c r="G714" s="27" t="s">
        <v>2477</v>
      </c>
      <c r="H714" s="26"/>
    </row>
    <row r="715">
      <c r="A715" s="16" t="s">
        <v>1181</v>
      </c>
      <c r="B715" s="28" t="s">
        <v>1247</v>
      </c>
      <c r="C715" s="28" t="s">
        <v>1688</v>
      </c>
      <c r="D715" s="28" t="s">
        <v>2276</v>
      </c>
      <c r="E715" s="28" t="s">
        <v>1882</v>
      </c>
      <c r="F715" s="28" t="s">
        <v>1962</v>
      </c>
      <c r="G715" s="28" t="s">
        <v>2478</v>
      </c>
      <c r="H715" s="26"/>
    </row>
    <row r="716">
      <c r="A716" s="16" t="s">
        <v>1182</v>
      </c>
      <c r="B716" s="21" t="s">
        <v>2066</v>
      </c>
      <c r="C716" s="21" t="s">
        <v>1681</v>
      </c>
      <c r="D716" s="21" t="s">
        <v>1783</v>
      </c>
      <c r="E716" s="21" t="s">
        <v>2309</v>
      </c>
      <c r="F716" s="21" t="s">
        <v>1356</v>
      </c>
      <c r="G716" s="21" t="s">
        <v>1690</v>
      </c>
      <c r="H716" s="26"/>
    </row>
    <row r="717">
      <c r="A717" s="16" t="s">
        <v>1186</v>
      </c>
      <c r="B717" s="28" t="s">
        <v>1235</v>
      </c>
      <c r="C717" s="28" t="s">
        <v>1235</v>
      </c>
      <c r="D717" s="28" t="s">
        <v>1269</v>
      </c>
      <c r="E717" s="28" t="s">
        <v>1235</v>
      </c>
      <c r="F717" s="28" t="s">
        <v>1284</v>
      </c>
      <c r="G717" s="28" t="s">
        <v>1235</v>
      </c>
      <c r="H717" s="26"/>
    </row>
    <row r="718">
      <c r="A718" s="20" t="s">
        <v>1188</v>
      </c>
      <c r="B718" s="21" t="s">
        <v>1677</v>
      </c>
      <c r="C718" s="21" t="s">
        <v>2418</v>
      </c>
      <c r="D718" s="21" t="s">
        <v>1742</v>
      </c>
      <c r="E718" s="21" t="s">
        <v>1816</v>
      </c>
      <c r="F718" s="21" t="s">
        <v>1724</v>
      </c>
      <c r="G718" s="21" t="s">
        <v>1594</v>
      </c>
      <c r="H718" s="26"/>
    </row>
    <row r="719">
      <c r="A719" s="29"/>
      <c r="B719" s="21" t="s">
        <v>2068</v>
      </c>
      <c r="C719" s="21" t="s">
        <v>1177</v>
      </c>
      <c r="D719" s="21" t="s">
        <v>2479</v>
      </c>
      <c r="E719" s="21" t="s">
        <v>2298</v>
      </c>
      <c r="F719" s="21" t="s">
        <v>1695</v>
      </c>
      <c r="G719" s="21" t="s">
        <v>1834</v>
      </c>
      <c r="H719" s="26"/>
    </row>
    <row r="720">
      <c r="A720" s="29"/>
      <c r="B720" s="21" t="s">
        <v>1651</v>
      </c>
      <c r="C720" s="21" t="s">
        <v>1177</v>
      </c>
      <c r="D720" s="21" t="s">
        <v>2104</v>
      </c>
      <c r="E720" s="21" t="s">
        <v>1975</v>
      </c>
      <c r="F720" s="21" t="s">
        <v>1587</v>
      </c>
      <c r="G720" s="21" t="s">
        <v>1677</v>
      </c>
      <c r="H720" s="26"/>
    </row>
    <row r="721">
      <c r="A721" s="24"/>
      <c r="B721" s="21" t="s">
        <v>1705</v>
      </c>
      <c r="C721" s="21" t="s">
        <v>1177</v>
      </c>
      <c r="D721" s="21" t="s">
        <v>1251</v>
      </c>
      <c r="E721" s="21" t="s">
        <v>1577</v>
      </c>
      <c r="F721" s="21" t="s">
        <v>1698</v>
      </c>
      <c r="G721" s="21" t="s">
        <v>1915</v>
      </c>
      <c r="H721" s="30"/>
      <c r="I721" s="14"/>
    </row>
    <row r="722">
      <c r="A722" s="37"/>
      <c r="B722" s="38" t="s">
        <v>2480</v>
      </c>
      <c r="C722" s="14"/>
      <c r="D722" s="14"/>
      <c r="E722" s="14"/>
      <c r="F722" s="14"/>
      <c r="G722" s="14"/>
      <c r="H722" s="24"/>
      <c r="I722" s="33"/>
    </row>
    <row r="723">
      <c r="A723" s="16" t="s">
        <v>1174</v>
      </c>
      <c r="B723" s="17" t="s">
        <v>2481</v>
      </c>
      <c r="C723" s="18"/>
      <c r="D723" s="18"/>
      <c r="E723" s="18"/>
      <c r="F723" s="18"/>
      <c r="G723" s="18"/>
      <c r="H723" s="18"/>
      <c r="I723" s="16"/>
    </row>
    <row r="724" ht="60.0" customHeight="1">
      <c r="A724" s="20" t="s">
        <v>1176</v>
      </c>
      <c r="B724" s="21" t="str">
        <f t="array" ref="B724">iferror(VLOOKUP(INDIRECT(ADDRESS(ROW()+1,COLUMN(), 4)),Dex!$A$2:$C954,3,false),"")</f>
        <v/>
      </c>
      <c r="C724" s="21" t="str">
        <f t="array" ref="C724">iferror(VLOOKUP(INDIRECT(ADDRESS(ROW()+1,COLUMN(), 4)),Dex!$A$2:$C954,3,false),"")</f>
        <v/>
      </c>
      <c r="D724" s="21" t="str">
        <f t="array" ref="D724">iferror(VLOOKUP(INDIRECT(ADDRESS(ROW()+1,COLUMN(), 4)),Dex!$A$2:$C954,3,false),"")</f>
        <v/>
      </c>
      <c r="E724" s="21" t="s">
        <v>1177</v>
      </c>
      <c r="F724" s="21" t="str">
        <f t="array" ref="F724">iferror(VLOOKUP(INDIRECT(ADDRESS(ROW()+1,COLUMN(), 4)),Dex!$A$2:$C954,3,false),"")</f>
        <v/>
      </c>
      <c r="G724" s="21" t="str">
        <f t="array" ref="G724">iferror(VLOOKUP(INDIRECT(ADDRESS(ROW()+1,COLUMN(), 4)),Dex!$A$2:$C954,3,false),"")</f>
        <v/>
      </c>
      <c r="H724" s="22" t="str">
        <f t="array" ref="H724">iferror(VLOOKUP("TRAINER_PIC_SWIMMER_M",Sprites!$A$1:$B954,2,false),"")</f>
        <v/>
      </c>
      <c r="I724" s="23"/>
    </row>
    <row r="725">
      <c r="A725" s="24"/>
      <c r="B725" s="25" t="s">
        <v>828</v>
      </c>
      <c r="C725" s="25" t="s">
        <v>996</v>
      </c>
      <c r="D725" s="25" t="s">
        <v>867</v>
      </c>
      <c r="E725" s="25" t="s">
        <v>1177</v>
      </c>
      <c r="F725" s="25" t="s">
        <v>1116</v>
      </c>
      <c r="G725" s="25" t="s">
        <v>1040</v>
      </c>
      <c r="H725" s="26"/>
    </row>
    <row r="726">
      <c r="A726" s="16" t="s">
        <v>1178</v>
      </c>
      <c r="B726" s="27" t="s">
        <v>2476</v>
      </c>
      <c r="C726" s="27" t="s">
        <v>2476</v>
      </c>
      <c r="D726" s="27" t="s">
        <v>2476</v>
      </c>
      <c r="E726" s="21" t="s">
        <v>1177</v>
      </c>
      <c r="F726" s="27" t="s">
        <v>2477</v>
      </c>
      <c r="G726" s="27" t="s">
        <v>2477</v>
      </c>
      <c r="H726" s="26"/>
    </row>
    <row r="727">
      <c r="A727" s="16" t="s">
        <v>1181</v>
      </c>
      <c r="B727" s="28" t="s">
        <v>1882</v>
      </c>
      <c r="C727" s="28" t="s">
        <v>2284</v>
      </c>
      <c r="D727" s="28" t="s">
        <v>1247</v>
      </c>
      <c r="E727" s="28" t="s">
        <v>1177</v>
      </c>
      <c r="F727" s="28" t="s">
        <v>1660</v>
      </c>
      <c r="G727" s="28" t="s">
        <v>1838</v>
      </c>
      <c r="H727" s="26"/>
    </row>
    <row r="728">
      <c r="A728" s="16" t="s">
        <v>1182</v>
      </c>
      <c r="B728" s="21" t="s">
        <v>1443</v>
      </c>
      <c r="C728" s="21" t="s">
        <v>1964</v>
      </c>
      <c r="D728" s="21" t="s">
        <v>2100</v>
      </c>
      <c r="E728" s="21" t="s">
        <v>1177</v>
      </c>
      <c r="F728" s="21" t="s">
        <v>1849</v>
      </c>
      <c r="G728" s="21" t="s">
        <v>1979</v>
      </c>
      <c r="H728" s="26"/>
    </row>
    <row r="729">
      <c r="A729" s="16" t="s">
        <v>1186</v>
      </c>
      <c r="B729" s="28" t="s">
        <v>1284</v>
      </c>
      <c r="C729" s="28" t="s">
        <v>1248</v>
      </c>
      <c r="D729" s="28" t="s">
        <v>1256</v>
      </c>
      <c r="E729" s="28" t="s">
        <v>1177</v>
      </c>
      <c r="F729" s="28" t="s">
        <v>1447</v>
      </c>
      <c r="G729" s="28" t="s">
        <v>1235</v>
      </c>
      <c r="H729" s="26"/>
    </row>
    <row r="730">
      <c r="A730" s="20" t="s">
        <v>1188</v>
      </c>
      <c r="B730" s="21" t="s">
        <v>1890</v>
      </c>
      <c r="C730" s="21" t="s">
        <v>1983</v>
      </c>
      <c r="D730" s="21" t="s">
        <v>1793</v>
      </c>
      <c r="E730" s="21" t="s">
        <v>1177</v>
      </c>
      <c r="F730" s="21" t="s">
        <v>1852</v>
      </c>
      <c r="G730" s="21" t="s">
        <v>1965</v>
      </c>
      <c r="H730" s="26"/>
    </row>
    <row r="731">
      <c r="A731" s="29"/>
      <c r="B731" s="21" t="s">
        <v>1468</v>
      </c>
      <c r="C731" s="21" t="s">
        <v>1965</v>
      </c>
      <c r="D731" s="21" t="s">
        <v>1272</v>
      </c>
      <c r="E731" s="21" t="s">
        <v>1177</v>
      </c>
      <c r="F731" s="21" t="s">
        <v>2167</v>
      </c>
      <c r="G731" s="21" t="s">
        <v>1779</v>
      </c>
      <c r="H731" s="26"/>
    </row>
    <row r="732">
      <c r="A732" s="29"/>
      <c r="B732" s="21" t="s">
        <v>1652</v>
      </c>
      <c r="C732" s="21" t="s">
        <v>1952</v>
      </c>
      <c r="D732" s="21" t="s">
        <v>1828</v>
      </c>
      <c r="E732" s="21" t="s">
        <v>1177</v>
      </c>
      <c r="F732" s="21" t="s">
        <v>1793</v>
      </c>
      <c r="G732" s="21" t="s">
        <v>2159</v>
      </c>
      <c r="H732" s="26"/>
    </row>
    <row r="733">
      <c r="A733" s="24"/>
      <c r="B733" s="21" t="s">
        <v>2482</v>
      </c>
      <c r="C733" s="21" t="s">
        <v>1948</v>
      </c>
      <c r="D733" s="21" t="s">
        <v>2314</v>
      </c>
      <c r="E733" s="21" t="s">
        <v>1177</v>
      </c>
      <c r="F733" s="21" t="s">
        <v>1262</v>
      </c>
      <c r="G733" s="21" t="s">
        <v>1225</v>
      </c>
      <c r="H733" s="30"/>
      <c r="I733" s="14"/>
    </row>
    <row r="734">
      <c r="A734" s="16" t="s">
        <v>1174</v>
      </c>
      <c r="B734" s="17" t="s">
        <v>2483</v>
      </c>
      <c r="C734" s="18"/>
      <c r="D734" s="18"/>
      <c r="E734" s="18"/>
      <c r="F734" s="18"/>
      <c r="G734" s="18"/>
      <c r="H734" s="18"/>
      <c r="I734" s="16"/>
    </row>
    <row r="735" ht="60.0" customHeight="1">
      <c r="A735" s="20" t="s">
        <v>1176</v>
      </c>
      <c r="B735" s="21" t="str">
        <f t="array" ref="B735">iferror(VLOOKUP(INDIRECT(ADDRESS(ROW()+1,COLUMN(), 4)),Dex!$A$2:$C954,3,false),"")</f>
        <v/>
      </c>
      <c r="C735" s="21" t="str">
        <f t="array" ref="C735">iferror(VLOOKUP(INDIRECT(ADDRESS(ROW()+1,COLUMN(), 4)),Dex!$A$2:$C954,3,false),"")</f>
        <v/>
      </c>
      <c r="D735" s="21" t="str">
        <f t="array" ref="D735">iferror(VLOOKUP(INDIRECT(ADDRESS(ROW()+1,COLUMN(), 4)),Dex!$A$2:$C954,3,false),"")</f>
        <v/>
      </c>
      <c r="E735" s="21" t="str">
        <f t="array" ref="E735">iferror(VLOOKUP(INDIRECT(ADDRESS(ROW()+1,COLUMN(), 4)),Dex!$A$2:$C954,3,false),"")</f>
        <v/>
      </c>
      <c r="F735" s="21" t="str">
        <f t="array" ref="F735">iferror(VLOOKUP(INDIRECT(ADDRESS(ROW()+1,COLUMN(), 4)),Dex!$A$2:$C954,3,false),"")</f>
        <v/>
      </c>
      <c r="G735" s="21" t="s">
        <v>1177</v>
      </c>
      <c r="H735" s="22" t="str">
        <f t="array" ref="H735">iferror(VLOOKUP("TRAINER_PIC_SWIMMER_M",Sprites!$A$1:$B954,2,false),"")</f>
        <v/>
      </c>
      <c r="I735" s="23"/>
    </row>
    <row r="736">
      <c r="A736" s="24"/>
      <c r="B736" s="25" t="s">
        <v>859</v>
      </c>
      <c r="C736" s="25" t="s">
        <v>52</v>
      </c>
      <c r="D736" s="25" t="s">
        <v>261</v>
      </c>
      <c r="E736" s="25" t="s">
        <v>210</v>
      </c>
      <c r="F736" s="25" t="s">
        <v>421</v>
      </c>
      <c r="G736" s="25" t="s">
        <v>1177</v>
      </c>
      <c r="H736" s="26"/>
    </row>
    <row r="737">
      <c r="A737" s="16" t="s">
        <v>1178</v>
      </c>
      <c r="B737" s="27" t="s">
        <v>2477</v>
      </c>
      <c r="C737" s="27" t="s">
        <v>2476</v>
      </c>
      <c r="D737" s="27" t="s">
        <v>2476</v>
      </c>
      <c r="E737" s="27" t="s">
        <v>2484</v>
      </c>
      <c r="F737" s="27" t="s">
        <v>2485</v>
      </c>
      <c r="G737" s="21" t="s">
        <v>1177</v>
      </c>
      <c r="H737" s="26"/>
    </row>
    <row r="738">
      <c r="A738" s="16" t="s">
        <v>1181</v>
      </c>
      <c r="B738" s="28" t="s">
        <v>1247</v>
      </c>
      <c r="C738" s="28" t="s">
        <v>1882</v>
      </c>
      <c r="D738" s="28" t="s">
        <v>1366</v>
      </c>
      <c r="E738" s="28" t="s">
        <v>1703</v>
      </c>
      <c r="F738" s="28" t="s">
        <v>1962</v>
      </c>
      <c r="G738" s="28" t="s">
        <v>1177</v>
      </c>
      <c r="H738" s="26"/>
    </row>
    <row r="739">
      <c r="A739" s="16" t="s">
        <v>1182</v>
      </c>
      <c r="B739" s="21" t="s">
        <v>1222</v>
      </c>
      <c r="C739" s="21" t="s">
        <v>1938</v>
      </c>
      <c r="D739" s="21" t="s">
        <v>2004</v>
      </c>
      <c r="E739" s="21" t="s">
        <v>1299</v>
      </c>
      <c r="F739" s="21" t="s">
        <v>2066</v>
      </c>
      <c r="G739" s="21" t="s">
        <v>1177</v>
      </c>
      <c r="H739" s="26"/>
    </row>
    <row r="740">
      <c r="A740" s="16" t="s">
        <v>1186</v>
      </c>
      <c r="B740" s="28" t="s">
        <v>1284</v>
      </c>
      <c r="C740" s="28" t="s">
        <v>1284</v>
      </c>
      <c r="D740" s="28" t="s">
        <v>1235</v>
      </c>
      <c r="E740" s="28" t="s">
        <v>1446</v>
      </c>
      <c r="F740" s="28" t="s">
        <v>1249</v>
      </c>
      <c r="G740" s="28" t="s">
        <v>1177</v>
      </c>
      <c r="H740" s="26"/>
    </row>
    <row r="741">
      <c r="A741" s="20" t="s">
        <v>1188</v>
      </c>
      <c r="B741" s="21" t="s">
        <v>2451</v>
      </c>
      <c r="C741" s="21" t="s">
        <v>2198</v>
      </c>
      <c r="D741" s="21" t="s">
        <v>1372</v>
      </c>
      <c r="E741" s="21" t="s">
        <v>1407</v>
      </c>
      <c r="F741" s="21" t="s">
        <v>2287</v>
      </c>
      <c r="G741" s="21" t="s">
        <v>1177</v>
      </c>
      <c r="H741" s="26"/>
    </row>
    <row r="742">
      <c r="A742" s="29"/>
      <c r="B742" s="21" t="s">
        <v>1740</v>
      </c>
      <c r="C742" s="21" t="s">
        <v>1618</v>
      </c>
      <c r="D742" s="21" t="s">
        <v>1236</v>
      </c>
      <c r="E742" s="21" t="s">
        <v>1928</v>
      </c>
      <c r="F742" s="21" t="s">
        <v>1251</v>
      </c>
      <c r="G742" s="21" t="s">
        <v>1177</v>
      </c>
      <c r="H742" s="26"/>
    </row>
    <row r="743">
      <c r="A743" s="29"/>
      <c r="B743" s="21" t="s">
        <v>1724</v>
      </c>
      <c r="C743" s="21" t="s">
        <v>2054</v>
      </c>
      <c r="D743" s="21" t="s">
        <v>1323</v>
      </c>
      <c r="E743" s="21" t="s">
        <v>2159</v>
      </c>
      <c r="F743" s="21" t="s">
        <v>2167</v>
      </c>
      <c r="G743" s="21" t="s">
        <v>1177</v>
      </c>
      <c r="H743" s="26"/>
    </row>
    <row r="744">
      <c r="A744" s="24"/>
      <c r="B744" s="21" t="s">
        <v>1310</v>
      </c>
      <c r="C744" s="21" t="s">
        <v>2104</v>
      </c>
      <c r="D744" s="21" t="s">
        <v>1306</v>
      </c>
      <c r="E744" s="21" t="s">
        <v>1306</v>
      </c>
      <c r="F744" s="21" t="s">
        <v>1177</v>
      </c>
      <c r="G744" s="21" t="s">
        <v>1177</v>
      </c>
      <c r="H744" s="30"/>
      <c r="I744" s="14"/>
    </row>
    <row r="745">
      <c r="A745" s="16" t="s">
        <v>1174</v>
      </c>
      <c r="B745" s="17" t="s">
        <v>2486</v>
      </c>
      <c r="C745" s="18"/>
      <c r="D745" s="18"/>
      <c r="E745" s="18"/>
      <c r="F745" s="18"/>
      <c r="G745" s="18"/>
      <c r="H745" s="18"/>
      <c r="I745" s="16"/>
    </row>
    <row r="746" ht="60.0" customHeight="1">
      <c r="A746" s="20" t="s">
        <v>1176</v>
      </c>
      <c r="B746" s="21" t="str">
        <f t="array" ref="B746">iferror(VLOOKUP(INDIRECT(ADDRESS(ROW()+1,COLUMN(), 4)),Dex!$A$2:$C954,3,false),"")</f>
        <v/>
      </c>
      <c r="C746" s="21" t="str">
        <f t="array" ref="C746">iferror(VLOOKUP(INDIRECT(ADDRESS(ROW()+1,COLUMN(), 4)),Dex!$A$2:$C954,3,false),"")</f>
        <v/>
      </c>
      <c r="D746" s="21" t="str">
        <f t="array" ref="D746">iferror(VLOOKUP(INDIRECT(ADDRESS(ROW()+1,COLUMN(), 4)),Dex!$A$2:$C954,3,false),"")</f>
        <v/>
      </c>
      <c r="E746" s="21" t="str">
        <f t="array" ref="E746">iferror(VLOOKUP(INDIRECT(ADDRESS(ROW()+1,COLUMN(), 4)),Dex!$A$2:$C954,3,false),"")</f>
        <v/>
      </c>
      <c r="F746" s="21" t="str">
        <f t="array" ref="F746">iferror(VLOOKUP(INDIRECT(ADDRESS(ROW()+1,COLUMN(), 4)),Dex!$A$2:$C954,3,false),"")</f>
        <v/>
      </c>
      <c r="G746" s="21" t="str">
        <f t="array" ref="G746">iferror(VLOOKUP(INDIRECT(ADDRESS(ROW()+1,COLUMN(), 4)),Dex!$A$2:$C954,3,false),"")</f>
        <v/>
      </c>
      <c r="H746" s="22" t="str">
        <f t="array" ref="H746">iferror(VLOOKUP("TRAINER_PIC_SWIMMING_TRIATHLETE_F",Sprites!$A$1:$B954,2,false),"")</f>
        <v/>
      </c>
      <c r="I746" s="23"/>
    </row>
    <row r="747">
      <c r="A747" s="24"/>
      <c r="B747" s="25" t="s">
        <v>1122</v>
      </c>
      <c r="C747" s="25" t="s">
        <v>917</v>
      </c>
      <c r="D747" s="25" t="s">
        <v>1076</v>
      </c>
      <c r="E747" s="25" t="s">
        <v>97</v>
      </c>
      <c r="F747" s="25" t="s">
        <v>583</v>
      </c>
      <c r="G747" s="25" t="s">
        <v>120</v>
      </c>
      <c r="H747" s="26"/>
    </row>
    <row r="748">
      <c r="A748" s="16" t="s">
        <v>1178</v>
      </c>
      <c r="B748" s="27" t="s">
        <v>2477</v>
      </c>
      <c r="C748" s="27" t="s">
        <v>2484</v>
      </c>
      <c r="D748" s="27" t="s">
        <v>2484</v>
      </c>
      <c r="E748" s="27" t="s">
        <v>2477</v>
      </c>
      <c r="F748" s="27" t="s">
        <v>2477</v>
      </c>
      <c r="G748" s="27" t="s">
        <v>2484</v>
      </c>
      <c r="H748" s="26"/>
    </row>
    <row r="749">
      <c r="A749" s="16" t="s">
        <v>1181</v>
      </c>
      <c r="B749" s="28" t="s">
        <v>1247</v>
      </c>
      <c r="C749" s="28" t="s">
        <v>2487</v>
      </c>
      <c r="D749" s="28" t="s">
        <v>2195</v>
      </c>
      <c r="E749" s="28" t="s">
        <v>1882</v>
      </c>
      <c r="F749" s="28" t="s">
        <v>2139</v>
      </c>
      <c r="G749" s="28" t="s">
        <v>1911</v>
      </c>
      <c r="H749" s="26"/>
    </row>
    <row r="750">
      <c r="A750" s="16" t="s">
        <v>1182</v>
      </c>
      <c r="B750" s="21" t="s">
        <v>1912</v>
      </c>
      <c r="C750" s="21" t="s">
        <v>1635</v>
      </c>
      <c r="D750" s="21" t="s">
        <v>1299</v>
      </c>
      <c r="E750" s="21" t="s">
        <v>1604</v>
      </c>
      <c r="F750" s="21" t="s">
        <v>1356</v>
      </c>
      <c r="G750" s="21" t="s">
        <v>2066</v>
      </c>
      <c r="H750" s="26"/>
    </row>
    <row r="751">
      <c r="A751" s="16" t="s">
        <v>1186</v>
      </c>
      <c r="B751" s="28" t="s">
        <v>1284</v>
      </c>
      <c r="C751" s="28" t="s">
        <v>1284</v>
      </c>
      <c r="D751" s="28" t="s">
        <v>1269</v>
      </c>
      <c r="E751" s="28" t="s">
        <v>1284</v>
      </c>
      <c r="F751" s="28" t="s">
        <v>1235</v>
      </c>
      <c r="G751" s="28" t="s">
        <v>1406</v>
      </c>
      <c r="H751" s="26"/>
    </row>
    <row r="752">
      <c r="A752" s="20" t="s">
        <v>1188</v>
      </c>
      <c r="B752" s="21" t="s">
        <v>1913</v>
      </c>
      <c r="C752" s="21" t="s">
        <v>1778</v>
      </c>
      <c r="D752" s="21" t="s">
        <v>1712</v>
      </c>
      <c r="E752" s="21" t="s">
        <v>1913</v>
      </c>
      <c r="F752" s="21" t="s">
        <v>1336</v>
      </c>
      <c r="G752" s="21" t="s">
        <v>1760</v>
      </c>
      <c r="H752" s="26"/>
    </row>
    <row r="753">
      <c r="A753" s="29"/>
      <c r="B753" s="21" t="s">
        <v>1605</v>
      </c>
      <c r="C753" s="21" t="s">
        <v>1261</v>
      </c>
      <c r="D753" s="21" t="s">
        <v>2073</v>
      </c>
      <c r="E753" s="21" t="s">
        <v>1605</v>
      </c>
      <c r="F753" s="21" t="s">
        <v>1440</v>
      </c>
      <c r="G753" s="21" t="s">
        <v>1804</v>
      </c>
      <c r="H753" s="26"/>
    </row>
    <row r="754">
      <c r="A754" s="29"/>
      <c r="B754" s="21" t="s">
        <v>1726</v>
      </c>
      <c r="C754" s="21" t="s">
        <v>1731</v>
      </c>
      <c r="D754" s="21" t="s">
        <v>2021</v>
      </c>
      <c r="E754" s="21" t="s">
        <v>1398</v>
      </c>
      <c r="F754" s="21" t="s">
        <v>1714</v>
      </c>
      <c r="G754" s="21" t="s">
        <v>1761</v>
      </c>
      <c r="H754" s="26"/>
    </row>
    <row r="755">
      <c r="A755" s="24"/>
      <c r="B755" s="21" t="s">
        <v>1698</v>
      </c>
      <c r="C755" s="21" t="s">
        <v>1780</v>
      </c>
      <c r="D755" s="21" t="s">
        <v>1915</v>
      </c>
      <c r="E755" s="21" t="s">
        <v>1959</v>
      </c>
      <c r="F755" s="21" t="s">
        <v>1759</v>
      </c>
      <c r="G755" s="21" t="s">
        <v>1806</v>
      </c>
      <c r="H755" s="30"/>
      <c r="I755" s="14"/>
    </row>
    <row r="756">
      <c r="A756" s="16" t="s">
        <v>1174</v>
      </c>
      <c r="B756" s="17" t="s">
        <v>2488</v>
      </c>
      <c r="C756" s="18"/>
      <c r="D756" s="18"/>
      <c r="E756" s="18"/>
      <c r="F756" s="18"/>
      <c r="G756" s="18"/>
      <c r="H756" s="18"/>
      <c r="I756" s="16"/>
    </row>
    <row r="757" ht="60.0" customHeight="1">
      <c r="A757" s="20" t="s">
        <v>1176</v>
      </c>
      <c r="B757" s="21" t="str">
        <f t="array" ref="B757">iferror(VLOOKUP(INDIRECT(ADDRESS(ROW()+1,COLUMN(), 4)),Dex!$A$2:$C954,3,false),"")</f>
        <v/>
      </c>
      <c r="C757" s="21" t="str">
        <f t="array" ref="C757">iferror(VLOOKUP(INDIRECT(ADDRESS(ROW()+1,COLUMN(), 4)),Dex!$A$2:$C954,3,false),"")</f>
        <v/>
      </c>
      <c r="D757" s="21" t="str">
        <f t="array" ref="D757">iferror(VLOOKUP(INDIRECT(ADDRESS(ROW()+1,COLUMN(), 4)),Dex!$A$2:$C954,3,false),"")</f>
        <v/>
      </c>
      <c r="E757" s="21" t="s">
        <v>1177</v>
      </c>
      <c r="F757" s="21" t="s">
        <v>1177</v>
      </c>
      <c r="G757" s="21" t="s">
        <v>1177</v>
      </c>
      <c r="H757" s="22" t="str">
        <f t="array" ref="H757">iferror(VLOOKUP("TRAINER_PIC_SWIMMER_M",Sprites!$A$1:$B954,2,false),"")</f>
        <v/>
      </c>
      <c r="I757" s="23"/>
    </row>
    <row r="758">
      <c r="A758" s="24"/>
      <c r="B758" s="25" t="s">
        <v>450</v>
      </c>
      <c r="C758" s="25" t="s">
        <v>994</v>
      </c>
      <c r="D758" s="25" t="s">
        <v>865</v>
      </c>
      <c r="E758" s="25" t="s">
        <v>1177</v>
      </c>
      <c r="F758" s="25" t="s">
        <v>1177</v>
      </c>
      <c r="G758" s="25" t="s">
        <v>1177</v>
      </c>
      <c r="H758" s="26"/>
    </row>
    <row r="759">
      <c r="A759" s="16" t="s">
        <v>1178</v>
      </c>
      <c r="B759" s="27" t="s">
        <v>2410</v>
      </c>
      <c r="C759" s="27" t="s">
        <v>2410</v>
      </c>
      <c r="D759" s="27" t="s">
        <v>2410</v>
      </c>
      <c r="E759" s="21" t="s">
        <v>1177</v>
      </c>
      <c r="F759" s="21" t="s">
        <v>1177</v>
      </c>
      <c r="G759" s="21" t="s">
        <v>1177</v>
      </c>
      <c r="H759" s="26"/>
    </row>
    <row r="760">
      <c r="A760" s="16" t="s">
        <v>1181</v>
      </c>
      <c r="B760" s="28" t="s">
        <v>1177</v>
      </c>
      <c r="C760" s="28" t="s">
        <v>1177</v>
      </c>
      <c r="D760" s="28" t="s">
        <v>1177</v>
      </c>
      <c r="E760" s="28" t="s">
        <v>1177</v>
      </c>
      <c r="F760" s="28" t="s">
        <v>1177</v>
      </c>
      <c r="G760" s="28" t="s">
        <v>1177</v>
      </c>
      <c r="H760" s="26"/>
    </row>
    <row r="761">
      <c r="A761" s="16" t="s">
        <v>1182</v>
      </c>
      <c r="B761" s="21" t="s">
        <v>2156</v>
      </c>
      <c r="C761" s="21" t="s">
        <v>2070</v>
      </c>
      <c r="D761" s="21" t="s">
        <v>1348</v>
      </c>
      <c r="E761" s="21" t="s">
        <v>1177</v>
      </c>
      <c r="F761" s="21" t="s">
        <v>1177</v>
      </c>
      <c r="G761" s="21" t="s">
        <v>1177</v>
      </c>
      <c r="H761" s="26"/>
    </row>
    <row r="762">
      <c r="A762" s="16" t="s">
        <v>1186</v>
      </c>
      <c r="B762" s="28" t="s">
        <v>1187</v>
      </c>
      <c r="C762" s="28" t="s">
        <v>1187</v>
      </c>
      <c r="D762" s="28" t="s">
        <v>1187</v>
      </c>
      <c r="E762" s="28" t="s">
        <v>1177</v>
      </c>
      <c r="F762" s="28" t="s">
        <v>1177</v>
      </c>
      <c r="G762" s="28" t="s">
        <v>1177</v>
      </c>
      <c r="H762" s="26"/>
    </row>
    <row r="763">
      <c r="A763" s="20" t="s">
        <v>1188</v>
      </c>
      <c r="B763" s="21" t="s">
        <v>1177</v>
      </c>
      <c r="C763" s="21" t="s">
        <v>1177</v>
      </c>
      <c r="D763" s="21" t="s">
        <v>1177</v>
      </c>
      <c r="E763" s="21" t="s">
        <v>1177</v>
      </c>
      <c r="F763" s="21" t="s">
        <v>1177</v>
      </c>
      <c r="G763" s="21" t="s">
        <v>1177</v>
      </c>
      <c r="H763" s="26"/>
    </row>
    <row r="764">
      <c r="A764" s="29"/>
      <c r="B764" s="21" t="s">
        <v>1177</v>
      </c>
      <c r="C764" s="21" t="s">
        <v>1177</v>
      </c>
      <c r="D764" s="21" t="s">
        <v>1177</v>
      </c>
      <c r="E764" s="21" t="s">
        <v>1177</v>
      </c>
      <c r="F764" s="21" t="s">
        <v>1177</v>
      </c>
      <c r="G764" s="21" t="s">
        <v>1177</v>
      </c>
      <c r="H764" s="26"/>
    </row>
    <row r="765">
      <c r="A765" s="29"/>
      <c r="B765" s="21" t="s">
        <v>1177</v>
      </c>
      <c r="C765" s="21" t="s">
        <v>1177</v>
      </c>
      <c r="D765" s="21" t="s">
        <v>1177</v>
      </c>
      <c r="E765" s="21" t="s">
        <v>1177</v>
      </c>
      <c r="F765" s="21" t="s">
        <v>1177</v>
      </c>
      <c r="G765" s="21" t="s">
        <v>1177</v>
      </c>
      <c r="H765" s="26"/>
    </row>
    <row r="766">
      <c r="A766" s="24"/>
      <c r="B766" s="21" t="s">
        <v>1177</v>
      </c>
      <c r="C766" s="21" t="s">
        <v>1177</v>
      </c>
      <c r="D766" s="21" t="s">
        <v>1177</v>
      </c>
      <c r="E766" s="21" t="s">
        <v>1177</v>
      </c>
      <c r="F766" s="21" t="s">
        <v>1177</v>
      </c>
      <c r="G766" s="21" t="s">
        <v>1177</v>
      </c>
      <c r="H766" s="30"/>
      <c r="I766" s="14"/>
    </row>
    <row r="767">
      <c r="A767" s="16" t="s">
        <v>1174</v>
      </c>
      <c r="B767" s="17" t="s">
        <v>2489</v>
      </c>
      <c r="C767" s="18"/>
      <c r="D767" s="18"/>
      <c r="E767" s="18"/>
      <c r="F767" s="18"/>
      <c r="G767" s="18"/>
      <c r="H767" s="18"/>
      <c r="I767" s="16"/>
    </row>
    <row r="768" ht="60.0" customHeight="1">
      <c r="A768" s="20" t="s">
        <v>1176</v>
      </c>
      <c r="B768" s="21" t="str">
        <f t="array" ref="B768">iferror(VLOOKUP(INDIRECT(ADDRESS(ROW()+1,COLUMN(), 4)),Dex!$A$2:$C954,3,false),"")</f>
        <v/>
      </c>
      <c r="C768" s="21" t="str">
        <f t="array" ref="C768">iferror(VLOOKUP(INDIRECT(ADDRESS(ROW()+1,COLUMN(), 4)),Dex!$A$2:$C954,3,false),"")</f>
        <v/>
      </c>
      <c r="D768" s="21" t="str">
        <f t="array" ref="D768">iferror(VLOOKUP(INDIRECT(ADDRESS(ROW()+1,COLUMN(), 4)),Dex!$A$2:$C954,3,false),"")</f>
        <v/>
      </c>
      <c r="E768" s="21" t="s">
        <v>1177</v>
      </c>
      <c r="F768" s="21" t="s">
        <v>1177</v>
      </c>
      <c r="G768" s="21" t="s">
        <v>1177</v>
      </c>
      <c r="H768" s="22" t="str">
        <f t="array" ref="H768">iferror(VLOOKUP("TRAINER_PIC_SWIMMING_TRIATHLETE_F",Sprites!$A$1:$B954,2,false),"")</f>
        <v/>
      </c>
      <c r="I768" s="23"/>
    </row>
    <row r="769">
      <c r="A769" s="24"/>
      <c r="B769" s="25" t="s">
        <v>1169</v>
      </c>
      <c r="C769" s="25" t="s">
        <v>120</v>
      </c>
      <c r="D769" s="25" t="s">
        <v>1085</v>
      </c>
      <c r="E769" s="25" t="s">
        <v>1177</v>
      </c>
      <c r="F769" s="25" t="s">
        <v>1177</v>
      </c>
      <c r="G769" s="25" t="s">
        <v>1177</v>
      </c>
      <c r="H769" s="26"/>
    </row>
    <row r="770">
      <c r="A770" s="16" t="s">
        <v>1178</v>
      </c>
      <c r="B770" s="27" t="s">
        <v>2410</v>
      </c>
      <c r="C770" s="27" t="s">
        <v>2410</v>
      </c>
      <c r="D770" s="27" t="s">
        <v>2410</v>
      </c>
      <c r="E770" s="21" t="s">
        <v>1177</v>
      </c>
      <c r="F770" s="21" t="s">
        <v>1177</v>
      </c>
      <c r="G770" s="21" t="s">
        <v>1177</v>
      </c>
      <c r="H770" s="26"/>
    </row>
    <row r="771">
      <c r="A771" s="16" t="s">
        <v>1181</v>
      </c>
      <c r="B771" s="28" t="s">
        <v>1177</v>
      </c>
      <c r="C771" s="28" t="s">
        <v>1177</v>
      </c>
      <c r="D771" s="28" t="s">
        <v>1177</v>
      </c>
      <c r="E771" s="28" t="s">
        <v>1177</v>
      </c>
      <c r="F771" s="28" t="s">
        <v>1177</v>
      </c>
      <c r="G771" s="28" t="s">
        <v>1177</v>
      </c>
      <c r="H771" s="26"/>
    </row>
    <row r="772">
      <c r="A772" s="16" t="s">
        <v>1182</v>
      </c>
      <c r="B772" s="21" t="s">
        <v>1298</v>
      </c>
      <c r="C772" s="21" t="s">
        <v>2066</v>
      </c>
      <c r="D772" s="21" t="s">
        <v>1212</v>
      </c>
      <c r="E772" s="21" t="s">
        <v>1177</v>
      </c>
      <c r="F772" s="21" t="s">
        <v>1177</v>
      </c>
      <c r="G772" s="21" t="s">
        <v>1177</v>
      </c>
      <c r="H772" s="26"/>
    </row>
    <row r="773">
      <c r="A773" s="16" t="s">
        <v>1186</v>
      </c>
      <c r="B773" s="28" t="s">
        <v>1187</v>
      </c>
      <c r="C773" s="28" t="s">
        <v>1187</v>
      </c>
      <c r="D773" s="28" t="s">
        <v>1187</v>
      </c>
      <c r="E773" s="28" t="s">
        <v>1177</v>
      </c>
      <c r="F773" s="28" t="s">
        <v>1177</v>
      </c>
      <c r="G773" s="28" t="s">
        <v>1177</v>
      </c>
      <c r="H773" s="26"/>
    </row>
    <row r="774">
      <c r="A774" s="20" t="s">
        <v>1188</v>
      </c>
      <c r="B774" s="21" t="s">
        <v>1177</v>
      </c>
      <c r="C774" s="21" t="s">
        <v>1177</v>
      </c>
      <c r="D774" s="21" t="s">
        <v>1177</v>
      </c>
      <c r="E774" s="21" t="s">
        <v>1177</v>
      </c>
      <c r="F774" s="21" t="s">
        <v>1177</v>
      </c>
      <c r="G774" s="21" t="s">
        <v>1177</v>
      </c>
      <c r="H774" s="26"/>
    </row>
    <row r="775">
      <c r="A775" s="29"/>
      <c r="B775" s="21" t="s">
        <v>1177</v>
      </c>
      <c r="C775" s="21" t="s">
        <v>1177</v>
      </c>
      <c r="D775" s="21" t="s">
        <v>1177</v>
      </c>
      <c r="E775" s="21" t="s">
        <v>1177</v>
      </c>
      <c r="F775" s="21" t="s">
        <v>1177</v>
      </c>
      <c r="G775" s="21" t="s">
        <v>1177</v>
      </c>
      <c r="H775" s="26"/>
    </row>
    <row r="776">
      <c r="A776" s="29"/>
      <c r="B776" s="21" t="s">
        <v>1177</v>
      </c>
      <c r="C776" s="21" t="s">
        <v>1177</v>
      </c>
      <c r="D776" s="21" t="s">
        <v>1177</v>
      </c>
      <c r="E776" s="21" t="s">
        <v>1177</v>
      </c>
      <c r="F776" s="21" t="s">
        <v>1177</v>
      </c>
      <c r="G776" s="21" t="s">
        <v>1177</v>
      </c>
      <c r="H776" s="26"/>
    </row>
    <row r="777">
      <c r="A777" s="24"/>
      <c r="B777" s="21" t="s">
        <v>1177</v>
      </c>
      <c r="C777" s="21" t="s">
        <v>1177</v>
      </c>
      <c r="D777" s="21" t="s">
        <v>1177</v>
      </c>
      <c r="E777" s="21" t="s">
        <v>1177</v>
      </c>
      <c r="F777" s="21" t="s">
        <v>1177</v>
      </c>
      <c r="G777" s="21" t="s">
        <v>1177</v>
      </c>
      <c r="H777" s="30"/>
      <c r="I777" s="14"/>
    </row>
    <row r="778">
      <c r="A778" s="16" t="s">
        <v>1174</v>
      </c>
      <c r="B778" s="17" t="s">
        <v>2490</v>
      </c>
      <c r="C778" s="18"/>
      <c r="D778" s="18"/>
      <c r="E778" s="18"/>
      <c r="F778" s="18"/>
      <c r="G778" s="18"/>
      <c r="H778" s="18"/>
      <c r="I778" s="16"/>
    </row>
    <row r="779" ht="60.0" customHeight="1">
      <c r="A779" s="20" t="s">
        <v>1176</v>
      </c>
      <c r="B779" s="21" t="str">
        <f t="array" ref="B779">iferror(VLOOKUP(INDIRECT(ADDRESS(ROW()+1,COLUMN(), 4)),Dex!$A$2:$C954,3,false),"")</f>
        <v/>
      </c>
      <c r="C779" s="21" t="str">
        <f t="array" ref="C779">iferror(VLOOKUP(INDIRECT(ADDRESS(ROW()+1,COLUMN(), 4)),Dex!$A$2:$C954,3,false),"")</f>
        <v/>
      </c>
      <c r="D779" s="21" t="str">
        <f t="array" ref="D779">iferror(VLOOKUP(INDIRECT(ADDRESS(ROW()+1,COLUMN(), 4)),Dex!$A$2:$C954,3,false),"")</f>
        <v/>
      </c>
      <c r="E779" s="21" t="s">
        <v>1177</v>
      </c>
      <c r="F779" s="21" t="s">
        <v>1177</v>
      </c>
      <c r="G779" s="21" t="s">
        <v>1177</v>
      </c>
      <c r="H779" s="22" t="str">
        <f t="array" ref="H779">iferror(VLOOKUP("TRAINER_PIC_SWIMMER_M",Sprites!$A$1:$B954,2,false),"")</f>
        <v/>
      </c>
      <c r="I779" s="23"/>
    </row>
    <row r="780">
      <c r="A780" s="24"/>
      <c r="B780" s="25" t="s">
        <v>277</v>
      </c>
      <c r="C780" s="25" t="s">
        <v>1166</v>
      </c>
      <c r="D780" s="25" t="s">
        <v>107</v>
      </c>
      <c r="E780" s="25" t="s">
        <v>1177</v>
      </c>
      <c r="F780" s="25" t="s">
        <v>1177</v>
      </c>
      <c r="G780" s="25" t="s">
        <v>1177</v>
      </c>
      <c r="H780" s="26"/>
    </row>
    <row r="781">
      <c r="A781" s="16" t="s">
        <v>1178</v>
      </c>
      <c r="B781" s="27" t="s">
        <v>2410</v>
      </c>
      <c r="C781" s="27" t="s">
        <v>2410</v>
      </c>
      <c r="D781" s="27" t="s">
        <v>2410</v>
      </c>
      <c r="E781" s="21" t="s">
        <v>1177</v>
      </c>
      <c r="F781" s="21" t="s">
        <v>1177</v>
      </c>
      <c r="G781" s="21" t="s">
        <v>1177</v>
      </c>
      <c r="H781" s="26"/>
    </row>
    <row r="782">
      <c r="A782" s="16" t="s">
        <v>1181</v>
      </c>
      <c r="B782" s="28" t="s">
        <v>1177</v>
      </c>
      <c r="C782" s="28" t="s">
        <v>1177</v>
      </c>
      <c r="D782" s="28" t="s">
        <v>1177</v>
      </c>
      <c r="E782" s="28" t="s">
        <v>1177</v>
      </c>
      <c r="F782" s="28" t="s">
        <v>1177</v>
      </c>
      <c r="G782" s="28" t="s">
        <v>1177</v>
      </c>
      <c r="H782" s="26"/>
    </row>
    <row r="783">
      <c r="A783" s="16" t="s">
        <v>1182</v>
      </c>
      <c r="B783" s="21" t="s">
        <v>2066</v>
      </c>
      <c r="C783" s="21" t="s">
        <v>1212</v>
      </c>
      <c r="D783" s="21" t="s">
        <v>1783</v>
      </c>
      <c r="E783" s="21" t="s">
        <v>1177</v>
      </c>
      <c r="F783" s="21" t="s">
        <v>1177</v>
      </c>
      <c r="G783" s="21" t="s">
        <v>1177</v>
      </c>
      <c r="H783" s="26"/>
    </row>
    <row r="784">
      <c r="A784" s="16" t="s">
        <v>1186</v>
      </c>
      <c r="B784" s="28" t="s">
        <v>1187</v>
      </c>
      <c r="C784" s="28" t="s">
        <v>1187</v>
      </c>
      <c r="D784" s="28" t="s">
        <v>1187</v>
      </c>
      <c r="E784" s="28" t="s">
        <v>1177</v>
      </c>
      <c r="F784" s="28" t="s">
        <v>1177</v>
      </c>
      <c r="G784" s="28" t="s">
        <v>1177</v>
      </c>
      <c r="H784" s="26"/>
    </row>
    <row r="785">
      <c r="A785" s="20" t="s">
        <v>1188</v>
      </c>
      <c r="B785" s="21" t="s">
        <v>1177</v>
      </c>
      <c r="C785" s="21" t="s">
        <v>1177</v>
      </c>
      <c r="D785" s="21" t="s">
        <v>1177</v>
      </c>
      <c r="E785" s="21" t="s">
        <v>1177</v>
      </c>
      <c r="F785" s="21" t="s">
        <v>1177</v>
      </c>
      <c r="G785" s="21" t="s">
        <v>1177</v>
      </c>
      <c r="H785" s="26"/>
    </row>
    <row r="786">
      <c r="A786" s="29"/>
      <c r="B786" s="21" t="s">
        <v>1177</v>
      </c>
      <c r="C786" s="21" t="s">
        <v>1177</v>
      </c>
      <c r="D786" s="21" t="s">
        <v>1177</v>
      </c>
      <c r="E786" s="21" t="s">
        <v>1177</v>
      </c>
      <c r="F786" s="21" t="s">
        <v>1177</v>
      </c>
      <c r="G786" s="21" t="s">
        <v>1177</v>
      </c>
      <c r="H786" s="26"/>
    </row>
    <row r="787">
      <c r="A787" s="29"/>
      <c r="B787" s="21" t="s">
        <v>1177</v>
      </c>
      <c r="C787" s="21" t="s">
        <v>1177</v>
      </c>
      <c r="D787" s="21" t="s">
        <v>1177</v>
      </c>
      <c r="E787" s="21" t="s">
        <v>1177</v>
      </c>
      <c r="F787" s="21" t="s">
        <v>1177</v>
      </c>
      <c r="G787" s="21" t="s">
        <v>1177</v>
      </c>
      <c r="H787" s="26"/>
    </row>
    <row r="788">
      <c r="A788" s="24"/>
      <c r="B788" s="21" t="s">
        <v>1177</v>
      </c>
      <c r="C788" s="21" t="s">
        <v>1177</v>
      </c>
      <c r="D788" s="21" t="s">
        <v>1177</v>
      </c>
      <c r="E788" s="21" t="s">
        <v>1177</v>
      </c>
      <c r="F788" s="21" t="s">
        <v>1177</v>
      </c>
      <c r="G788" s="21" t="s">
        <v>1177</v>
      </c>
      <c r="H788" s="30"/>
      <c r="I788" s="14"/>
    </row>
    <row r="789">
      <c r="A789" s="16" t="s">
        <v>1174</v>
      </c>
      <c r="B789" s="17" t="s">
        <v>2491</v>
      </c>
      <c r="C789" s="18"/>
      <c r="D789" s="18"/>
      <c r="E789" s="18"/>
      <c r="F789" s="18"/>
      <c r="G789" s="18"/>
      <c r="H789" s="18"/>
      <c r="I789" s="16"/>
    </row>
    <row r="790" ht="60.0" customHeight="1">
      <c r="A790" s="20" t="s">
        <v>1176</v>
      </c>
      <c r="B790" s="21" t="str">
        <f t="array" ref="B790">iferror(VLOOKUP(INDIRECT(ADDRESS(ROW()+1,COLUMN(), 4)),Dex!$A$2:$C954,3,false),"")</f>
        <v/>
      </c>
      <c r="C790" s="21" t="str">
        <f t="array" ref="C790">iferror(VLOOKUP(INDIRECT(ADDRESS(ROW()+1,COLUMN(), 4)),Dex!$A$2:$C954,3,false),"")</f>
        <v/>
      </c>
      <c r="D790" s="21" t="s">
        <v>1177</v>
      </c>
      <c r="E790" s="21" t="s">
        <v>1177</v>
      </c>
      <c r="F790" s="21" t="s">
        <v>1177</v>
      </c>
      <c r="G790" s="21" t="s">
        <v>1177</v>
      </c>
      <c r="H790" s="22" t="str">
        <f t="array" ref="H790">iferror(VLOOKUP("TRAINER_PIC_SWIMMER_M",Sprites!$A$1:$B954,2,false),"")</f>
        <v/>
      </c>
      <c r="I790" s="23"/>
    </row>
    <row r="791">
      <c r="A791" s="24"/>
      <c r="B791" s="25" t="s">
        <v>138</v>
      </c>
      <c r="C791" s="25" t="s">
        <v>177</v>
      </c>
      <c r="D791" s="25" t="s">
        <v>1177</v>
      </c>
      <c r="E791" s="25" t="s">
        <v>1177</v>
      </c>
      <c r="F791" s="25" t="s">
        <v>1177</v>
      </c>
      <c r="G791" s="25" t="s">
        <v>1177</v>
      </c>
      <c r="H791" s="26"/>
    </row>
    <row r="792">
      <c r="A792" s="16" t="s">
        <v>1178</v>
      </c>
      <c r="B792" s="27" t="s">
        <v>2410</v>
      </c>
      <c r="C792" s="27" t="s">
        <v>2410</v>
      </c>
      <c r="D792" s="21" t="s">
        <v>1177</v>
      </c>
      <c r="E792" s="21" t="s">
        <v>1177</v>
      </c>
      <c r="F792" s="21" t="s">
        <v>1177</v>
      </c>
      <c r="G792" s="21" t="s">
        <v>1177</v>
      </c>
      <c r="H792" s="26"/>
    </row>
    <row r="793">
      <c r="A793" s="16" t="s">
        <v>1181</v>
      </c>
      <c r="B793" s="28" t="s">
        <v>1177</v>
      </c>
      <c r="C793" s="28" t="s">
        <v>1177</v>
      </c>
      <c r="D793" s="28" t="s">
        <v>1177</v>
      </c>
      <c r="E793" s="28" t="s">
        <v>1177</v>
      </c>
      <c r="F793" s="28" t="s">
        <v>1177</v>
      </c>
      <c r="G793" s="28" t="s">
        <v>1177</v>
      </c>
      <c r="H793" s="26"/>
    </row>
    <row r="794">
      <c r="A794" s="16" t="s">
        <v>1182</v>
      </c>
      <c r="B794" s="21" t="s">
        <v>1231</v>
      </c>
      <c r="C794" s="21" t="s">
        <v>1283</v>
      </c>
      <c r="D794" s="21" t="s">
        <v>1177</v>
      </c>
      <c r="E794" s="21" t="s">
        <v>1177</v>
      </c>
      <c r="F794" s="21" t="s">
        <v>1177</v>
      </c>
      <c r="G794" s="21" t="s">
        <v>1177</v>
      </c>
      <c r="H794" s="26"/>
    </row>
    <row r="795">
      <c r="A795" s="16" t="s">
        <v>1186</v>
      </c>
      <c r="B795" s="28" t="s">
        <v>1187</v>
      </c>
      <c r="C795" s="28" t="s">
        <v>1187</v>
      </c>
      <c r="D795" s="28" t="s">
        <v>1177</v>
      </c>
      <c r="E795" s="28" t="s">
        <v>1177</v>
      </c>
      <c r="F795" s="28" t="s">
        <v>1177</v>
      </c>
      <c r="G795" s="28" t="s">
        <v>1177</v>
      </c>
      <c r="H795" s="26"/>
    </row>
    <row r="796">
      <c r="A796" s="20" t="s">
        <v>1188</v>
      </c>
      <c r="B796" s="21" t="s">
        <v>1177</v>
      </c>
      <c r="C796" s="21" t="s">
        <v>1177</v>
      </c>
      <c r="D796" s="21" t="s">
        <v>1177</v>
      </c>
      <c r="E796" s="21" t="s">
        <v>1177</v>
      </c>
      <c r="F796" s="21" t="s">
        <v>1177</v>
      </c>
      <c r="G796" s="21" t="s">
        <v>1177</v>
      </c>
      <c r="H796" s="26"/>
    </row>
    <row r="797">
      <c r="A797" s="29"/>
      <c r="B797" s="21" t="s">
        <v>1177</v>
      </c>
      <c r="C797" s="21" t="s">
        <v>1177</v>
      </c>
      <c r="D797" s="21" t="s">
        <v>1177</v>
      </c>
      <c r="E797" s="21" t="s">
        <v>1177</v>
      </c>
      <c r="F797" s="21" t="s">
        <v>1177</v>
      </c>
      <c r="G797" s="21" t="s">
        <v>1177</v>
      </c>
      <c r="H797" s="26"/>
    </row>
    <row r="798">
      <c r="A798" s="29"/>
      <c r="B798" s="21" t="s">
        <v>1177</v>
      </c>
      <c r="C798" s="21" t="s">
        <v>1177</v>
      </c>
      <c r="D798" s="21" t="s">
        <v>1177</v>
      </c>
      <c r="E798" s="21" t="s">
        <v>1177</v>
      </c>
      <c r="F798" s="21" t="s">
        <v>1177</v>
      </c>
      <c r="G798" s="21" t="s">
        <v>1177</v>
      </c>
      <c r="H798" s="26"/>
    </row>
    <row r="799">
      <c r="A799" s="24"/>
      <c r="B799" s="21" t="s">
        <v>1177</v>
      </c>
      <c r="C799" s="21" t="s">
        <v>1177</v>
      </c>
      <c r="D799" s="21" t="s">
        <v>1177</v>
      </c>
      <c r="E799" s="21" t="s">
        <v>1177</v>
      </c>
      <c r="F799" s="21" t="s">
        <v>1177</v>
      </c>
      <c r="G799" s="21" t="s">
        <v>1177</v>
      </c>
      <c r="H799" s="30"/>
      <c r="I799" s="14"/>
    </row>
    <row r="800">
      <c r="A800" s="16" t="s">
        <v>1174</v>
      </c>
      <c r="B800" s="17" t="s">
        <v>2492</v>
      </c>
      <c r="C800" s="18"/>
      <c r="D800" s="18"/>
      <c r="E800" s="18"/>
      <c r="F800" s="18"/>
      <c r="G800" s="18"/>
      <c r="H800" s="18"/>
      <c r="I800" s="16"/>
    </row>
    <row r="801" ht="60.0" customHeight="1">
      <c r="A801" s="20" t="s">
        <v>1176</v>
      </c>
      <c r="B801" s="21" t="str">
        <f t="array" ref="B801">iferror(VLOOKUP(INDIRECT(ADDRESS(ROW()+1,COLUMN(), 4)),Dex!$A$2:$C954,3,false),"")</f>
        <v/>
      </c>
      <c r="C801" s="21" t="str">
        <f t="array" ref="C801">iferror(VLOOKUP(INDIRECT(ADDRESS(ROW()+1,COLUMN(), 4)),Dex!$A$2:$C954,3,false),"")</f>
        <v/>
      </c>
      <c r="D801" s="21" t="s">
        <v>1177</v>
      </c>
      <c r="E801" s="21" t="s">
        <v>1177</v>
      </c>
      <c r="F801" s="21" t="s">
        <v>1177</v>
      </c>
      <c r="G801" s="21" t="s">
        <v>1177</v>
      </c>
      <c r="H801" s="22" t="str">
        <f t="array" ref="H801">iferror(VLOOKUP("TRAINER_PIC_SAILOR",Sprites!$A$1:$B954,2,false),"")</f>
        <v/>
      </c>
      <c r="I801" s="23"/>
    </row>
    <row r="802">
      <c r="A802" s="24"/>
      <c r="B802" s="25" t="s">
        <v>994</v>
      </c>
      <c r="C802" s="25" t="s">
        <v>452</v>
      </c>
      <c r="D802" s="25" t="s">
        <v>1177</v>
      </c>
      <c r="E802" s="25" t="s">
        <v>1177</v>
      </c>
      <c r="F802" s="25" t="s">
        <v>1177</v>
      </c>
      <c r="G802" s="25" t="s">
        <v>1177</v>
      </c>
      <c r="H802" s="26"/>
    </row>
    <row r="803">
      <c r="A803" s="16" t="s">
        <v>1178</v>
      </c>
      <c r="B803" s="27" t="s">
        <v>2410</v>
      </c>
      <c r="C803" s="27" t="s">
        <v>2410</v>
      </c>
      <c r="D803" s="21" t="s">
        <v>1177</v>
      </c>
      <c r="E803" s="21" t="s">
        <v>1177</v>
      </c>
      <c r="F803" s="21" t="s">
        <v>1177</v>
      </c>
      <c r="G803" s="21" t="s">
        <v>1177</v>
      </c>
      <c r="H803" s="26"/>
    </row>
    <row r="804">
      <c r="A804" s="16" t="s">
        <v>1181</v>
      </c>
      <c r="B804" s="28" t="s">
        <v>1177</v>
      </c>
      <c r="C804" s="28" t="s">
        <v>1177</v>
      </c>
      <c r="D804" s="28" t="s">
        <v>1177</v>
      </c>
      <c r="E804" s="28" t="s">
        <v>1177</v>
      </c>
      <c r="F804" s="28" t="s">
        <v>1177</v>
      </c>
      <c r="G804" s="28" t="s">
        <v>1177</v>
      </c>
      <c r="H804" s="26"/>
    </row>
    <row r="805">
      <c r="A805" s="16" t="s">
        <v>1182</v>
      </c>
      <c r="B805" s="21" t="s">
        <v>2070</v>
      </c>
      <c r="C805" s="21" t="s">
        <v>2094</v>
      </c>
      <c r="D805" s="21" t="s">
        <v>1177</v>
      </c>
      <c r="E805" s="21" t="s">
        <v>1177</v>
      </c>
      <c r="F805" s="21" t="s">
        <v>1177</v>
      </c>
      <c r="G805" s="21" t="s">
        <v>1177</v>
      </c>
      <c r="H805" s="26"/>
    </row>
    <row r="806">
      <c r="A806" s="16" t="s">
        <v>1186</v>
      </c>
      <c r="B806" s="28" t="s">
        <v>1187</v>
      </c>
      <c r="C806" s="28" t="s">
        <v>1187</v>
      </c>
      <c r="D806" s="28" t="s">
        <v>1177</v>
      </c>
      <c r="E806" s="28" t="s">
        <v>1177</v>
      </c>
      <c r="F806" s="28" t="s">
        <v>1177</v>
      </c>
      <c r="G806" s="28" t="s">
        <v>1177</v>
      </c>
      <c r="H806" s="26"/>
    </row>
    <row r="807">
      <c r="A807" s="20" t="s">
        <v>1188</v>
      </c>
      <c r="B807" s="21" t="s">
        <v>1177</v>
      </c>
      <c r="C807" s="21" t="s">
        <v>1177</v>
      </c>
      <c r="D807" s="21" t="s">
        <v>1177</v>
      </c>
      <c r="E807" s="21" t="s">
        <v>1177</v>
      </c>
      <c r="F807" s="21" t="s">
        <v>1177</v>
      </c>
      <c r="G807" s="21" t="s">
        <v>1177</v>
      </c>
      <c r="H807" s="26"/>
    </row>
    <row r="808">
      <c r="A808" s="29"/>
      <c r="B808" s="21" t="s">
        <v>1177</v>
      </c>
      <c r="C808" s="21" t="s">
        <v>1177</v>
      </c>
      <c r="D808" s="21" t="s">
        <v>1177</v>
      </c>
      <c r="E808" s="21" t="s">
        <v>1177</v>
      </c>
      <c r="F808" s="21" t="s">
        <v>1177</v>
      </c>
      <c r="G808" s="21" t="s">
        <v>1177</v>
      </c>
      <c r="H808" s="26"/>
    </row>
    <row r="809">
      <c r="A809" s="29"/>
      <c r="B809" s="21" t="s">
        <v>1177</v>
      </c>
      <c r="C809" s="21" t="s">
        <v>1177</v>
      </c>
      <c r="D809" s="21" t="s">
        <v>1177</v>
      </c>
      <c r="E809" s="21" t="s">
        <v>1177</v>
      </c>
      <c r="F809" s="21" t="s">
        <v>1177</v>
      </c>
      <c r="G809" s="21" t="s">
        <v>1177</v>
      </c>
      <c r="H809" s="26"/>
    </row>
    <row r="810">
      <c r="A810" s="24"/>
      <c r="B810" s="21" t="s">
        <v>1177</v>
      </c>
      <c r="C810" s="21" t="s">
        <v>1177</v>
      </c>
      <c r="D810" s="21" t="s">
        <v>1177</v>
      </c>
      <c r="E810" s="21" t="s">
        <v>1177</v>
      </c>
      <c r="F810" s="21" t="s">
        <v>1177</v>
      </c>
      <c r="G810" s="21" t="s">
        <v>1177</v>
      </c>
      <c r="H810" s="30"/>
      <c r="I810" s="14"/>
    </row>
    <row r="811">
      <c r="A811" s="16" t="s">
        <v>1174</v>
      </c>
      <c r="B811" s="17" t="s">
        <v>2493</v>
      </c>
      <c r="C811" s="18"/>
      <c r="D811" s="18"/>
      <c r="E811" s="18"/>
      <c r="F811" s="18"/>
      <c r="G811" s="18"/>
      <c r="H811" s="18"/>
      <c r="I811" s="16"/>
    </row>
    <row r="812" ht="60.0" customHeight="1">
      <c r="A812" s="20" t="s">
        <v>1176</v>
      </c>
      <c r="B812" s="21" t="str">
        <f t="array" ref="B812">iferror(VLOOKUP(INDIRECT(ADDRESS(ROW()+1,COLUMN(), 4)),Dex!$A$2:$C954,3,false),"")</f>
        <v/>
      </c>
      <c r="C812" s="21" t="str">
        <f t="array" ref="C812">iferror(VLOOKUP(INDIRECT(ADDRESS(ROW()+1,COLUMN(), 4)),Dex!$A$2:$C954,3,false),"")</f>
        <v/>
      </c>
      <c r="D812" s="21" t="s">
        <v>1177</v>
      </c>
      <c r="E812" s="21" t="s">
        <v>1177</v>
      </c>
      <c r="F812" s="21" t="s">
        <v>1177</v>
      </c>
      <c r="G812" s="21" t="s">
        <v>1177</v>
      </c>
      <c r="H812" s="22" t="str">
        <f t="array" ref="H812">iferror(VLOOKUP("TRAINER_PIC_SWIMMER_F",Sprites!$A$1:$B954,2,false),"")</f>
        <v/>
      </c>
      <c r="I812" s="23"/>
    </row>
    <row r="813">
      <c r="A813" s="24"/>
      <c r="B813" s="25" t="s">
        <v>892</v>
      </c>
      <c r="C813" s="25" t="s">
        <v>470</v>
      </c>
      <c r="D813" s="25" t="s">
        <v>1177</v>
      </c>
      <c r="E813" s="25" t="s">
        <v>1177</v>
      </c>
      <c r="F813" s="25" t="s">
        <v>1177</v>
      </c>
      <c r="G813" s="25" t="s">
        <v>1177</v>
      </c>
      <c r="H813" s="26"/>
    </row>
    <row r="814">
      <c r="A814" s="16" t="s">
        <v>1178</v>
      </c>
      <c r="B814" s="27" t="s">
        <v>2410</v>
      </c>
      <c r="C814" s="27" t="s">
        <v>2410</v>
      </c>
      <c r="D814" s="21" t="s">
        <v>1177</v>
      </c>
      <c r="E814" s="21" t="s">
        <v>1177</v>
      </c>
      <c r="F814" s="21" t="s">
        <v>1177</v>
      </c>
      <c r="G814" s="21" t="s">
        <v>1177</v>
      </c>
      <c r="H814" s="26"/>
    </row>
    <row r="815">
      <c r="A815" s="16" t="s">
        <v>1181</v>
      </c>
      <c r="B815" s="28" t="s">
        <v>1177</v>
      </c>
      <c r="C815" s="28" t="s">
        <v>1177</v>
      </c>
      <c r="D815" s="28" t="s">
        <v>1177</v>
      </c>
      <c r="E815" s="28" t="s">
        <v>1177</v>
      </c>
      <c r="F815" s="28" t="s">
        <v>1177</v>
      </c>
      <c r="G815" s="28" t="s">
        <v>1177</v>
      </c>
      <c r="H815" s="26"/>
    </row>
    <row r="816">
      <c r="A816" s="16" t="s">
        <v>1182</v>
      </c>
      <c r="B816" s="21" t="s">
        <v>1223</v>
      </c>
      <c r="C816" s="21" t="s">
        <v>1748</v>
      </c>
      <c r="D816" s="21" t="s">
        <v>1177</v>
      </c>
      <c r="E816" s="21" t="s">
        <v>1177</v>
      </c>
      <c r="F816" s="21" t="s">
        <v>1177</v>
      </c>
      <c r="G816" s="21" t="s">
        <v>1177</v>
      </c>
      <c r="H816" s="26"/>
    </row>
    <row r="817">
      <c r="A817" s="16" t="s">
        <v>1186</v>
      </c>
      <c r="B817" s="28" t="s">
        <v>1187</v>
      </c>
      <c r="C817" s="28" t="s">
        <v>1187</v>
      </c>
      <c r="D817" s="28" t="s">
        <v>1177</v>
      </c>
      <c r="E817" s="28" t="s">
        <v>1177</v>
      </c>
      <c r="F817" s="28" t="s">
        <v>1177</v>
      </c>
      <c r="G817" s="28" t="s">
        <v>1177</v>
      </c>
      <c r="H817" s="26"/>
    </row>
    <row r="818">
      <c r="A818" s="20" t="s">
        <v>1188</v>
      </c>
      <c r="B818" s="21" t="s">
        <v>1177</v>
      </c>
      <c r="C818" s="21" t="s">
        <v>1177</v>
      </c>
      <c r="D818" s="21" t="s">
        <v>1177</v>
      </c>
      <c r="E818" s="21" t="s">
        <v>1177</v>
      </c>
      <c r="F818" s="21" t="s">
        <v>1177</v>
      </c>
      <c r="G818" s="21" t="s">
        <v>1177</v>
      </c>
      <c r="H818" s="26"/>
    </row>
    <row r="819">
      <c r="A819" s="29"/>
      <c r="B819" s="21" t="s">
        <v>1177</v>
      </c>
      <c r="C819" s="21" t="s">
        <v>1177</v>
      </c>
      <c r="D819" s="21" t="s">
        <v>1177</v>
      </c>
      <c r="E819" s="21" t="s">
        <v>1177</v>
      </c>
      <c r="F819" s="21" t="s">
        <v>1177</v>
      </c>
      <c r="G819" s="21" t="s">
        <v>1177</v>
      </c>
      <c r="H819" s="26"/>
    </row>
    <row r="820">
      <c r="A820" s="29"/>
      <c r="B820" s="21" t="s">
        <v>1177</v>
      </c>
      <c r="C820" s="21" t="s">
        <v>1177</v>
      </c>
      <c r="D820" s="21" t="s">
        <v>1177</v>
      </c>
      <c r="E820" s="21" t="s">
        <v>1177</v>
      </c>
      <c r="F820" s="21" t="s">
        <v>1177</v>
      </c>
      <c r="G820" s="21" t="s">
        <v>1177</v>
      </c>
      <c r="H820" s="26"/>
    </row>
    <row r="821">
      <c r="A821" s="24"/>
      <c r="B821" s="21" t="s">
        <v>1177</v>
      </c>
      <c r="C821" s="21" t="s">
        <v>1177</v>
      </c>
      <c r="D821" s="21" t="s">
        <v>1177</v>
      </c>
      <c r="E821" s="21" t="s">
        <v>1177</v>
      </c>
      <c r="F821" s="21" t="s">
        <v>1177</v>
      </c>
      <c r="G821" s="21" t="s">
        <v>1177</v>
      </c>
      <c r="H821" s="30"/>
      <c r="I821" s="14"/>
    </row>
    <row r="822">
      <c r="A822" s="16" t="s">
        <v>1174</v>
      </c>
      <c r="B822" s="17" t="s">
        <v>2494</v>
      </c>
      <c r="C822" s="18"/>
      <c r="D822" s="18"/>
      <c r="E822" s="18"/>
      <c r="F822" s="18"/>
      <c r="G822" s="18"/>
      <c r="H822" s="18"/>
      <c r="I822" s="16"/>
    </row>
    <row r="823" ht="60.0" customHeight="1">
      <c r="A823" s="20" t="s">
        <v>1176</v>
      </c>
      <c r="B823" s="21" t="str">
        <f t="array" ref="B823">iferror(VLOOKUP(INDIRECT(ADDRESS(ROW()+1,COLUMN(), 4)),Dex!$A$2:$C954,3,false),"")</f>
        <v/>
      </c>
      <c r="C823" s="21" t="str">
        <f t="array" ref="C823">iferror(VLOOKUP(INDIRECT(ADDRESS(ROW()+1,COLUMN(), 4)),Dex!$A$2:$C954,3,false),"")</f>
        <v/>
      </c>
      <c r="D823" s="21" t="s">
        <v>1177</v>
      </c>
      <c r="E823" s="21" t="s">
        <v>1177</v>
      </c>
      <c r="F823" s="21" t="s">
        <v>1177</v>
      </c>
      <c r="G823" s="21" t="s">
        <v>1177</v>
      </c>
      <c r="H823" s="22" t="str">
        <f t="array" ref="H823">iferror(VLOOKUP("TRAINER_PIC_SWIMMER_F",Sprites!$A$1:$B954,2,false),"")</f>
        <v/>
      </c>
      <c r="I823" s="23"/>
    </row>
    <row r="824">
      <c r="A824" s="24"/>
      <c r="B824" s="25" t="s">
        <v>120</v>
      </c>
      <c r="C824" s="25" t="s">
        <v>277</v>
      </c>
      <c r="D824" s="25" t="s">
        <v>1177</v>
      </c>
      <c r="E824" s="25" t="s">
        <v>1177</v>
      </c>
      <c r="F824" s="25" t="s">
        <v>1177</v>
      </c>
      <c r="G824" s="25" t="s">
        <v>1177</v>
      </c>
      <c r="H824" s="26"/>
    </row>
    <row r="825">
      <c r="A825" s="16" t="s">
        <v>1178</v>
      </c>
      <c r="B825" s="27" t="s">
        <v>2410</v>
      </c>
      <c r="C825" s="27" t="s">
        <v>2410</v>
      </c>
      <c r="D825" s="21" t="s">
        <v>1177</v>
      </c>
      <c r="E825" s="21" t="s">
        <v>1177</v>
      </c>
      <c r="F825" s="21" t="s">
        <v>1177</v>
      </c>
      <c r="G825" s="21" t="s">
        <v>1177</v>
      </c>
      <c r="H825" s="26"/>
    </row>
    <row r="826">
      <c r="A826" s="16" t="s">
        <v>1181</v>
      </c>
      <c r="B826" s="28" t="s">
        <v>1177</v>
      </c>
      <c r="C826" s="28" t="s">
        <v>1177</v>
      </c>
      <c r="D826" s="28" t="s">
        <v>1177</v>
      </c>
      <c r="E826" s="28" t="s">
        <v>1177</v>
      </c>
      <c r="F826" s="28" t="s">
        <v>1177</v>
      </c>
      <c r="G826" s="28" t="s">
        <v>1177</v>
      </c>
      <c r="H826" s="26"/>
    </row>
    <row r="827">
      <c r="A827" s="16" t="s">
        <v>1182</v>
      </c>
      <c r="B827" s="21" t="s">
        <v>2066</v>
      </c>
      <c r="C827" s="21" t="s">
        <v>2066</v>
      </c>
      <c r="D827" s="21" t="s">
        <v>1177</v>
      </c>
      <c r="E827" s="21" t="s">
        <v>1177</v>
      </c>
      <c r="F827" s="21" t="s">
        <v>1177</v>
      </c>
      <c r="G827" s="21" t="s">
        <v>1177</v>
      </c>
      <c r="H827" s="26"/>
    </row>
    <row r="828">
      <c r="A828" s="16" t="s">
        <v>1186</v>
      </c>
      <c r="B828" s="28" t="s">
        <v>1187</v>
      </c>
      <c r="C828" s="28" t="s">
        <v>1187</v>
      </c>
      <c r="D828" s="28" t="s">
        <v>1177</v>
      </c>
      <c r="E828" s="28" t="s">
        <v>1177</v>
      </c>
      <c r="F828" s="28" t="s">
        <v>1177</v>
      </c>
      <c r="G828" s="28" t="s">
        <v>1177</v>
      </c>
      <c r="H828" s="26"/>
    </row>
    <row r="829">
      <c r="A829" s="20" t="s">
        <v>1188</v>
      </c>
      <c r="B829" s="21" t="s">
        <v>1177</v>
      </c>
      <c r="C829" s="21" t="s">
        <v>1177</v>
      </c>
      <c r="D829" s="21" t="s">
        <v>1177</v>
      </c>
      <c r="E829" s="21" t="s">
        <v>1177</v>
      </c>
      <c r="F829" s="21" t="s">
        <v>1177</v>
      </c>
      <c r="G829" s="21" t="s">
        <v>1177</v>
      </c>
      <c r="H829" s="26"/>
    </row>
    <row r="830">
      <c r="A830" s="29"/>
      <c r="B830" s="21" t="s">
        <v>1177</v>
      </c>
      <c r="C830" s="21" t="s">
        <v>1177</v>
      </c>
      <c r="D830" s="21" t="s">
        <v>1177</v>
      </c>
      <c r="E830" s="21" t="s">
        <v>1177</v>
      </c>
      <c r="F830" s="21" t="s">
        <v>1177</v>
      </c>
      <c r="G830" s="21" t="s">
        <v>1177</v>
      </c>
      <c r="H830" s="26"/>
    </row>
    <row r="831">
      <c r="A831" s="29"/>
      <c r="B831" s="21" t="s">
        <v>1177</v>
      </c>
      <c r="C831" s="21" t="s">
        <v>1177</v>
      </c>
      <c r="D831" s="21" t="s">
        <v>1177</v>
      </c>
      <c r="E831" s="21" t="s">
        <v>1177</v>
      </c>
      <c r="F831" s="21" t="s">
        <v>1177</v>
      </c>
      <c r="G831" s="21" t="s">
        <v>1177</v>
      </c>
      <c r="H831" s="26"/>
    </row>
    <row r="832">
      <c r="A832" s="24"/>
      <c r="B832" s="21" t="s">
        <v>1177</v>
      </c>
      <c r="C832" s="21" t="s">
        <v>1177</v>
      </c>
      <c r="D832" s="21" t="s">
        <v>1177</v>
      </c>
      <c r="E832" s="21" t="s">
        <v>1177</v>
      </c>
      <c r="F832" s="21" t="s">
        <v>1177</v>
      </c>
      <c r="G832" s="21" t="s">
        <v>1177</v>
      </c>
      <c r="H832" s="30"/>
      <c r="I832" s="14"/>
    </row>
    <row r="833">
      <c r="A833" s="16" t="s">
        <v>1174</v>
      </c>
      <c r="B833" s="17" t="s">
        <v>2495</v>
      </c>
      <c r="C833" s="18"/>
      <c r="D833" s="18"/>
      <c r="E833" s="18"/>
      <c r="F833" s="18"/>
      <c r="G833" s="18"/>
      <c r="H833" s="18"/>
      <c r="I833" s="16"/>
    </row>
    <row r="834" ht="60.0" customHeight="1">
      <c r="A834" s="20" t="s">
        <v>1176</v>
      </c>
      <c r="B834" s="21" t="str">
        <f t="array" ref="B834">iferror(VLOOKUP(INDIRECT(ADDRESS(ROW()+1,COLUMN(), 4)),Dex!$A$2:$C954,3,false),"")</f>
        <v/>
      </c>
      <c r="C834" s="21" t="str">
        <f t="array" ref="C834">iferror(VLOOKUP(INDIRECT(ADDRESS(ROW()+1,COLUMN(), 4)),Dex!$A$2:$C954,3,false),"")</f>
        <v/>
      </c>
      <c r="D834" s="21" t="str">
        <f t="array" ref="D834">iferror(VLOOKUP(INDIRECT(ADDRESS(ROW()+1,COLUMN(), 4)),Dex!$A$2:$C954,3,false),"")</f>
        <v/>
      </c>
      <c r="E834" s="21" t="s">
        <v>1177</v>
      </c>
      <c r="F834" s="21" t="s">
        <v>1177</v>
      </c>
      <c r="G834" s="21" t="s">
        <v>1177</v>
      </c>
      <c r="H834" s="22" t="str">
        <f t="array" ref="H834">iferror(VLOOKUP("TRAINER_PIC_SWIMMER_M",Sprites!$A$1:$B954,2,false),"")</f>
        <v/>
      </c>
      <c r="I834" s="23"/>
    </row>
    <row r="835">
      <c r="A835" s="24"/>
      <c r="B835" s="25" t="s">
        <v>316</v>
      </c>
      <c r="C835" s="25" t="s">
        <v>796</v>
      </c>
      <c r="D835" s="25" t="s">
        <v>881</v>
      </c>
      <c r="E835" s="25" t="s">
        <v>1177</v>
      </c>
      <c r="F835" s="25" t="s">
        <v>1177</v>
      </c>
      <c r="G835" s="25" t="s">
        <v>1177</v>
      </c>
      <c r="H835" s="26"/>
    </row>
    <row r="836">
      <c r="A836" s="16" t="s">
        <v>1178</v>
      </c>
      <c r="B836" s="27" t="s">
        <v>2410</v>
      </c>
      <c r="C836" s="27" t="s">
        <v>2410</v>
      </c>
      <c r="D836" s="27" t="s">
        <v>2410</v>
      </c>
      <c r="E836" s="21" t="s">
        <v>1177</v>
      </c>
      <c r="F836" s="21" t="s">
        <v>1177</v>
      </c>
      <c r="G836" s="21" t="s">
        <v>1177</v>
      </c>
      <c r="H836" s="26"/>
    </row>
    <row r="837">
      <c r="A837" s="16" t="s">
        <v>1181</v>
      </c>
      <c r="B837" s="28" t="s">
        <v>1177</v>
      </c>
      <c r="C837" s="28" t="s">
        <v>1177</v>
      </c>
      <c r="D837" s="28" t="s">
        <v>1177</v>
      </c>
      <c r="E837" s="28" t="s">
        <v>1177</v>
      </c>
      <c r="F837" s="28" t="s">
        <v>1177</v>
      </c>
      <c r="G837" s="28" t="s">
        <v>1177</v>
      </c>
      <c r="H837" s="26"/>
    </row>
    <row r="838">
      <c r="A838" s="16" t="s">
        <v>1182</v>
      </c>
      <c r="B838" s="21" t="s">
        <v>1212</v>
      </c>
      <c r="C838" s="21" t="s">
        <v>1368</v>
      </c>
      <c r="D838" s="21" t="s">
        <v>2472</v>
      </c>
      <c r="E838" s="21" t="s">
        <v>1177</v>
      </c>
      <c r="F838" s="21" t="s">
        <v>1177</v>
      </c>
      <c r="G838" s="21" t="s">
        <v>1177</v>
      </c>
      <c r="H838" s="26"/>
    </row>
    <row r="839">
      <c r="A839" s="16" t="s">
        <v>1186</v>
      </c>
      <c r="B839" s="28" t="s">
        <v>1187</v>
      </c>
      <c r="C839" s="28" t="s">
        <v>1187</v>
      </c>
      <c r="D839" s="28" t="s">
        <v>1187</v>
      </c>
      <c r="E839" s="28" t="s">
        <v>1177</v>
      </c>
      <c r="F839" s="28" t="s">
        <v>1177</v>
      </c>
      <c r="G839" s="28" t="s">
        <v>1177</v>
      </c>
      <c r="H839" s="26"/>
    </row>
    <row r="840">
      <c r="A840" s="20" t="s">
        <v>1188</v>
      </c>
      <c r="B840" s="21" t="s">
        <v>1177</v>
      </c>
      <c r="C840" s="21" t="s">
        <v>1177</v>
      </c>
      <c r="D840" s="21" t="s">
        <v>1177</v>
      </c>
      <c r="E840" s="21" t="s">
        <v>1177</v>
      </c>
      <c r="F840" s="21" t="s">
        <v>1177</v>
      </c>
      <c r="G840" s="21" t="s">
        <v>1177</v>
      </c>
      <c r="H840" s="26"/>
    </row>
    <row r="841">
      <c r="A841" s="29"/>
      <c r="B841" s="21" t="s">
        <v>1177</v>
      </c>
      <c r="C841" s="21" t="s">
        <v>1177</v>
      </c>
      <c r="D841" s="21" t="s">
        <v>1177</v>
      </c>
      <c r="E841" s="21" t="s">
        <v>1177</v>
      </c>
      <c r="F841" s="21" t="s">
        <v>1177</v>
      </c>
      <c r="G841" s="21" t="s">
        <v>1177</v>
      </c>
      <c r="H841" s="26"/>
    </row>
    <row r="842">
      <c r="A842" s="29"/>
      <c r="B842" s="21" t="s">
        <v>1177</v>
      </c>
      <c r="C842" s="21" t="s">
        <v>1177</v>
      </c>
      <c r="D842" s="21" t="s">
        <v>1177</v>
      </c>
      <c r="E842" s="21" t="s">
        <v>1177</v>
      </c>
      <c r="F842" s="21" t="s">
        <v>1177</v>
      </c>
      <c r="G842" s="21" t="s">
        <v>1177</v>
      </c>
      <c r="H842" s="26"/>
    </row>
    <row r="843">
      <c r="A843" s="24"/>
      <c r="B843" s="21" t="s">
        <v>1177</v>
      </c>
      <c r="C843" s="21" t="s">
        <v>1177</v>
      </c>
      <c r="D843" s="21" t="s">
        <v>1177</v>
      </c>
      <c r="E843" s="21" t="s">
        <v>1177</v>
      </c>
      <c r="F843" s="21" t="s">
        <v>1177</v>
      </c>
      <c r="G843" s="21" t="s">
        <v>1177</v>
      </c>
      <c r="H843" s="30"/>
      <c r="I843" s="14"/>
    </row>
    <row r="844">
      <c r="A844" s="16" t="s">
        <v>1174</v>
      </c>
      <c r="B844" s="17" t="s">
        <v>2496</v>
      </c>
      <c r="C844" s="18"/>
      <c r="D844" s="18"/>
      <c r="E844" s="18"/>
      <c r="F844" s="18"/>
      <c r="G844" s="18"/>
      <c r="H844" s="18"/>
      <c r="I844" s="19"/>
    </row>
    <row r="845" ht="60.0" customHeight="1">
      <c r="A845" s="20" t="s">
        <v>1176</v>
      </c>
      <c r="B845" s="21" t="str">
        <f t="array" ref="B845">iferror(VLOOKUP(INDIRECT(ADDRESS(ROW()+1,COLUMN(), 4)),Dex!$A$2:$C954,3,false),"")</f>
        <v/>
      </c>
      <c r="C845" s="21" t="str">
        <f t="array" ref="C845">iferror(VLOOKUP(INDIRECT(ADDRESS(ROW()+1,COLUMN(), 4)),Dex!$A$2:$C954,3,false),"")</f>
        <v/>
      </c>
      <c r="D845" s="21" t="str">
        <f t="array" ref="D845">iferror(VLOOKUP(INDIRECT(ADDRESS(ROW()+1,COLUMN(), 4)),Dex!$A$2:$C954,3,false),"")</f>
        <v/>
      </c>
      <c r="E845" s="21" t="str">
        <f t="array" ref="E845">iferror(VLOOKUP(INDIRECT(ADDRESS(ROW()+1,COLUMN(), 4)),Dex!$A$2:$C954,3,false),"")</f>
        <v/>
      </c>
      <c r="F845" s="21" t="str">
        <f t="array" ref="F845">iferror(VLOOKUP(INDIRECT(ADDRESS(ROW()+1,COLUMN(), 4)),Dex!$A$2:$C954,3,false),"")</f>
        <v/>
      </c>
      <c r="G845" s="21" t="str">
        <f t="array" ref="G845">iferror(VLOOKUP(INDIRECT(ADDRESS(ROW()+1,COLUMN(), 4)),Dex!$A$2:$C954,3,false),"")</f>
        <v/>
      </c>
      <c r="H845" s="22" t="str">
        <f t="array" ref="H845">iferror(VLOOKUP("TRAINER_PIC_EXPERT_M",Sprites!$A$1:$B954,2,false),"")</f>
        <v/>
      </c>
      <c r="I845" s="23"/>
    </row>
    <row r="846">
      <c r="A846" s="24"/>
      <c r="B846" s="25" t="s">
        <v>220</v>
      </c>
      <c r="C846" s="25" t="s">
        <v>1164</v>
      </c>
      <c r="D846" s="25" t="s">
        <v>920</v>
      </c>
      <c r="E846" s="25" t="s">
        <v>953</v>
      </c>
      <c r="F846" s="25" t="s">
        <v>1040</v>
      </c>
      <c r="G846" s="25" t="s">
        <v>409</v>
      </c>
      <c r="H846" s="26"/>
    </row>
    <row r="847">
      <c r="A847" s="16" t="s">
        <v>1178</v>
      </c>
      <c r="B847" s="27" t="s">
        <v>2485</v>
      </c>
      <c r="C847" s="27" t="s">
        <v>2485</v>
      </c>
      <c r="D847" s="27" t="s">
        <v>2485</v>
      </c>
      <c r="E847" s="27" t="s">
        <v>2485</v>
      </c>
      <c r="F847" s="27" t="s">
        <v>2485</v>
      </c>
      <c r="G847" s="27" t="s">
        <v>2497</v>
      </c>
      <c r="H847" s="26"/>
    </row>
    <row r="848">
      <c r="A848" s="16" t="s">
        <v>1181</v>
      </c>
      <c r="B848" s="28" t="s">
        <v>1209</v>
      </c>
      <c r="C848" s="28" t="s">
        <v>1882</v>
      </c>
      <c r="D848" s="28" t="s">
        <v>1366</v>
      </c>
      <c r="E848" s="28" t="s">
        <v>1247</v>
      </c>
      <c r="F848" s="28" t="s">
        <v>2135</v>
      </c>
      <c r="G848" s="28" t="s">
        <v>2498</v>
      </c>
      <c r="H848" s="26"/>
    </row>
    <row r="849">
      <c r="A849" s="16" t="s">
        <v>1182</v>
      </c>
      <c r="B849" s="21" t="s">
        <v>1356</v>
      </c>
      <c r="C849" s="21" t="s">
        <v>1938</v>
      </c>
      <c r="D849" s="21" t="s">
        <v>1774</v>
      </c>
      <c r="E849" s="21" t="s">
        <v>1903</v>
      </c>
      <c r="F849" s="21" t="s">
        <v>1979</v>
      </c>
      <c r="G849" s="21" t="s">
        <v>1298</v>
      </c>
      <c r="H849" s="26"/>
    </row>
    <row r="850">
      <c r="A850" s="16" t="s">
        <v>1186</v>
      </c>
      <c r="B850" s="28" t="s">
        <v>1235</v>
      </c>
      <c r="C850" s="28" t="s">
        <v>1235</v>
      </c>
      <c r="D850" s="28" t="s">
        <v>1235</v>
      </c>
      <c r="E850" s="28" t="s">
        <v>1284</v>
      </c>
      <c r="F850" s="28" t="s">
        <v>1235</v>
      </c>
      <c r="G850" s="28" t="s">
        <v>1284</v>
      </c>
      <c r="H850" s="26"/>
    </row>
    <row r="851">
      <c r="A851" s="20" t="s">
        <v>1188</v>
      </c>
      <c r="B851" s="21" t="s">
        <v>2039</v>
      </c>
      <c r="C851" s="21" t="s">
        <v>1438</v>
      </c>
      <c r="D851" s="21" t="s">
        <v>1776</v>
      </c>
      <c r="E851" s="21" t="s">
        <v>2104</v>
      </c>
      <c r="F851" s="21" t="s">
        <v>1646</v>
      </c>
      <c r="G851" s="21" t="s">
        <v>1724</v>
      </c>
      <c r="H851" s="26"/>
    </row>
    <row r="852">
      <c r="A852" s="29"/>
      <c r="B852" s="21" t="s">
        <v>1415</v>
      </c>
      <c r="C852" s="21" t="s">
        <v>1585</v>
      </c>
      <c r="D852" s="21" t="s">
        <v>1273</v>
      </c>
      <c r="E852" s="21" t="s">
        <v>1373</v>
      </c>
      <c r="F852" s="21" t="s">
        <v>1965</v>
      </c>
      <c r="G852" s="21" t="s">
        <v>1740</v>
      </c>
      <c r="H852" s="26"/>
    </row>
    <row r="853">
      <c r="A853" s="29"/>
      <c r="B853" s="21" t="s">
        <v>1759</v>
      </c>
      <c r="C853" s="21" t="s">
        <v>1874</v>
      </c>
      <c r="D853" s="21" t="s">
        <v>1303</v>
      </c>
      <c r="E853" s="21" t="s">
        <v>1225</v>
      </c>
      <c r="F853" s="21" t="s">
        <v>1238</v>
      </c>
      <c r="G853" s="21" t="s">
        <v>1470</v>
      </c>
      <c r="H853" s="26"/>
    </row>
    <row r="854">
      <c r="A854" s="24"/>
      <c r="B854" s="21" t="s">
        <v>1944</v>
      </c>
      <c r="C854" s="21" t="s">
        <v>1944</v>
      </c>
      <c r="D854" s="21" t="s">
        <v>1944</v>
      </c>
      <c r="E854" s="21" t="s">
        <v>2153</v>
      </c>
      <c r="F854" s="21" t="s">
        <v>1641</v>
      </c>
      <c r="G854" s="21" t="s">
        <v>1389</v>
      </c>
      <c r="H854" s="30"/>
      <c r="I854" s="14"/>
    </row>
    <row r="855">
      <c r="A855" s="16" t="s">
        <v>1174</v>
      </c>
      <c r="B855" s="17" t="s">
        <v>2499</v>
      </c>
      <c r="C855" s="18"/>
      <c r="D855" s="18"/>
      <c r="E855" s="18"/>
      <c r="F855" s="18"/>
      <c r="G855" s="18"/>
      <c r="H855" s="18"/>
      <c r="I855" s="19"/>
    </row>
    <row r="856" ht="60.0" customHeight="1">
      <c r="A856" s="20" t="s">
        <v>1176</v>
      </c>
      <c r="B856" s="21" t="str">
        <f t="array" ref="B856">iferror(VLOOKUP(INDIRECT(ADDRESS(ROW()+1,COLUMN(), 4)),Dex!$A$2:$C954,3,false),"")</f>
        <v/>
      </c>
      <c r="C856" s="21" t="str">
        <f t="array" ref="C856">iferror(VLOOKUP(INDIRECT(ADDRESS(ROW()+1,COLUMN(), 4)),Dex!$A$2:$C954,3,false),"")</f>
        <v/>
      </c>
      <c r="D856" s="21" t="str">
        <f t="array" ref="D856">iferror(VLOOKUP(INDIRECT(ADDRESS(ROW()+1,COLUMN(), 4)),Dex!$A$2:$C954,3,false),"")</f>
        <v/>
      </c>
      <c r="E856" s="21" t="str">
        <f t="array" ref="E856">iferror(VLOOKUP(INDIRECT(ADDRESS(ROW()+1,COLUMN(), 4)),Dex!$A$2:$C954,3,false),"")</f>
        <v/>
      </c>
      <c r="F856" s="21" t="str">
        <f t="array" ref="F856">iferror(VLOOKUP(INDIRECT(ADDRESS(ROW()+1,COLUMN(), 4)),Dex!$A$2:$C954,3,false),"")</f>
        <v/>
      </c>
      <c r="G856" s="21" t="str">
        <f t="array" ref="G856">iferror(VLOOKUP(INDIRECT(ADDRESS(ROW()+1,COLUMN(), 4)),Dex!$A$2:$C954,3,false),"")</f>
        <v/>
      </c>
      <c r="H856" s="22" t="str">
        <f t="array" ref="H856">iferror(VLOOKUP("TRAINER_PIC_SR_AND_JR",Sprites!$A$1:$B954,2,false),"")</f>
        <v/>
      </c>
      <c r="I856" s="23"/>
    </row>
    <row r="857">
      <c r="A857" s="24"/>
      <c r="B857" s="25" t="s">
        <v>62</v>
      </c>
      <c r="C857" s="25" t="s">
        <v>405</v>
      </c>
      <c r="D857" s="25" t="s">
        <v>1118</v>
      </c>
      <c r="E857" s="25" t="s">
        <v>183</v>
      </c>
      <c r="F857" s="25" t="s">
        <v>48</v>
      </c>
      <c r="G857" s="25" t="s">
        <v>589</v>
      </c>
      <c r="H857" s="26"/>
    </row>
    <row r="858">
      <c r="A858" s="16" t="s">
        <v>1178</v>
      </c>
      <c r="B858" s="27" t="s">
        <v>2497</v>
      </c>
      <c r="C858" s="27" t="s">
        <v>2485</v>
      </c>
      <c r="D858" s="27" t="s">
        <v>2485</v>
      </c>
      <c r="E858" s="27" t="s">
        <v>2485</v>
      </c>
      <c r="F858" s="27" t="s">
        <v>2497</v>
      </c>
      <c r="G858" s="27" t="s">
        <v>2497</v>
      </c>
      <c r="H858" s="26"/>
    </row>
    <row r="859">
      <c r="A859" s="16" t="s">
        <v>1181</v>
      </c>
      <c r="B859" s="28" t="s">
        <v>1898</v>
      </c>
      <c r="C859" s="28" t="s">
        <v>2036</v>
      </c>
      <c r="D859" s="28" t="s">
        <v>1247</v>
      </c>
      <c r="E859" s="28" t="s">
        <v>2045</v>
      </c>
      <c r="F859" s="28" t="s">
        <v>1882</v>
      </c>
      <c r="G859" s="28" t="s">
        <v>1838</v>
      </c>
      <c r="H859" s="26"/>
    </row>
    <row r="860">
      <c r="A860" s="16" t="s">
        <v>1182</v>
      </c>
      <c r="B860" s="21" t="s">
        <v>2052</v>
      </c>
      <c r="C860" s="21" t="s">
        <v>1429</v>
      </c>
      <c r="D860" s="21" t="s">
        <v>1342</v>
      </c>
      <c r="E860" s="21" t="s">
        <v>2066</v>
      </c>
      <c r="F860" s="21" t="s">
        <v>2053</v>
      </c>
      <c r="G860" s="21" t="s">
        <v>1318</v>
      </c>
      <c r="H860" s="26"/>
    </row>
    <row r="861">
      <c r="A861" s="16" t="s">
        <v>1186</v>
      </c>
      <c r="B861" s="28" t="s">
        <v>1284</v>
      </c>
      <c r="C861" s="28" t="s">
        <v>1235</v>
      </c>
      <c r="D861" s="28" t="s">
        <v>1284</v>
      </c>
      <c r="E861" s="28" t="s">
        <v>1284</v>
      </c>
      <c r="F861" s="28" t="s">
        <v>1248</v>
      </c>
      <c r="G861" s="28" t="s">
        <v>1284</v>
      </c>
      <c r="H861" s="26"/>
    </row>
    <row r="862">
      <c r="A862" s="20" t="s">
        <v>1188</v>
      </c>
      <c r="B862" s="21" t="s">
        <v>2054</v>
      </c>
      <c r="C862" s="21" t="s">
        <v>1874</v>
      </c>
      <c r="D862" s="21" t="s">
        <v>2054</v>
      </c>
      <c r="E862" s="21" t="s">
        <v>2054</v>
      </c>
      <c r="F862" s="21" t="s">
        <v>1440</v>
      </c>
      <c r="G862" s="21" t="s">
        <v>1629</v>
      </c>
      <c r="H862" s="26"/>
    </row>
    <row r="863">
      <c r="A863" s="29"/>
      <c r="B863" s="21" t="s">
        <v>1815</v>
      </c>
      <c r="C863" s="21" t="s">
        <v>1469</v>
      </c>
      <c r="D863" s="21" t="s">
        <v>1621</v>
      </c>
      <c r="E863" s="21" t="s">
        <v>1731</v>
      </c>
      <c r="F863" s="21" t="s">
        <v>1779</v>
      </c>
      <c r="G863" s="21" t="s">
        <v>1740</v>
      </c>
      <c r="H863" s="26"/>
    </row>
    <row r="864">
      <c r="A864" s="29"/>
      <c r="B864" s="21" t="s">
        <v>1621</v>
      </c>
      <c r="C864" s="21" t="s">
        <v>1438</v>
      </c>
      <c r="D864" s="21" t="s">
        <v>1374</v>
      </c>
      <c r="E864" s="21" t="s">
        <v>1739</v>
      </c>
      <c r="F864" s="21" t="s">
        <v>1307</v>
      </c>
      <c r="G864" s="21" t="s">
        <v>1724</v>
      </c>
      <c r="H864" s="26"/>
    </row>
    <row r="865">
      <c r="A865" s="24"/>
      <c r="B865" s="21" t="s">
        <v>2306</v>
      </c>
      <c r="C865" s="21" t="s">
        <v>1225</v>
      </c>
      <c r="D865" s="21" t="s">
        <v>2306</v>
      </c>
      <c r="E865" s="21" t="s">
        <v>1225</v>
      </c>
      <c r="F865" s="21" t="s">
        <v>1641</v>
      </c>
      <c r="G865" s="21" t="s">
        <v>2022</v>
      </c>
      <c r="H865" s="30"/>
      <c r="I865" s="14"/>
    </row>
    <row r="866">
      <c r="A866" s="37"/>
      <c r="B866" s="38" t="s">
        <v>2500</v>
      </c>
      <c r="C866" s="14"/>
      <c r="D866" s="14"/>
      <c r="E866" s="14"/>
      <c r="F866" s="14"/>
      <c r="G866" s="14"/>
      <c r="H866" s="24"/>
      <c r="I866" s="33"/>
    </row>
    <row r="867">
      <c r="A867" s="16" t="s">
        <v>1174</v>
      </c>
      <c r="B867" s="17" t="s">
        <v>2501</v>
      </c>
      <c r="C867" s="18"/>
      <c r="D867" s="18"/>
      <c r="E867" s="18"/>
      <c r="F867" s="18"/>
      <c r="G867" s="18"/>
      <c r="H867" s="18"/>
      <c r="I867" s="16"/>
    </row>
    <row r="868" ht="60.0" customHeight="1">
      <c r="A868" s="20" t="s">
        <v>1176</v>
      </c>
      <c r="B868" s="21" t="str">
        <f t="array" ref="B868">iferror(VLOOKUP(INDIRECT(ADDRESS(ROW()+1,COLUMN(), 4)),Dex!$A$2:$C954,3,false),"")</f>
        <v/>
      </c>
      <c r="C868" s="21" t="str">
        <f t="array" ref="C868">iferror(VLOOKUP(INDIRECT(ADDRESS(ROW()+1,COLUMN(), 4)),Dex!$A$2:$C954,3,false),"")</f>
        <v/>
      </c>
      <c r="D868" s="21" t="str">
        <f t="array" ref="D868">iferror(VLOOKUP(INDIRECT(ADDRESS(ROW()+1,COLUMN(), 4)),Dex!$A$2:$C954,3,false),"")</f>
        <v/>
      </c>
      <c r="E868" s="21" t="str">
        <f t="array" ref="E868">iferror(VLOOKUP(INDIRECT(ADDRESS(ROW()+1,COLUMN(), 4)),Dex!$A$2:$C954,3,false),"")</f>
        <v/>
      </c>
      <c r="F868" s="21" t="str">
        <f t="array" ref="F868">iferror(VLOOKUP(INDIRECT(ADDRESS(ROW()+1,COLUMN(), 4)),Dex!$A$2:$C954,3,false),"")</f>
        <v/>
      </c>
      <c r="G868" s="21" t="str">
        <f t="array" ref="G868">iferror(VLOOKUP(INDIRECT(ADDRESS(ROW()+1,COLUMN(), 4)),Dex!$A$2:$C954,3,false),"")</f>
        <v/>
      </c>
      <c r="H868" s="22" t="str">
        <f t="array" ref="H868">iferror(VLOOKUP("TRAINER_PIC_PSYCHIC_F",Sprites!$A$1:$B954,2,false),"")</f>
        <v/>
      </c>
      <c r="I868" s="23"/>
    </row>
    <row r="869">
      <c r="A869" s="24"/>
      <c r="B869" s="25" t="s">
        <v>895</v>
      </c>
      <c r="C869" s="25" t="s">
        <v>375</v>
      </c>
      <c r="D869" s="25" t="s">
        <v>547</v>
      </c>
      <c r="E869" s="25" t="s">
        <v>874</v>
      </c>
      <c r="F869" s="25" t="s">
        <v>482</v>
      </c>
      <c r="G869" s="25" t="s">
        <v>543</v>
      </c>
      <c r="H869" s="26"/>
    </row>
    <row r="870">
      <c r="A870" s="16" t="s">
        <v>1178</v>
      </c>
      <c r="B870" s="27" t="s">
        <v>2497</v>
      </c>
      <c r="C870" s="27" t="s">
        <v>2497</v>
      </c>
      <c r="D870" s="27" t="s">
        <v>2497</v>
      </c>
      <c r="E870" s="27" t="s">
        <v>2497</v>
      </c>
      <c r="F870" s="27" t="s">
        <v>2497</v>
      </c>
      <c r="G870" s="27" t="s">
        <v>2497</v>
      </c>
      <c r="H870" s="26"/>
    </row>
    <row r="871">
      <c r="A871" s="16" t="s">
        <v>1181</v>
      </c>
      <c r="B871" s="28" t="s">
        <v>1882</v>
      </c>
      <c r="C871" s="28" t="s">
        <v>1209</v>
      </c>
      <c r="D871" s="28" t="s">
        <v>1247</v>
      </c>
      <c r="E871" s="28" t="s">
        <v>2151</v>
      </c>
      <c r="F871" s="28" t="s">
        <v>1701</v>
      </c>
      <c r="G871" s="28" t="s">
        <v>1701</v>
      </c>
      <c r="H871" s="26"/>
    </row>
    <row r="872">
      <c r="A872" s="16" t="s">
        <v>1182</v>
      </c>
      <c r="B872" s="21" t="s">
        <v>2286</v>
      </c>
      <c r="C872" s="21" t="s">
        <v>2286</v>
      </c>
      <c r="D872" s="21" t="s">
        <v>1368</v>
      </c>
      <c r="E872" s="21" t="s">
        <v>2279</v>
      </c>
      <c r="F872" s="21" t="s">
        <v>1783</v>
      </c>
      <c r="G872" s="21" t="s">
        <v>1222</v>
      </c>
      <c r="H872" s="26"/>
    </row>
    <row r="873">
      <c r="A873" s="16" t="s">
        <v>1186</v>
      </c>
      <c r="B873" s="28" t="s">
        <v>1284</v>
      </c>
      <c r="C873" s="28" t="s">
        <v>1284</v>
      </c>
      <c r="D873" s="28" t="s">
        <v>1284</v>
      </c>
      <c r="E873" s="28" t="s">
        <v>1256</v>
      </c>
      <c r="F873" s="28" t="s">
        <v>1248</v>
      </c>
      <c r="G873" s="28" t="s">
        <v>1464</v>
      </c>
      <c r="H873" s="26"/>
    </row>
    <row r="874">
      <c r="A874" s="20" t="s">
        <v>1188</v>
      </c>
      <c r="B874" s="21" t="s">
        <v>1822</v>
      </c>
      <c r="C874" s="21" t="s">
        <v>1815</v>
      </c>
      <c r="D874" s="21" t="s">
        <v>1742</v>
      </c>
      <c r="E874" s="21" t="s">
        <v>2451</v>
      </c>
      <c r="F874" s="21" t="s">
        <v>2317</v>
      </c>
      <c r="G874" s="21" t="s">
        <v>1742</v>
      </c>
      <c r="H874" s="26"/>
    </row>
    <row r="875">
      <c r="A875" s="29"/>
      <c r="B875" s="21" t="s">
        <v>1878</v>
      </c>
      <c r="C875" s="21" t="s">
        <v>1621</v>
      </c>
      <c r="D875" s="21" t="s">
        <v>1578</v>
      </c>
      <c r="E875" s="21" t="s">
        <v>1778</v>
      </c>
      <c r="F875" s="21" t="s">
        <v>1469</v>
      </c>
      <c r="G875" s="21" t="s">
        <v>1238</v>
      </c>
      <c r="H875" s="26"/>
    </row>
    <row r="876">
      <c r="A876" s="29"/>
      <c r="B876" s="21" t="s">
        <v>1376</v>
      </c>
      <c r="C876" s="21" t="s">
        <v>1578</v>
      </c>
      <c r="D876" s="21" t="s">
        <v>1726</v>
      </c>
      <c r="E876" s="21" t="s">
        <v>1389</v>
      </c>
      <c r="F876" s="21" t="s">
        <v>1426</v>
      </c>
      <c r="G876" s="21" t="s">
        <v>1830</v>
      </c>
      <c r="H876" s="26"/>
    </row>
    <row r="877">
      <c r="A877" s="24"/>
      <c r="B877" s="21" t="s">
        <v>1944</v>
      </c>
      <c r="C877" s="21" t="s">
        <v>1361</v>
      </c>
      <c r="D877" s="21" t="s">
        <v>2502</v>
      </c>
      <c r="E877" s="21" t="s">
        <v>1177</v>
      </c>
      <c r="F877" s="21" t="s">
        <v>1830</v>
      </c>
      <c r="G877" s="21" t="s">
        <v>2503</v>
      </c>
      <c r="H877" s="30"/>
      <c r="I877" s="14"/>
    </row>
    <row r="878">
      <c r="A878" s="16" t="s">
        <v>1174</v>
      </c>
      <c r="B878" s="17" t="s">
        <v>2504</v>
      </c>
      <c r="C878" s="18"/>
      <c r="D878" s="18"/>
      <c r="E878" s="18"/>
      <c r="F878" s="18"/>
      <c r="G878" s="18"/>
      <c r="H878" s="18"/>
      <c r="I878" s="16"/>
    </row>
    <row r="879" ht="60.0" customHeight="1">
      <c r="A879" s="20" t="s">
        <v>1176</v>
      </c>
      <c r="B879" s="21" t="str">
        <f t="array" ref="B879">iferror(VLOOKUP(INDIRECT(ADDRESS(ROW()+1,COLUMN(), 4)),Dex!$A$2:$C954,3,false),"")</f>
        <v/>
      </c>
      <c r="C879" s="21" t="str">
        <f t="array" ref="C879">iferror(VLOOKUP(INDIRECT(ADDRESS(ROW()+1,COLUMN(), 4)),Dex!$A$2:$C954,3,false),"")</f>
        <v/>
      </c>
      <c r="D879" s="21" t="str">
        <f t="array" ref="D879">iferror(VLOOKUP(INDIRECT(ADDRESS(ROW()+1,COLUMN(), 4)),Dex!$A$2:$C954,3,false),"")</f>
        <v/>
      </c>
      <c r="E879" s="21" t="str">
        <f t="array" ref="E879">iferror(VLOOKUP(INDIRECT(ADDRESS(ROW()+1,COLUMN(), 4)),Dex!$A$2:$C954,3,false),"")</f>
        <v/>
      </c>
      <c r="F879" s="21" t="str">
        <f t="array" ref="F879">iferror(VLOOKUP(INDIRECT(ADDRESS(ROW()+1,COLUMN(), 4)),Dex!$A$2:$C954,3,false),"")</f>
        <v/>
      </c>
      <c r="G879" s="21" t="str">
        <f t="array" ref="G879">iferror(VLOOKUP(INDIRECT(ADDRESS(ROW()+1,COLUMN(), 4)),Dex!$A$2:$C954,3,false),"")</f>
        <v/>
      </c>
      <c r="H879" s="22" t="str">
        <f t="array" ref="H879">iferror(VLOOKUP("TRAINER_PIC_PSYCHIC_F",Sprites!$A$1:$B954,2,false),"")</f>
        <v/>
      </c>
      <c r="I879" s="23"/>
    </row>
    <row r="880">
      <c r="A880" s="24"/>
      <c r="B880" s="25" t="s">
        <v>319</v>
      </c>
      <c r="C880" s="25" t="s">
        <v>752</v>
      </c>
      <c r="D880" s="25" t="s">
        <v>1098</v>
      </c>
      <c r="E880" s="25" t="s">
        <v>1105</v>
      </c>
      <c r="F880" s="25" t="s">
        <v>555</v>
      </c>
      <c r="G880" s="25" t="s">
        <v>524</v>
      </c>
      <c r="H880" s="26"/>
    </row>
    <row r="881">
      <c r="A881" s="16" t="s">
        <v>1178</v>
      </c>
      <c r="B881" s="27" t="s">
        <v>2497</v>
      </c>
      <c r="C881" s="27" t="s">
        <v>2497</v>
      </c>
      <c r="D881" s="27" t="s">
        <v>2497</v>
      </c>
      <c r="E881" s="27" t="s">
        <v>2497</v>
      </c>
      <c r="F881" s="27" t="s">
        <v>2497</v>
      </c>
      <c r="G881" s="27" t="s">
        <v>2497</v>
      </c>
      <c r="H881" s="26"/>
    </row>
    <row r="882">
      <c r="A882" s="16" t="s">
        <v>1181</v>
      </c>
      <c r="B882" s="28" t="s">
        <v>1403</v>
      </c>
      <c r="C882" s="28" t="s">
        <v>1962</v>
      </c>
      <c r="D882" s="28" t="s">
        <v>2151</v>
      </c>
      <c r="E882" s="28" t="s">
        <v>2045</v>
      </c>
      <c r="F882" s="28" t="s">
        <v>1295</v>
      </c>
      <c r="G882" s="28" t="s">
        <v>1246</v>
      </c>
      <c r="H882" s="26"/>
    </row>
    <row r="883">
      <c r="A883" s="16" t="s">
        <v>1182</v>
      </c>
      <c r="B883" s="21" t="s">
        <v>1860</v>
      </c>
      <c r="C883" s="21" t="s">
        <v>1462</v>
      </c>
      <c r="D883" s="21" t="s">
        <v>1877</v>
      </c>
      <c r="E883" s="21" t="s">
        <v>1661</v>
      </c>
      <c r="F883" s="21" t="s">
        <v>1368</v>
      </c>
      <c r="G883" s="21" t="s">
        <v>1938</v>
      </c>
      <c r="H883" s="26"/>
    </row>
    <row r="884">
      <c r="A884" s="16" t="s">
        <v>1186</v>
      </c>
      <c r="B884" s="28" t="s">
        <v>1447</v>
      </c>
      <c r="C884" s="28" t="s">
        <v>1447</v>
      </c>
      <c r="D884" s="28" t="s">
        <v>1256</v>
      </c>
      <c r="E884" s="28" t="s">
        <v>1754</v>
      </c>
      <c r="F884" s="28" t="s">
        <v>1234</v>
      </c>
      <c r="G884" s="28" t="s">
        <v>1754</v>
      </c>
      <c r="H884" s="26"/>
    </row>
    <row r="885">
      <c r="A885" s="20" t="s">
        <v>1188</v>
      </c>
      <c r="B885" s="21" t="s">
        <v>1863</v>
      </c>
      <c r="C885" s="21" t="s">
        <v>1251</v>
      </c>
      <c r="D885" s="21" t="s">
        <v>1731</v>
      </c>
      <c r="E885" s="21" t="s">
        <v>1662</v>
      </c>
      <c r="F885" s="21" t="s">
        <v>1758</v>
      </c>
      <c r="G885" s="21" t="s">
        <v>1974</v>
      </c>
      <c r="H885" s="26"/>
    </row>
    <row r="886">
      <c r="A886" s="29"/>
      <c r="B886" s="21" t="s">
        <v>1663</v>
      </c>
      <c r="C886" s="21" t="s">
        <v>1742</v>
      </c>
      <c r="D886" s="21" t="s">
        <v>1605</v>
      </c>
      <c r="E886" s="21" t="s">
        <v>1874</v>
      </c>
      <c r="F886" s="21" t="s">
        <v>1804</v>
      </c>
      <c r="G886" s="21" t="s">
        <v>1438</v>
      </c>
      <c r="H886" s="26"/>
    </row>
    <row r="887">
      <c r="A887" s="29"/>
      <c r="B887" s="21" t="s">
        <v>1731</v>
      </c>
      <c r="C887" s="21" t="s">
        <v>1623</v>
      </c>
      <c r="D887" s="21" t="s">
        <v>1389</v>
      </c>
      <c r="E887" s="21" t="s">
        <v>1225</v>
      </c>
      <c r="F887" s="21" t="s">
        <v>2505</v>
      </c>
      <c r="G887" s="21" t="s">
        <v>1177</v>
      </c>
      <c r="H887" s="26"/>
    </row>
    <row r="888">
      <c r="A888" s="24"/>
      <c r="B888" s="21" t="s">
        <v>1954</v>
      </c>
      <c r="C888" s="21" t="s">
        <v>1954</v>
      </c>
      <c r="D888" s="21" t="s">
        <v>1954</v>
      </c>
      <c r="E888" s="21" t="s">
        <v>2505</v>
      </c>
      <c r="F888" s="21" t="s">
        <v>1954</v>
      </c>
      <c r="G888" s="21" t="s">
        <v>1177</v>
      </c>
      <c r="H888" s="30"/>
      <c r="I888" s="14"/>
    </row>
    <row r="889">
      <c r="A889" s="16" t="s">
        <v>1174</v>
      </c>
      <c r="B889" s="17" t="s">
        <v>2506</v>
      </c>
      <c r="C889" s="18"/>
      <c r="D889" s="18"/>
      <c r="E889" s="18"/>
      <c r="F889" s="18"/>
      <c r="G889" s="18"/>
      <c r="H889" s="18"/>
      <c r="I889" s="16"/>
    </row>
    <row r="890" ht="60.0" customHeight="1">
      <c r="A890" s="20" t="s">
        <v>1176</v>
      </c>
      <c r="B890" s="21" t="str">
        <f t="array" ref="B890">iferror(VLOOKUP(INDIRECT(ADDRESS(ROW()+1,COLUMN(), 4)),Dex!$A$2:$C954,3,false),"")</f>
        <v/>
      </c>
      <c r="C890" s="21" t="str">
        <f t="array" ref="C890">iferror(VLOOKUP(INDIRECT(ADDRESS(ROW()+1,COLUMN(), 4)),Dex!$A$2:$C954,3,false),"")</f>
        <v/>
      </c>
      <c r="D890" s="21" t="str">
        <f t="array" ref="D890">iferror(VLOOKUP(INDIRECT(ADDRESS(ROW()+1,COLUMN(), 4)),Dex!$A$2:$C954,3,false),"")</f>
        <v/>
      </c>
      <c r="E890" s="21" t="str">
        <f t="array" ref="E890">iferror(VLOOKUP(INDIRECT(ADDRESS(ROW()+1,COLUMN(), 4)),Dex!$A$2:$C954,3,false),"")</f>
        <v/>
      </c>
      <c r="F890" s="21" t="str">
        <f t="array" ref="F890">iferror(VLOOKUP(INDIRECT(ADDRESS(ROW()+1,COLUMN(), 4)),Dex!$A$2:$C954,3,false),"")</f>
        <v/>
      </c>
      <c r="G890" s="21" t="str">
        <f t="array" ref="G890">iferror(VLOOKUP(INDIRECT(ADDRESS(ROW()+1,COLUMN(), 4)),Dex!$A$2:$C954,3,false),"")</f>
        <v/>
      </c>
      <c r="H890" s="22" t="str">
        <f t="array" ref="H890">iferror(VLOOKUP("TRAINER_PIC_GENTLEMAN",Sprites!$A$1:$B954,2,false),"")</f>
        <v/>
      </c>
      <c r="I890" s="23"/>
    </row>
    <row r="891">
      <c r="A891" s="24"/>
      <c r="B891" s="25" t="s">
        <v>706</v>
      </c>
      <c r="C891" s="25" t="s">
        <v>780</v>
      </c>
      <c r="D891" s="25" t="s">
        <v>825</v>
      </c>
      <c r="E891" s="25" t="s">
        <v>735</v>
      </c>
      <c r="F891" s="25" t="s">
        <v>1076</v>
      </c>
      <c r="G891" s="25" t="s">
        <v>73</v>
      </c>
      <c r="H891" s="26"/>
    </row>
    <row r="892">
      <c r="A892" s="16" t="s">
        <v>1178</v>
      </c>
      <c r="B892" s="27" t="s">
        <v>2497</v>
      </c>
      <c r="C892" s="27" t="s">
        <v>2497</v>
      </c>
      <c r="D892" s="27" t="s">
        <v>2497</v>
      </c>
      <c r="E892" s="27" t="s">
        <v>2497</v>
      </c>
      <c r="F892" s="27" t="s">
        <v>2497</v>
      </c>
      <c r="G892" s="27" t="s">
        <v>2497</v>
      </c>
      <c r="H892" s="26"/>
    </row>
    <row r="893">
      <c r="A893" s="16" t="s">
        <v>1181</v>
      </c>
      <c r="B893" s="28" t="s">
        <v>1265</v>
      </c>
      <c r="C893" s="28" t="s">
        <v>1265</v>
      </c>
      <c r="D893" s="28" t="s">
        <v>1247</v>
      </c>
      <c r="E893" s="28" t="s">
        <v>1701</v>
      </c>
      <c r="F893" s="28" t="s">
        <v>2290</v>
      </c>
      <c r="G893" s="28" t="s">
        <v>1366</v>
      </c>
      <c r="H893" s="26"/>
    </row>
    <row r="894">
      <c r="A894" s="16" t="s">
        <v>1182</v>
      </c>
      <c r="B894" s="21" t="s">
        <v>1298</v>
      </c>
      <c r="C894" s="21" t="s">
        <v>1356</v>
      </c>
      <c r="D894" s="21" t="s">
        <v>1604</v>
      </c>
      <c r="E894" s="21" t="s">
        <v>1730</v>
      </c>
      <c r="F894" s="21" t="s">
        <v>2291</v>
      </c>
      <c r="G894" s="21" t="s">
        <v>1820</v>
      </c>
      <c r="H894" s="26"/>
    </row>
    <row r="895">
      <c r="A895" s="16" t="s">
        <v>1186</v>
      </c>
      <c r="B895" s="28" t="s">
        <v>1235</v>
      </c>
      <c r="C895" s="28" t="s">
        <v>1235</v>
      </c>
      <c r="D895" s="28" t="s">
        <v>1284</v>
      </c>
      <c r="E895" s="28" t="s">
        <v>1284</v>
      </c>
      <c r="F895" s="28" t="s">
        <v>1248</v>
      </c>
      <c r="G895" s="28" t="s">
        <v>1284</v>
      </c>
      <c r="H895" s="26"/>
    </row>
    <row r="896">
      <c r="A896" s="20" t="s">
        <v>1188</v>
      </c>
      <c r="B896" s="21" t="s">
        <v>1779</v>
      </c>
      <c r="C896" s="21" t="s">
        <v>1874</v>
      </c>
      <c r="D896" s="21" t="s">
        <v>2104</v>
      </c>
      <c r="E896" s="21" t="s">
        <v>1731</v>
      </c>
      <c r="F896" s="21" t="s">
        <v>1712</v>
      </c>
      <c r="G896" s="21" t="s">
        <v>1650</v>
      </c>
      <c r="H896" s="26"/>
    </row>
    <row r="897">
      <c r="A897" s="29"/>
      <c r="B897" s="21" t="s">
        <v>1307</v>
      </c>
      <c r="C897" s="21" t="s">
        <v>1678</v>
      </c>
      <c r="D897" s="21" t="s">
        <v>1731</v>
      </c>
      <c r="E897" s="21" t="s">
        <v>1711</v>
      </c>
      <c r="F897" s="21" t="s">
        <v>2073</v>
      </c>
      <c r="G897" s="21" t="s">
        <v>1373</v>
      </c>
      <c r="H897" s="26"/>
    </row>
    <row r="898">
      <c r="A898" s="29"/>
      <c r="B898" s="21" t="s">
        <v>1874</v>
      </c>
      <c r="C898" s="21" t="s">
        <v>2507</v>
      </c>
      <c r="D898" s="21" t="s">
        <v>1311</v>
      </c>
      <c r="E898" s="21" t="s">
        <v>1587</v>
      </c>
      <c r="F898" s="21" t="s">
        <v>1471</v>
      </c>
      <c r="G898" s="21" t="s">
        <v>1657</v>
      </c>
      <c r="H898" s="26"/>
    </row>
    <row r="899">
      <c r="A899" s="24"/>
      <c r="B899" s="21" t="s">
        <v>2507</v>
      </c>
      <c r="C899" s="21" t="s">
        <v>2502</v>
      </c>
      <c r="D899" s="21" t="s">
        <v>2502</v>
      </c>
      <c r="E899" s="21" t="s">
        <v>1225</v>
      </c>
      <c r="F899" s="21" t="s">
        <v>1959</v>
      </c>
      <c r="G899" s="21" t="s">
        <v>1622</v>
      </c>
      <c r="H899" s="30"/>
      <c r="I899" s="14"/>
    </row>
    <row r="900">
      <c r="A900" s="16" t="s">
        <v>1174</v>
      </c>
      <c r="B900" s="17" t="s">
        <v>2508</v>
      </c>
      <c r="C900" s="18"/>
      <c r="D900" s="18"/>
      <c r="E900" s="18"/>
      <c r="F900" s="18"/>
      <c r="G900" s="18"/>
      <c r="H900" s="18"/>
      <c r="I900" s="16"/>
    </row>
    <row r="901" ht="60.0" customHeight="1">
      <c r="A901" s="20" t="s">
        <v>1176</v>
      </c>
      <c r="B901" s="21" t="str">
        <f t="array" ref="B901">iferror(VLOOKUP(INDIRECT(ADDRESS(ROW()+1,COLUMN(), 4)),Dex!$A$2:$C954,3,false),"")</f>
        <v/>
      </c>
      <c r="C901" s="21" t="str">
        <f t="array" ref="C901">iferror(VLOOKUP(INDIRECT(ADDRESS(ROW()+1,COLUMN(), 4)),Dex!$A$2:$C954,3,false),"")</f>
        <v/>
      </c>
      <c r="D901" s="21" t="str">
        <f t="array" ref="D901">iferror(VLOOKUP(INDIRECT(ADDRESS(ROW()+1,COLUMN(), 4)),Dex!$A$2:$C954,3,false),"")</f>
        <v/>
      </c>
      <c r="E901" s="21" t="str">
        <f t="array" ref="E901">iferror(VLOOKUP(INDIRECT(ADDRESS(ROW()+1,COLUMN(), 4)),Dex!$A$2:$C954,3,false),"")</f>
        <v/>
      </c>
      <c r="F901" s="21" t="str">
        <f t="array" ref="F901">iferror(VLOOKUP(INDIRECT(ADDRESS(ROW()+1,COLUMN(), 4)),Dex!$A$2:$C954,3,false),"")</f>
        <v/>
      </c>
      <c r="G901" s="21" t="str">
        <f t="array" ref="G901">iferror(VLOOKUP(INDIRECT(ADDRESS(ROW()+1,COLUMN(), 4)),Dex!$A$2:$C954,3,false),"")</f>
        <v/>
      </c>
      <c r="H901" s="22" t="str">
        <f t="array" ref="H901">iferror(VLOOKUP("TRAINER_PIC_BATTLE_GIRL",Sprites!$A$1:$B954,2,false),"")</f>
        <v/>
      </c>
      <c r="I901" s="23"/>
    </row>
    <row r="902">
      <c r="A902" s="24"/>
      <c r="B902" s="25" t="s">
        <v>851</v>
      </c>
      <c r="C902" s="25" t="s">
        <v>452</v>
      </c>
      <c r="D902" s="25" t="s">
        <v>550</v>
      </c>
      <c r="E902" s="25" t="s">
        <v>686</v>
      </c>
      <c r="F902" s="25" t="s">
        <v>193</v>
      </c>
      <c r="G902" s="25" t="s">
        <v>117</v>
      </c>
      <c r="H902" s="26"/>
    </row>
    <row r="903">
      <c r="A903" s="16" t="s">
        <v>1178</v>
      </c>
      <c r="B903" s="27" t="s">
        <v>2497</v>
      </c>
      <c r="C903" s="27" t="s">
        <v>2497</v>
      </c>
      <c r="D903" s="27" t="s">
        <v>2497</v>
      </c>
      <c r="E903" s="27" t="s">
        <v>2497</v>
      </c>
      <c r="F903" s="27" t="s">
        <v>2497</v>
      </c>
      <c r="G903" s="27" t="s">
        <v>2497</v>
      </c>
      <c r="H903" s="26"/>
    </row>
    <row r="904">
      <c r="A904" s="16" t="s">
        <v>1181</v>
      </c>
      <c r="B904" s="28" t="s">
        <v>1247</v>
      </c>
      <c r="C904" s="28" t="s">
        <v>1295</v>
      </c>
      <c r="D904" s="28" t="s">
        <v>1345</v>
      </c>
      <c r="E904" s="28" t="s">
        <v>1838</v>
      </c>
      <c r="F904" s="28" t="s">
        <v>1901</v>
      </c>
      <c r="G904" s="28" t="s">
        <v>1247</v>
      </c>
      <c r="H904" s="26"/>
    </row>
    <row r="905">
      <c r="A905" s="16" t="s">
        <v>1182</v>
      </c>
      <c r="B905" s="21" t="s">
        <v>1895</v>
      </c>
      <c r="C905" s="21" t="s">
        <v>1895</v>
      </c>
      <c r="D905" s="21" t="s">
        <v>1405</v>
      </c>
      <c r="E905" s="21" t="s">
        <v>1420</v>
      </c>
      <c r="F905" s="21" t="s">
        <v>1298</v>
      </c>
      <c r="G905" s="21" t="s">
        <v>1905</v>
      </c>
      <c r="H905" s="26"/>
    </row>
    <row r="906">
      <c r="A906" s="16" t="s">
        <v>1186</v>
      </c>
      <c r="B906" s="28" t="s">
        <v>1284</v>
      </c>
      <c r="C906" s="28" t="s">
        <v>1257</v>
      </c>
      <c r="D906" s="28" t="s">
        <v>1235</v>
      </c>
      <c r="E906" s="28" t="s">
        <v>1248</v>
      </c>
      <c r="F906" s="28" t="s">
        <v>1235</v>
      </c>
      <c r="G906" s="28" t="s">
        <v>1235</v>
      </c>
      <c r="H906" s="26"/>
    </row>
    <row r="907">
      <c r="A907" s="20" t="s">
        <v>1188</v>
      </c>
      <c r="B907" s="21" t="s">
        <v>1731</v>
      </c>
      <c r="C907" s="21" t="s">
        <v>1793</v>
      </c>
      <c r="D907" s="21" t="s">
        <v>1738</v>
      </c>
      <c r="E907" s="21" t="s">
        <v>1928</v>
      </c>
      <c r="F907" s="21" t="s">
        <v>1250</v>
      </c>
      <c r="G907" s="21" t="s">
        <v>1372</v>
      </c>
      <c r="H907" s="26"/>
    </row>
    <row r="908">
      <c r="A908" s="29"/>
      <c r="B908" s="21" t="s">
        <v>1724</v>
      </c>
      <c r="C908" s="21" t="s">
        <v>1818</v>
      </c>
      <c r="D908" s="21" t="s">
        <v>1225</v>
      </c>
      <c r="E908" s="21" t="s">
        <v>1324</v>
      </c>
      <c r="F908" s="21" t="s">
        <v>1834</v>
      </c>
      <c r="G908" s="21" t="s">
        <v>1469</v>
      </c>
      <c r="H908" s="26"/>
    </row>
    <row r="909">
      <c r="A909" s="29"/>
      <c r="B909" s="21" t="s">
        <v>1225</v>
      </c>
      <c r="C909" s="21" t="s">
        <v>1311</v>
      </c>
      <c r="D909" s="21" t="s">
        <v>1967</v>
      </c>
      <c r="E909" s="21" t="s">
        <v>1749</v>
      </c>
      <c r="F909" s="21" t="s">
        <v>1915</v>
      </c>
      <c r="G909" s="21" t="s">
        <v>1779</v>
      </c>
      <c r="H909" s="26"/>
    </row>
    <row r="910">
      <c r="A910" s="24"/>
      <c r="B910" s="21" t="s">
        <v>2439</v>
      </c>
      <c r="C910" s="21" t="s">
        <v>1398</v>
      </c>
      <c r="D910" s="21" t="s">
        <v>2509</v>
      </c>
      <c r="E910" s="21" t="s">
        <v>1323</v>
      </c>
      <c r="F910" s="21" t="s">
        <v>1389</v>
      </c>
      <c r="G910" s="21" t="s">
        <v>1641</v>
      </c>
      <c r="H910" s="30"/>
      <c r="I910" s="14"/>
    </row>
    <row r="911">
      <c r="A911" s="16" t="s">
        <v>1174</v>
      </c>
      <c r="B911" s="17" t="s">
        <v>2510</v>
      </c>
      <c r="C911" s="18"/>
      <c r="D911" s="18"/>
      <c r="E911" s="18"/>
      <c r="F911" s="18"/>
      <c r="G911" s="18"/>
      <c r="H911" s="18"/>
      <c r="I911" s="16"/>
    </row>
    <row r="912" ht="60.0" customHeight="1">
      <c r="A912" s="20" t="s">
        <v>1176</v>
      </c>
      <c r="B912" s="21" t="str">
        <f t="array" ref="B912">iferror(VLOOKUP(INDIRECT(ADDRESS(ROW()+1,COLUMN(), 4)),Dex!$A$2:$C954,3,false),"")</f>
        <v/>
      </c>
      <c r="C912" s="21" t="str">
        <f t="array" ref="C912">iferror(VLOOKUP(INDIRECT(ADDRESS(ROW()+1,COLUMN(), 4)),Dex!$A$2:$C954,3,false),"")</f>
        <v/>
      </c>
      <c r="D912" s="21" t="str">
        <f t="array" ref="D912">iferror(VLOOKUP(INDIRECT(ADDRESS(ROW()+1,COLUMN(), 4)),Dex!$A$2:$C954,3,false),"")</f>
        <v/>
      </c>
      <c r="E912" s="21" t="str">
        <f t="array" ref="E912">iferror(VLOOKUP(INDIRECT(ADDRESS(ROW()+1,COLUMN(), 4)),Dex!$A$2:$C954,3,false),"")</f>
        <v/>
      </c>
      <c r="F912" s="21" t="str">
        <f t="array" ref="F912">iferror(VLOOKUP(INDIRECT(ADDRESS(ROW()+1,COLUMN(), 4)),Dex!$A$2:$C954,3,false),"")</f>
        <v/>
      </c>
      <c r="G912" s="21" t="str">
        <f t="array" ref="G912">iferror(VLOOKUP(INDIRECT(ADDRESS(ROW()+1,COLUMN(), 4)),Dex!$A$2:$C954,3,false),"")</f>
        <v/>
      </c>
      <c r="H912" s="22" t="str">
        <f t="array" ref="H912">iferror(VLOOKUP("TRAINER_PIC_PSYCHIC_M",Sprites!$A$1:$B954,2,false),"")</f>
        <v/>
      </c>
      <c r="I912" s="23"/>
    </row>
    <row r="913">
      <c r="A913" s="24"/>
      <c r="B913" s="25" t="s">
        <v>245</v>
      </c>
      <c r="C913" s="25" t="s">
        <v>590</v>
      </c>
      <c r="D913" s="25" t="s">
        <v>183</v>
      </c>
      <c r="E913" s="25" t="s">
        <v>681</v>
      </c>
      <c r="F913" s="25" t="s">
        <v>405</v>
      </c>
      <c r="G913" s="25" t="s">
        <v>1044</v>
      </c>
      <c r="H913" s="26"/>
    </row>
    <row r="914">
      <c r="A914" s="16" t="s">
        <v>1178</v>
      </c>
      <c r="B914" s="27" t="s">
        <v>2497</v>
      </c>
      <c r="C914" s="27" t="s">
        <v>2497</v>
      </c>
      <c r="D914" s="27" t="s">
        <v>2497</v>
      </c>
      <c r="E914" s="27" t="s">
        <v>2497</v>
      </c>
      <c r="F914" s="27" t="s">
        <v>2497</v>
      </c>
      <c r="G914" s="27" t="s">
        <v>2497</v>
      </c>
      <c r="H914" s="26"/>
    </row>
    <row r="915">
      <c r="A915" s="16" t="s">
        <v>1181</v>
      </c>
      <c r="B915" s="28" t="s">
        <v>1282</v>
      </c>
      <c r="C915" s="28" t="s">
        <v>1457</v>
      </c>
      <c r="D915" s="28" t="s">
        <v>1247</v>
      </c>
      <c r="E915" s="28" t="s">
        <v>2239</v>
      </c>
      <c r="F915" s="28" t="s">
        <v>1247</v>
      </c>
      <c r="G915" s="28" t="s">
        <v>1882</v>
      </c>
      <c r="H915" s="26"/>
    </row>
    <row r="916">
      <c r="A916" s="16" t="s">
        <v>1182</v>
      </c>
      <c r="B916" s="21" t="s">
        <v>1356</v>
      </c>
      <c r="C916" s="21" t="s">
        <v>1902</v>
      </c>
      <c r="D916" s="21" t="s">
        <v>1931</v>
      </c>
      <c r="E916" s="21" t="s">
        <v>1690</v>
      </c>
      <c r="F916" s="21" t="s">
        <v>1429</v>
      </c>
      <c r="G916" s="21" t="s">
        <v>2172</v>
      </c>
      <c r="H916" s="26"/>
    </row>
    <row r="917">
      <c r="A917" s="16" t="s">
        <v>1186</v>
      </c>
      <c r="B917" s="28" t="s">
        <v>1235</v>
      </c>
      <c r="C917" s="28" t="s">
        <v>1284</v>
      </c>
      <c r="D917" s="28" t="s">
        <v>1284</v>
      </c>
      <c r="E917" s="28" t="s">
        <v>1248</v>
      </c>
      <c r="F917" s="28" t="s">
        <v>1235</v>
      </c>
      <c r="G917" s="28" t="s">
        <v>1235</v>
      </c>
      <c r="H917" s="26"/>
    </row>
    <row r="918">
      <c r="A918" s="20" t="s">
        <v>1188</v>
      </c>
      <c r="B918" s="21" t="s">
        <v>1238</v>
      </c>
      <c r="C918" s="21" t="s">
        <v>1619</v>
      </c>
      <c r="D918" s="21" t="s">
        <v>2054</v>
      </c>
      <c r="E918" s="21" t="s">
        <v>1677</v>
      </c>
      <c r="F918" s="21" t="s">
        <v>1874</v>
      </c>
      <c r="G918" s="21" t="s">
        <v>2173</v>
      </c>
      <c r="H918" s="26"/>
    </row>
    <row r="919">
      <c r="A919" s="29"/>
      <c r="B919" s="21" t="s">
        <v>1376</v>
      </c>
      <c r="C919" s="21" t="s">
        <v>1629</v>
      </c>
      <c r="D919" s="21" t="s">
        <v>1731</v>
      </c>
      <c r="E919" s="21" t="s">
        <v>1607</v>
      </c>
      <c r="F919" s="21" t="s">
        <v>1359</v>
      </c>
      <c r="G919" s="21" t="s">
        <v>1469</v>
      </c>
      <c r="H919" s="26"/>
    </row>
    <row r="920">
      <c r="A920" s="29"/>
      <c r="B920" s="21" t="s">
        <v>1888</v>
      </c>
      <c r="C920" s="21" t="s">
        <v>1606</v>
      </c>
      <c r="D920" s="21" t="s">
        <v>1225</v>
      </c>
      <c r="E920" s="21" t="s">
        <v>1438</v>
      </c>
      <c r="F920" s="21" t="s">
        <v>1469</v>
      </c>
      <c r="G920" s="21" t="s">
        <v>1607</v>
      </c>
      <c r="H920" s="26"/>
    </row>
    <row r="921">
      <c r="A921" s="24"/>
      <c r="B921" s="21" t="s">
        <v>1944</v>
      </c>
      <c r="C921" s="21" t="s">
        <v>1944</v>
      </c>
      <c r="D921" s="21" t="s">
        <v>1322</v>
      </c>
      <c r="E921" s="21" t="s">
        <v>1959</v>
      </c>
      <c r="F921" s="21" t="s">
        <v>1425</v>
      </c>
      <c r="G921" s="21" t="s">
        <v>1471</v>
      </c>
      <c r="H921" s="30"/>
      <c r="I921" s="14"/>
    </row>
    <row r="922">
      <c r="A922" s="16" t="s">
        <v>1174</v>
      </c>
      <c r="B922" s="17" t="s">
        <v>2511</v>
      </c>
      <c r="C922" s="18"/>
      <c r="D922" s="18"/>
      <c r="E922" s="18"/>
      <c r="F922" s="18"/>
      <c r="G922" s="18"/>
      <c r="H922" s="18"/>
      <c r="I922" s="16"/>
    </row>
    <row r="923" ht="60.0" customHeight="1">
      <c r="A923" s="20" t="s">
        <v>1176</v>
      </c>
      <c r="B923" s="21" t="str">
        <f t="array" ref="B923">iferror(VLOOKUP(INDIRECT(ADDRESS(ROW()+1,COLUMN(), 4)),Dex!$A$2:$C954,3,false),"")</f>
        <v/>
      </c>
      <c r="C923" s="21" t="str">
        <f t="array" ref="C923">iferror(VLOOKUP(INDIRECT(ADDRESS(ROW()+1,COLUMN(), 4)),Dex!$A$2:$C954,3,false),"")</f>
        <v/>
      </c>
      <c r="D923" s="21" t="str">
        <f t="array" ref="D923">iferror(VLOOKUP(INDIRECT(ADDRESS(ROW()+1,COLUMN(), 4)),Dex!$A$2:$C954,3,false),"")</f>
        <v/>
      </c>
      <c r="E923" s="21" t="str">
        <f t="array" ref="E923">iferror(VLOOKUP(INDIRECT(ADDRESS(ROW()+1,COLUMN(), 4)),Dex!$A$2:$C954,3,false),"")</f>
        <v/>
      </c>
      <c r="F923" s="21" t="str">
        <f t="array" ref="F923">iferror(VLOOKUP(INDIRECT(ADDRESS(ROW()+1,COLUMN(), 4)),Dex!$A$2:$C954,3,false),"")</f>
        <v/>
      </c>
      <c r="G923" s="21" t="str">
        <f t="array" ref="G923">iferror(VLOOKUP(INDIRECT(ADDRESS(ROW()+1,COLUMN(), 4)),Dex!$A$2:$C954,3,false),"")</f>
        <v/>
      </c>
      <c r="H923" s="22" t="str">
        <f t="array" ref="H923">iferror(VLOOKUP("TRAINER_PIC_PSYCHIC_F",Sprites!$A$1:$B954,2,false),"")</f>
        <v/>
      </c>
      <c r="I923" s="23"/>
    </row>
    <row r="924">
      <c r="A924" s="24"/>
      <c r="B924" s="25" t="s">
        <v>961</v>
      </c>
      <c r="C924" s="25" t="s">
        <v>828</v>
      </c>
      <c r="D924" s="25" t="s">
        <v>938</v>
      </c>
      <c r="E924" s="25" t="s">
        <v>260</v>
      </c>
      <c r="F924" s="25" t="s">
        <v>188</v>
      </c>
      <c r="G924" s="25" t="s">
        <v>85</v>
      </c>
      <c r="H924" s="26"/>
    </row>
    <row r="925">
      <c r="A925" s="16" t="s">
        <v>1178</v>
      </c>
      <c r="B925" s="27" t="s">
        <v>2497</v>
      </c>
      <c r="C925" s="27" t="s">
        <v>2497</v>
      </c>
      <c r="D925" s="27" t="s">
        <v>2497</v>
      </c>
      <c r="E925" s="27" t="s">
        <v>2512</v>
      </c>
      <c r="F925" s="27" t="s">
        <v>2497</v>
      </c>
      <c r="G925" s="27" t="s">
        <v>2497</v>
      </c>
      <c r="H925" s="26"/>
    </row>
    <row r="926">
      <c r="A926" s="16" t="s">
        <v>1181</v>
      </c>
      <c r="B926" s="28" t="s">
        <v>1247</v>
      </c>
      <c r="C926" s="28" t="s">
        <v>1460</v>
      </c>
      <c r="D926" s="28" t="s">
        <v>1882</v>
      </c>
      <c r="E926" s="28" t="s">
        <v>1796</v>
      </c>
      <c r="F926" s="28" t="s">
        <v>2139</v>
      </c>
      <c r="G926" s="28" t="s">
        <v>1882</v>
      </c>
      <c r="H926" s="26"/>
    </row>
    <row r="927">
      <c r="A927" s="16" t="s">
        <v>1182</v>
      </c>
      <c r="B927" s="21" t="s">
        <v>2513</v>
      </c>
      <c r="C927" s="21" t="s">
        <v>1443</v>
      </c>
      <c r="D927" s="21" t="s">
        <v>1926</v>
      </c>
      <c r="E927" s="21" t="s">
        <v>2004</v>
      </c>
      <c r="F927" s="21" t="s">
        <v>1298</v>
      </c>
      <c r="G927" s="21" t="s">
        <v>1212</v>
      </c>
      <c r="H927" s="26"/>
    </row>
    <row r="928">
      <c r="A928" s="16" t="s">
        <v>1186</v>
      </c>
      <c r="B928" s="28" t="s">
        <v>1235</v>
      </c>
      <c r="C928" s="28" t="s">
        <v>1269</v>
      </c>
      <c r="D928" s="28" t="s">
        <v>1235</v>
      </c>
      <c r="E928" s="28" t="s">
        <v>2514</v>
      </c>
      <c r="F928" s="28" t="s">
        <v>1235</v>
      </c>
      <c r="G928" s="28" t="s">
        <v>1235</v>
      </c>
      <c r="H928" s="26"/>
    </row>
    <row r="929">
      <c r="A929" s="20" t="s">
        <v>1188</v>
      </c>
      <c r="B929" s="21" t="s">
        <v>1874</v>
      </c>
      <c r="C929" s="21" t="s">
        <v>1251</v>
      </c>
      <c r="D929" s="21" t="s">
        <v>1678</v>
      </c>
      <c r="E929" s="21" t="s">
        <v>2451</v>
      </c>
      <c r="F929" s="21" t="s">
        <v>1738</v>
      </c>
      <c r="G929" s="21" t="s">
        <v>1236</v>
      </c>
      <c r="H929" s="26"/>
    </row>
    <row r="930">
      <c r="A930" s="29"/>
      <c r="B930" s="21" t="s">
        <v>1438</v>
      </c>
      <c r="C930" s="21" t="s">
        <v>1890</v>
      </c>
      <c r="D930" s="21" t="s">
        <v>1927</v>
      </c>
      <c r="E930" s="21" t="s">
        <v>1177</v>
      </c>
      <c r="F930" s="21" t="s">
        <v>1469</v>
      </c>
      <c r="G930" s="21" t="s">
        <v>1682</v>
      </c>
      <c r="H930" s="26"/>
    </row>
    <row r="931">
      <c r="A931" s="29"/>
      <c r="B931" s="21" t="s">
        <v>1749</v>
      </c>
      <c r="C931" s="21" t="s">
        <v>1468</v>
      </c>
      <c r="D931" s="21" t="s">
        <v>1874</v>
      </c>
      <c r="E931" s="21" t="s">
        <v>1177</v>
      </c>
      <c r="F931" s="21" t="s">
        <v>1993</v>
      </c>
      <c r="G931" s="21" t="s">
        <v>1469</v>
      </c>
      <c r="H931" s="26"/>
    </row>
    <row r="932">
      <c r="A932" s="24"/>
      <c r="B932" s="21" t="s">
        <v>1243</v>
      </c>
      <c r="C932" s="21" t="s">
        <v>1759</v>
      </c>
      <c r="D932" s="21" t="s">
        <v>1741</v>
      </c>
      <c r="E932" s="21" t="s">
        <v>1177</v>
      </c>
      <c r="F932" s="21" t="s">
        <v>2515</v>
      </c>
      <c r="G932" s="21" t="s">
        <v>2515</v>
      </c>
      <c r="H932" s="30"/>
      <c r="I932" s="14"/>
    </row>
    <row r="933">
      <c r="A933" s="16" t="s">
        <v>1174</v>
      </c>
      <c r="B933" s="17" t="s">
        <v>2516</v>
      </c>
      <c r="C933" s="18"/>
      <c r="D933" s="18"/>
      <c r="E933" s="18"/>
      <c r="F933" s="18"/>
      <c r="G933" s="18"/>
      <c r="H933" s="18"/>
      <c r="I933" s="19"/>
    </row>
    <row r="934" ht="60.0" customHeight="1">
      <c r="A934" s="20" t="s">
        <v>1176</v>
      </c>
      <c r="B934" s="21" t="str">
        <f t="array" ref="B934">iferror(VLOOKUP(INDIRECT(ADDRESS(ROW()+1,COLUMN(), 4)),Dex!$A$2:$C954,3,false),"")</f>
        <v/>
      </c>
      <c r="C934" s="21" t="str">
        <f t="array" ref="C934">iferror(VLOOKUP(INDIRECT(ADDRESS(ROW()+1,COLUMN(), 4)),Dex!$A$2:$C954,3,false),"")</f>
        <v/>
      </c>
      <c r="D934" s="21" t="str">
        <f t="array" ref="D934">iferror(VLOOKUP(INDIRECT(ADDRESS(ROW()+1,COLUMN(), 4)),Dex!$A$2:$C954,3,false),"")</f>
        <v/>
      </c>
      <c r="E934" s="21" t="str">
        <f t="array" ref="E934">iferror(VLOOKUP(INDIRECT(ADDRESS(ROW()+1,COLUMN(), 4)),Dex!$A$2:$C954,3,false),"")</f>
        <v/>
      </c>
      <c r="F934" s="21" t="s">
        <v>1177</v>
      </c>
      <c r="G934" s="21" t="s">
        <v>1177</v>
      </c>
      <c r="H934" s="22" t="str">
        <f t="array" ref="H934">iferror(VLOOKUP("TRAINER_PIC_LEADER_TATE",Sprites!$A$1:$B954,2,false),"")</f>
        <v/>
      </c>
      <c r="I934" s="23"/>
    </row>
    <row r="935">
      <c r="A935" s="24"/>
      <c r="B935" s="25" t="s">
        <v>611</v>
      </c>
      <c r="C935" s="25" t="s">
        <v>490</v>
      </c>
      <c r="D935" s="25" t="s">
        <v>730</v>
      </c>
      <c r="E935" s="25" t="s">
        <v>905</v>
      </c>
      <c r="F935" s="25" t="s">
        <v>1177</v>
      </c>
      <c r="G935" s="25" t="s">
        <v>1177</v>
      </c>
      <c r="H935" s="26"/>
    </row>
    <row r="936">
      <c r="A936" s="16" t="s">
        <v>1178</v>
      </c>
      <c r="B936" s="27" t="s">
        <v>2485</v>
      </c>
      <c r="C936" s="27" t="s">
        <v>2497</v>
      </c>
      <c r="D936" s="27" t="s">
        <v>2517</v>
      </c>
      <c r="E936" s="27" t="s">
        <v>2517</v>
      </c>
      <c r="F936" s="21" t="s">
        <v>1177</v>
      </c>
      <c r="G936" s="21" t="s">
        <v>1177</v>
      </c>
      <c r="H936" s="26"/>
    </row>
    <row r="937">
      <c r="A937" s="16" t="s">
        <v>1181</v>
      </c>
      <c r="B937" s="28" t="s">
        <v>1247</v>
      </c>
      <c r="C937" s="28" t="s">
        <v>2518</v>
      </c>
      <c r="D937" s="28" t="s">
        <v>2139</v>
      </c>
      <c r="E937" s="28" t="s">
        <v>1295</v>
      </c>
      <c r="F937" s="28" t="s">
        <v>1177</v>
      </c>
      <c r="G937" s="28" t="s">
        <v>1177</v>
      </c>
      <c r="H937" s="26"/>
    </row>
    <row r="938">
      <c r="A938" s="16" t="s">
        <v>1182</v>
      </c>
      <c r="B938" s="21" t="s">
        <v>1368</v>
      </c>
      <c r="C938" s="21" t="s">
        <v>1368</v>
      </c>
      <c r="D938" s="21" t="s">
        <v>1906</v>
      </c>
      <c r="E938" s="21" t="s">
        <v>2519</v>
      </c>
      <c r="F938" s="21" t="s">
        <v>1177</v>
      </c>
      <c r="G938" s="21" t="s">
        <v>1177</v>
      </c>
      <c r="H938" s="26"/>
    </row>
    <row r="939">
      <c r="A939" s="16" t="s">
        <v>1186</v>
      </c>
      <c r="B939" s="28" t="s">
        <v>1269</v>
      </c>
      <c r="C939" s="28" t="s">
        <v>1249</v>
      </c>
      <c r="D939" s="28" t="s">
        <v>1249</v>
      </c>
      <c r="E939" s="28" t="s">
        <v>1284</v>
      </c>
      <c r="F939" s="28" t="s">
        <v>1177</v>
      </c>
      <c r="G939" s="28" t="s">
        <v>1177</v>
      </c>
      <c r="H939" s="26"/>
    </row>
    <row r="940">
      <c r="A940" s="20" t="s">
        <v>1188</v>
      </c>
      <c r="B940" s="21" t="s">
        <v>2147</v>
      </c>
      <c r="C940" s="21" t="s">
        <v>2268</v>
      </c>
      <c r="D940" s="21" t="s">
        <v>1908</v>
      </c>
      <c r="E940" s="21" t="s">
        <v>2520</v>
      </c>
      <c r="F940" s="21" t="s">
        <v>1177</v>
      </c>
      <c r="G940" s="21" t="s">
        <v>1177</v>
      </c>
      <c r="H940" s="26"/>
    </row>
    <row r="941">
      <c r="A941" s="29"/>
      <c r="B941" s="21" t="s">
        <v>1830</v>
      </c>
      <c r="C941" s="21" t="s">
        <v>1469</v>
      </c>
      <c r="D941" s="21" t="s">
        <v>1336</v>
      </c>
      <c r="E941" s="21" t="s">
        <v>1742</v>
      </c>
      <c r="F941" s="21" t="s">
        <v>1177</v>
      </c>
      <c r="G941" s="21" t="s">
        <v>1177</v>
      </c>
      <c r="H941" s="26"/>
    </row>
    <row r="942">
      <c r="A942" s="29"/>
      <c r="B942" s="21" t="s">
        <v>1307</v>
      </c>
      <c r="C942" s="21" t="s">
        <v>1677</v>
      </c>
      <c r="D942" s="21" t="s">
        <v>1373</v>
      </c>
      <c r="E942" s="21" t="s">
        <v>1739</v>
      </c>
      <c r="F942" s="21" t="s">
        <v>1177</v>
      </c>
      <c r="G942" s="21" t="s">
        <v>1177</v>
      </c>
      <c r="H942" s="26"/>
    </row>
    <row r="943">
      <c r="A943" s="24"/>
      <c r="B943" s="21" t="s">
        <v>1705</v>
      </c>
      <c r="C943" s="21" t="s">
        <v>1915</v>
      </c>
      <c r="D943" s="21" t="s">
        <v>1739</v>
      </c>
      <c r="E943" s="21" t="s">
        <v>1959</v>
      </c>
      <c r="F943" s="21" t="s">
        <v>1177</v>
      </c>
      <c r="G943" s="21" t="s">
        <v>1177</v>
      </c>
      <c r="H943" s="30"/>
      <c r="I943" s="14"/>
    </row>
    <row r="944">
      <c r="A944" s="16" t="s">
        <v>1174</v>
      </c>
      <c r="B944" s="17" t="s">
        <v>2521</v>
      </c>
      <c r="C944" s="18"/>
      <c r="D944" s="18"/>
      <c r="E944" s="18"/>
      <c r="F944" s="18"/>
      <c r="G944" s="18"/>
      <c r="H944" s="18"/>
      <c r="I944" s="16"/>
    </row>
    <row r="945" ht="60.0" customHeight="1">
      <c r="A945" s="20" t="s">
        <v>1176</v>
      </c>
      <c r="B945" s="21" t="str">
        <f t="array" ref="B945">iferror(VLOOKUP(INDIRECT(ADDRESS(ROW()+1,COLUMN(), 4)),Dex!$A$2:$C954,3,false),"")</f>
        <v/>
      </c>
      <c r="C945" s="21" t="str">
        <f t="array" ref="C945">iferror(VLOOKUP(INDIRECT(ADDRESS(ROW()+1,COLUMN(), 4)),Dex!$A$2:$C954,3,false),"")</f>
        <v/>
      </c>
      <c r="D945" s="21" t="str">
        <f t="array" ref="D945">iferror(VLOOKUP(INDIRECT(ADDRESS(ROW()+1,COLUMN(), 4)),Dex!$A$2:$C954,3,false),"")</f>
        <v/>
      </c>
      <c r="E945" s="21" t="str">
        <f t="array" ref="E945">iferror(VLOOKUP(INDIRECT(ADDRESS(ROW()+1,COLUMN(), 4)),Dex!$A$2:$C954,3,false),"")</f>
        <v/>
      </c>
      <c r="F945" s="21" t="s">
        <v>1177</v>
      </c>
      <c r="G945" s="21" t="s">
        <v>1177</v>
      </c>
      <c r="H945" s="22" t="str">
        <f t="array" ref="H945">iferror(VLOOKUP("TRAINER_PIC_LEADER_LIZA",Sprites!$A$1:$B954,2,false),"")</f>
        <v/>
      </c>
      <c r="I945" s="23"/>
    </row>
    <row r="946">
      <c r="A946" s="24"/>
      <c r="B946" s="25" t="s">
        <v>1005</v>
      </c>
      <c r="C946" s="25" t="s">
        <v>487</v>
      </c>
      <c r="D946" s="25" t="s">
        <v>483</v>
      </c>
      <c r="E946" s="25" t="s">
        <v>906</v>
      </c>
      <c r="F946" s="25" t="s">
        <v>1177</v>
      </c>
      <c r="G946" s="25" t="s">
        <v>1177</v>
      </c>
      <c r="H946" s="26"/>
    </row>
    <row r="947">
      <c r="A947" s="16" t="s">
        <v>1178</v>
      </c>
      <c r="B947" s="27" t="s">
        <v>2497</v>
      </c>
      <c r="C947" s="27" t="s">
        <v>2497</v>
      </c>
      <c r="D947" s="27" t="s">
        <v>2497</v>
      </c>
      <c r="E947" s="27" t="s">
        <v>2517</v>
      </c>
      <c r="F947" s="21" t="s">
        <v>1177</v>
      </c>
      <c r="G947" s="21" t="s">
        <v>1177</v>
      </c>
      <c r="H947" s="26"/>
    </row>
    <row r="948">
      <c r="A948" s="16" t="s">
        <v>1181</v>
      </c>
      <c r="B948" s="28" t="s">
        <v>1838</v>
      </c>
      <c r="C948" s="28" t="s">
        <v>2522</v>
      </c>
      <c r="D948" s="28" t="s">
        <v>2523</v>
      </c>
      <c r="E948" s="28" t="s">
        <v>1247</v>
      </c>
      <c r="F948" s="28" t="s">
        <v>1177</v>
      </c>
      <c r="G948" s="28" t="s">
        <v>1177</v>
      </c>
      <c r="H948" s="26"/>
    </row>
    <row r="949">
      <c r="A949" s="16" t="s">
        <v>1182</v>
      </c>
      <c r="B949" s="21" t="s">
        <v>1912</v>
      </c>
      <c r="C949" s="21" t="s">
        <v>1368</v>
      </c>
      <c r="D949" s="21" t="s">
        <v>1926</v>
      </c>
      <c r="E949" s="21" t="s">
        <v>2519</v>
      </c>
      <c r="F949" s="21" t="s">
        <v>1177</v>
      </c>
      <c r="G949" s="21" t="s">
        <v>1177</v>
      </c>
      <c r="H949" s="26"/>
    </row>
    <row r="950">
      <c r="A950" s="16" t="s">
        <v>1186</v>
      </c>
      <c r="B950" s="28" t="s">
        <v>1284</v>
      </c>
      <c r="C950" s="28" t="s">
        <v>1284</v>
      </c>
      <c r="D950" s="28" t="s">
        <v>1235</v>
      </c>
      <c r="E950" s="28" t="s">
        <v>1249</v>
      </c>
      <c r="F950" s="28" t="s">
        <v>1177</v>
      </c>
      <c r="G950" s="28" t="s">
        <v>1177</v>
      </c>
      <c r="H950" s="26"/>
    </row>
    <row r="951">
      <c r="A951" s="20" t="s">
        <v>1188</v>
      </c>
      <c r="B951" s="21" t="s">
        <v>1815</v>
      </c>
      <c r="C951" s="21" t="s">
        <v>1828</v>
      </c>
      <c r="D951" s="21" t="s">
        <v>2317</v>
      </c>
      <c r="E951" s="21" t="s">
        <v>2524</v>
      </c>
      <c r="F951" s="21" t="s">
        <v>1177</v>
      </c>
      <c r="G951" s="21" t="s">
        <v>1177</v>
      </c>
      <c r="H951" s="26"/>
    </row>
    <row r="952">
      <c r="A952" s="29"/>
      <c r="B952" s="21" t="s">
        <v>1731</v>
      </c>
      <c r="C952" s="21" t="s">
        <v>1739</v>
      </c>
      <c r="D952" s="21" t="s">
        <v>1469</v>
      </c>
      <c r="E952" s="21" t="s">
        <v>1469</v>
      </c>
      <c r="F952" s="21" t="s">
        <v>1177</v>
      </c>
      <c r="G952" s="21" t="s">
        <v>1177</v>
      </c>
      <c r="H952" s="26"/>
    </row>
    <row r="953">
      <c r="A953" s="29"/>
      <c r="B953" s="21" t="s">
        <v>1261</v>
      </c>
      <c r="C953" s="21" t="s">
        <v>1726</v>
      </c>
      <c r="D953" s="21" t="s">
        <v>1677</v>
      </c>
      <c r="E953" s="21" t="s">
        <v>1913</v>
      </c>
      <c r="F953" s="21" t="s">
        <v>1177</v>
      </c>
      <c r="G953" s="21" t="s">
        <v>1177</v>
      </c>
      <c r="H953" s="26"/>
    </row>
    <row r="954">
      <c r="A954" s="24"/>
      <c r="B954" s="21" t="s">
        <v>2525</v>
      </c>
      <c r="C954" s="21" t="s">
        <v>1698</v>
      </c>
      <c r="D954" s="21" t="s">
        <v>1336</v>
      </c>
      <c r="E954" s="21" t="s">
        <v>1739</v>
      </c>
      <c r="F954" s="21" t="s">
        <v>1177</v>
      </c>
      <c r="G954" s="21" t="s">
        <v>1177</v>
      </c>
      <c r="H954" s="30"/>
      <c r="I954" s="14"/>
    </row>
  </sheetData>
  <mergeCells count="352">
    <mergeCell ref="H635:I644"/>
    <mergeCell ref="H646:I655"/>
    <mergeCell ref="H657:I666"/>
    <mergeCell ref="H668:I677"/>
    <mergeCell ref="H679:I688"/>
    <mergeCell ref="H690:I699"/>
    <mergeCell ref="H701:I710"/>
    <mergeCell ref="H712:I721"/>
    <mergeCell ref="H724:I733"/>
    <mergeCell ref="H735:I744"/>
    <mergeCell ref="H746:I755"/>
    <mergeCell ref="H757:I766"/>
    <mergeCell ref="H768:I777"/>
    <mergeCell ref="H779:I788"/>
    <mergeCell ref="H868:I877"/>
    <mergeCell ref="H879:I888"/>
    <mergeCell ref="H890:I899"/>
    <mergeCell ref="H901:I910"/>
    <mergeCell ref="H912:I921"/>
    <mergeCell ref="H923:I932"/>
    <mergeCell ref="H934:I943"/>
    <mergeCell ref="H945:I954"/>
    <mergeCell ref="H790:I799"/>
    <mergeCell ref="H801:I810"/>
    <mergeCell ref="H812:I821"/>
    <mergeCell ref="H823:I832"/>
    <mergeCell ref="H834:I843"/>
    <mergeCell ref="H845:I854"/>
    <mergeCell ref="H856:I865"/>
    <mergeCell ref="H91:I100"/>
    <mergeCell ref="H102:I111"/>
    <mergeCell ref="H114:I123"/>
    <mergeCell ref="H125:I134"/>
    <mergeCell ref="H136:I145"/>
    <mergeCell ref="H147:I156"/>
    <mergeCell ref="H158:I167"/>
    <mergeCell ref="H169:I178"/>
    <mergeCell ref="H180:I189"/>
    <mergeCell ref="H191:I200"/>
    <mergeCell ref="H202:I211"/>
    <mergeCell ref="H214:I223"/>
    <mergeCell ref="H225:I234"/>
    <mergeCell ref="H236:I245"/>
    <mergeCell ref="H248:I257"/>
    <mergeCell ref="H259:I268"/>
    <mergeCell ref="H270:I279"/>
    <mergeCell ref="H281:I290"/>
    <mergeCell ref="H292:I301"/>
    <mergeCell ref="H303:I312"/>
    <mergeCell ref="H314:I323"/>
    <mergeCell ref="H325:I334"/>
    <mergeCell ref="H336:I345"/>
    <mergeCell ref="H347:I356"/>
    <mergeCell ref="H358:I367"/>
    <mergeCell ref="H369:I378"/>
    <mergeCell ref="H380:I389"/>
    <mergeCell ref="H391:I400"/>
    <mergeCell ref="H402:I411"/>
    <mergeCell ref="H413:I422"/>
    <mergeCell ref="H424:I433"/>
    <mergeCell ref="H435:I444"/>
    <mergeCell ref="H447:I456"/>
    <mergeCell ref="H458:I467"/>
    <mergeCell ref="H469:I478"/>
    <mergeCell ref="H480:I489"/>
    <mergeCell ref="H491:I500"/>
    <mergeCell ref="H502:I511"/>
    <mergeCell ref="H513:I522"/>
    <mergeCell ref="H524:I533"/>
    <mergeCell ref="H535:I544"/>
    <mergeCell ref="H546:I555"/>
    <mergeCell ref="H557:I566"/>
    <mergeCell ref="H568:I577"/>
    <mergeCell ref="H579:I588"/>
    <mergeCell ref="H590:I599"/>
    <mergeCell ref="H601:I610"/>
    <mergeCell ref="H612:I621"/>
    <mergeCell ref="H624:I633"/>
    <mergeCell ref="B745:H745"/>
    <mergeCell ref="B756:H756"/>
    <mergeCell ref="B678:H678"/>
    <mergeCell ref="B689:H689"/>
    <mergeCell ref="B700:H700"/>
    <mergeCell ref="B711:H711"/>
    <mergeCell ref="B722:H722"/>
    <mergeCell ref="B723:H723"/>
    <mergeCell ref="B734:H734"/>
    <mergeCell ref="B179:H179"/>
    <mergeCell ref="B190:H190"/>
    <mergeCell ref="B201:H201"/>
    <mergeCell ref="B212:H212"/>
    <mergeCell ref="B213:H213"/>
    <mergeCell ref="B224:H224"/>
    <mergeCell ref="B235:H235"/>
    <mergeCell ref="B246:H246"/>
    <mergeCell ref="B247:H247"/>
    <mergeCell ref="B258:H258"/>
    <mergeCell ref="B269:H269"/>
    <mergeCell ref="B280:H280"/>
    <mergeCell ref="B291:H291"/>
    <mergeCell ref="B302:H302"/>
    <mergeCell ref="B313:H313"/>
    <mergeCell ref="B324:H324"/>
    <mergeCell ref="B335:H335"/>
    <mergeCell ref="B346:H346"/>
    <mergeCell ref="B357:H357"/>
    <mergeCell ref="B368:H368"/>
    <mergeCell ref="B379:H379"/>
    <mergeCell ref="B390:H390"/>
    <mergeCell ref="B401:H401"/>
    <mergeCell ref="B412:H412"/>
    <mergeCell ref="B423:H423"/>
    <mergeCell ref="B434:H434"/>
    <mergeCell ref="B445:H445"/>
    <mergeCell ref="B446:H446"/>
    <mergeCell ref="B457:H457"/>
    <mergeCell ref="B468:H468"/>
    <mergeCell ref="B479:H479"/>
    <mergeCell ref="B490:H490"/>
    <mergeCell ref="B501:H501"/>
    <mergeCell ref="B512:H512"/>
    <mergeCell ref="B523:H523"/>
    <mergeCell ref="B534:H534"/>
    <mergeCell ref="B545:H545"/>
    <mergeCell ref="B556:H556"/>
    <mergeCell ref="B567:H567"/>
    <mergeCell ref="B578:H578"/>
    <mergeCell ref="B589:H589"/>
    <mergeCell ref="B600:H600"/>
    <mergeCell ref="B611:H611"/>
    <mergeCell ref="B622:H622"/>
    <mergeCell ref="B623:H623"/>
    <mergeCell ref="B634:H634"/>
    <mergeCell ref="B645:H645"/>
    <mergeCell ref="B656:H656"/>
    <mergeCell ref="B667:H667"/>
    <mergeCell ref="A807:A810"/>
    <mergeCell ref="A812:A813"/>
    <mergeCell ref="A818:A821"/>
    <mergeCell ref="A823:A824"/>
    <mergeCell ref="A829:A832"/>
    <mergeCell ref="A834:A835"/>
    <mergeCell ref="A840:A843"/>
    <mergeCell ref="A845:A846"/>
    <mergeCell ref="A851:A854"/>
    <mergeCell ref="A856:A857"/>
    <mergeCell ref="A862:A865"/>
    <mergeCell ref="A868:A869"/>
    <mergeCell ref="A874:A877"/>
    <mergeCell ref="A879:A880"/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4:A115"/>
    <mergeCell ref="A120:A123"/>
    <mergeCell ref="A125:A126"/>
    <mergeCell ref="A186:A189"/>
    <mergeCell ref="A191:A192"/>
    <mergeCell ref="A197:A200"/>
    <mergeCell ref="A202:A203"/>
    <mergeCell ref="A208:A211"/>
    <mergeCell ref="A214:A215"/>
    <mergeCell ref="A220:A223"/>
    <mergeCell ref="A225:A226"/>
    <mergeCell ref="A231:A234"/>
    <mergeCell ref="A236:A237"/>
    <mergeCell ref="A242:A245"/>
    <mergeCell ref="A248:A249"/>
    <mergeCell ref="A254:A257"/>
    <mergeCell ref="A259:A260"/>
    <mergeCell ref="A265:A268"/>
    <mergeCell ref="A270:A271"/>
    <mergeCell ref="A276:A279"/>
    <mergeCell ref="A281:A282"/>
    <mergeCell ref="A287:A290"/>
    <mergeCell ref="A292:A293"/>
    <mergeCell ref="A298:A301"/>
    <mergeCell ref="A303:A304"/>
    <mergeCell ref="A309:A312"/>
    <mergeCell ref="A314:A315"/>
    <mergeCell ref="A320:A323"/>
    <mergeCell ref="A325:A326"/>
    <mergeCell ref="A331:A334"/>
    <mergeCell ref="A336:A337"/>
    <mergeCell ref="A923:A924"/>
    <mergeCell ref="A929:A932"/>
    <mergeCell ref="A934:A935"/>
    <mergeCell ref="A940:A943"/>
    <mergeCell ref="A945:A946"/>
    <mergeCell ref="A951:A954"/>
    <mergeCell ref="A885:A888"/>
    <mergeCell ref="A890:A891"/>
    <mergeCell ref="A896:A899"/>
    <mergeCell ref="A901:A902"/>
    <mergeCell ref="A907:A910"/>
    <mergeCell ref="A912:A913"/>
    <mergeCell ref="A918:A921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B35:H35"/>
    <mergeCell ref="B46:H46"/>
    <mergeCell ref="B57:H57"/>
    <mergeCell ref="B68:H68"/>
    <mergeCell ref="B79:H79"/>
    <mergeCell ref="B90:H90"/>
    <mergeCell ref="B101:H101"/>
    <mergeCell ref="A169:A170"/>
    <mergeCell ref="A175:A178"/>
    <mergeCell ref="A180:A181"/>
    <mergeCell ref="A131:A134"/>
    <mergeCell ref="A136:A137"/>
    <mergeCell ref="A142:A145"/>
    <mergeCell ref="A147:A148"/>
    <mergeCell ref="A153:A156"/>
    <mergeCell ref="A158:A159"/>
    <mergeCell ref="A164:A167"/>
    <mergeCell ref="B112:H112"/>
    <mergeCell ref="B113:H113"/>
    <mergeCell ref="B124:H124"/>
    <mergeCell ref="B135:H135"/>
    <mergeCell ref="B146:H146"/>
    <mergeCell ref="B157:H157"/>
    <mergeCell ref="B168:H168"/>
    <mergeCell ref="A342:A345"/>
    <mergeCell ref="A347:A348"/>
    <mergeCell ref="A353:A356"/>
    <mergeCell ref="A358:A359"/>
    <mergeCell ref="A364:A367"/>
    <mergeCell ref="A369:A370"/>
    <mergeCell ref="A375:A378"/>
    <mergeCell ref="A380:A381"/>
    <mergeCell ref="A386:A389"/>
    <mergeCell ref="A391:A392"/>
    <mergeCell ref="A397:A400"/>
    <mergeCell ref="A402:A403"/>
    <mergeCell ref="A408:A411"/>
    <mergeCell ref="A413:A414"/>
    <mergeCell ref="A419:A422"/>
    <mergeCell ref="A424:A425"/>
    <mergeCell ref="A430:A433"/>
    <mergeCell ref="A435:A436"/>
    <mergeCell ref="A441:A444"/>
    <mergeCell ref="A447:A448"/>
    <mergeCell ref="A453:A456"/>
    <mergeCell ref="A458:A459"/>
    <mergeCell ref="A464:A467"/>
    <mergeCell ref="A469:A470"/>
    <mergeCell ref="A475:A478"/>
    <mergeCell ref="A480:A481"/>
    <mergeCell ref="A486:A489"/>
    <mergeCell ref="A491:A492"/>
    <mergeCell ref="A497:A500"/>
    <mergeCell ref="A502:A503"/>
    <mergeCell ref="A508:A511"/>
    <mergeCell ref="A513:A514"/>
    <mergeCell ref="A519:A522"/>
    <mergeCell ref="A524:A525"/>
    <mergeCell ref="A530:A533"/>
    <mergeCell ref="A535:A536"/>
    <mergeCell ref="A541:A544"/>
    <mergeCell ref="A546:A547"/>
    <mergeCell ref="A552:A555"/>
    <mergeCell ref="A557:A558"/>
    <mergeCell ref="A563:A566"/>
    <mergeCell ref="A568:A569"/>
    <mergeCell ref="A574:A577"/>
    <mergeCell ref="A579:A580"/>
    <mergeCell ref="A585:A588"/>
    <mergeCell ref="A590:A591"/>
    <mergeCell ref="A596:A599"/>
    <mergeCell ref="A601:A602"/>
    <mergeCell ref="A607:A610"/>
    <mergeCell ref="A612:A613"/>
    <mergeCell ref="A618:A621"/>
    <mergeCell ref="A624:A625"/>
    <mergeCell ref="A630:A633"/>
    <mergeCell ref="A635:A636"/>
    <mergeCell ref="A641:A644"/>
    <mergeCell ref="A646:A647"/>
    <mergeCell ref="A652:A655"/>
    <mergeCell ref="A657:A658"/>
    <mergeCell ref="A663:A666"/>
    <mergeCell ref="A668:A669"/>
    <mergeCell ref="A674:A677"/>
    <mergeCell ref="A679:A680"/>
    <mergeCell ref="A685:A688"/>
    <mergeCell ref="A690:A691"/>
    <mergeCell ref="A696:A699"/>
    <mergeCell ref="A701:A702"/>
    <mergeCell ref="A707:A710"/>
    <mergeCell ref="A712:A713"/>
    <mergeCell ref="A718:A721"/>
    <mergeCell ref="A724:A725"/>
    <mergeCell ref="B767:H767"/>
    <mergeCell ref="B778:H778"/>
    <mergeCell ref="B789:H789"/>
    <mergeCell ref="B800:H800"/>
    <mergeCell ref="B811:H811"/>
    <mergeCell ref="B822:H822"/>
    <mergeCell ref="B833:H833"/>
    <mergeCell ref="B911:H911"/>
    <mergeCell ref="B922:H922"/>
    <mergeCell ref="B933:H933"/>
    <mergeCell ref="B944:H944"/>
    <mergeCell ref="B844:H844"/>
    <mergeCell ref="B855:H855"/>
    <mergeCell ref="B866:H866"/>
    <mergeCell ref="B867:H867"/>
    <mergeCell ref="B878:H878"/>
    <mergeCell ref="B889:H889"/>
    <mergeCell ref="B900:H900"/>
    <mergeCell ref="A730:A733"/>
    <mergeCell ref="A735:A736"/>
    <mergeCell ref="A741:A744"/>
    <mergeCell ref="A746:A747"/>
    <mergeCell ref="A752:A755"/>
    <mergeCell ref="A757:A758"/>
    <mergeCell ref="A763:A766"/>
    <mergeCell ref="A768:A769"/>
    <mergeCell ref="A774:A777"/>
    <mergeCell ref="A779:A780"/>
    <mergeCell ref="A785:A788"/>
    <mergeCell ref="A790:A791"/>
    <mergeCell ref="A796:A799"/>
    <mergeCell ref="A801:A802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2526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2527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4)),Dex!$A$2:$C893,3,false),"")</f>
        <v/>
      </c>
      <c r="C3" s="21" t="str">
        <f t="array" ref="C3">iferror(VLOOKUP(INDIRECT(ADDRESS(ROW()+1,COLUMN(), 4)),Dex!$A$2:$C893,3,false),"")</f>
        <v/>
      </c>
      <c r="D3" s="21" t="str">
        <f t="array" ref="D3">iferror(VLOOKUP(INDIRECT(ADDRESS(ROW()+1,COLUMN(), 4)),Dex!$A$2:$C893,3,false),"")</f>
        <v/>
      </c>
      <c r="E3" s="21" t="str">
        <f t="array" ref="E3">iferror(VLOOKUP(INDIRECT(ADDRESS(ROW()+1,COLUMN(), 4)),Dex!$A$2:$C893,3,false),"")</f>
        <v/>
      </c>
      <c r="F3" s="21" t="str">
        <f t="array" ref="F3">iferror(VLOOKUP(INDIRECT(ADDRESS(ROW()+1,COLUMN(), 4)),Dex!$A$2:$C893,3,false),"")</f>
        <v/>
      </c>
      <c r="G3" s="21" t="s">
        <v>1177</v>
      </c>
      <c r="H3" s="22" t="str">
        <f t="array" ref="H3">iferror(VLOOKUP("TRAINER_PIC_MAGMA_GRUNT_M",Sprites!$A$1:$B893,2,false),"")</f>
        <v/>
      </c>
      <c r="I3" s="23"/>
    </row>
    <row r="4">
      <c r="A4" s="24"/>
      <c r="B4" s="25" t="s">
        <v>287</v>
      </c>
      <c r="C4" s="25" t="s">
        <v>1078</v>
      </c>
      <c r="D4" s="25" t="s">
        <v>674</v>
      </c>
      <c r="E4" s="25" t="s">
        <v>1054</v>
      </c>
      <c r="F4" s="25" t="s">
        <v>665</v>
      </c>
      <c r="G4" s="25" t="s">
        <v>1177</v>
      </c>
      <c r="H4" s="26"/>
    </row>
    <row r="5">
      <c r="A5" s="16" t="s">
        <v>1178</v>
      </c>
      <c r="B5" s="27" t="s">
        <v>2485</v>
      </c>
      <c r="C5" s="27" t="s">
        <v>2484</v>
      </c>
      <c r="D5" s="27" t="s">
        <v>2485</v>
      </c>
      <c r="E5" s="27" t="s">
        <v>2485</v>
      </c>
      <c r="F5" s="27" t="s">
        <v>2497</v>
      </c>
      <c r="G5" s="21" t="s">
        <v>1177</v>
      </c>
      <c r="H5" s="26"/>
    </row>
    <row r="6">
      <c r="A6" s="16" t="s">
        <v>1181</v>
      </c>
      <c r="B6" s="28" t="s">
        <v>1582</v>
      </c>
      <c r="C6" s="28" t="s">
        <v>1209</v>
      </c>
      <c r="D6" s="28" t="s">
        <v>2300</v>
      </c>
      <c r="E6" s="28" t="s">
        <v>1701</v>
      </c>
      <c r="F6" s="28" t="s">
        <v>2300</v>
      </c>
      <c r="G6" s="28" t="s">
        <v>1177</v>
      </c>
      <c r="H6" s="26"/>
    </row>
    <row r="7">
      <c r="A7" s="16" t="s">
        <v>1182</v>
      </c>
      <c r="B7" s="21" t="s">
        <v>1199</v>
      </c>
      <c r="C7" s="21" t="s">
        <v>1748</v>
      </c>
      <c r="D7" s="21" t="s">
        <v>1210</v>
      </c>
      <c r="E7" s="21" t="s">
        <v>1211</v>
      </c>
      <c r="F7" s="21" t="s">
        <v>1444</v>
      </c>
      <c r="G7" s="21" t="s">
        <v>1177</v>
      </c>
      <c r="H7" s="26"/>
    </row>
    <row r="8">
      <c r="A8" s="16" t="s">
        <v>1186</v>
      </c>
      <c r="B8" s="28" t="s">
        <v>1754</v>
      </c>
      <c r="C8" s="28" t="s">
        <v>1256</v>
      </c>
      <c r="D8" s="28" t="s">
        <v>1269</v>
      </c>
      <c r="E8" s="28" t="s">
        <v>1406</v>
      </c>
      <c r="F8" s="28" t="s">
        <v>1284</v>
      </c>
      <c r="G8" s="28" t="s">
        <v>1177</v>
      </c>
      <c r="H8" s="26"/>
    </row>
    <row r="9">
      <c r="A9" s="20" t="s">
        <v>1188</v>
      </c>
      <c r="B9" s="21" t="s">
        <v>1677</v>
      </c>
      <c r="C9" s="21" t="s">
        <v>1828</v>
      </c>
      <c r="D9" s="21" t="s">
        <v>1609</v>
      </c>
      <c r="E9" s="21" t="s">
        <v>1804</v>
      </c>
      <c r="F9" s="21" t="s">
        <v>1740</v>
      </c>
      <c r="G9" s="21" t="s">
        <v>1177</v>
      </c>
      <c r="H9" s="26"/>
    </row>
    <row r="10">
      <c r="A10" s="29"/>
      <c r="B10" s="21" t="s">
        <v>2110</v>
      </c>
      <c r="C10" s="21" t="s">
        <v>2061</v>
      </c>
      <c r="D10" s="21" t="s">
        <v>1918</v>
      </c>
      <c r="E10" s="21" t="s">
        <v>2040</v>
      </c>
      <c r="F10" s="21" t="s">
        <v>1788</v>
      </c>
      <c r="G10" s="21" t="s">
        <v>1177</v>
      </c>
      <c r="H10" s="26"/>
    </row>
    <row r="11">
      <c r="A11" s="29"/>
      <c r="B11" s="21" t="s">
        <v>1830</v>
      </c>
      <c r="C11" s="21" t="s">
        <v>1275</v>
      </c>
      <c r="D11" s="21" t="s">
        <v>1779</v>
      </c>
      <c r="E11" s="21" t="s">
        <v>1204</v>
      </c>
      <c r="F11" s="21" t="s">
        <v>1652</v>
      </c>
      <c r="G11" s="21" t="s">
        <v>1177</v>
      </c>
      <c r="H11" s="26"/>
    </row>
    <row r="12">
      <c r="A12" s="24"/>
      <c r="B12" s="21" t="s">
        <v>1705</v>
      </c>
      <c r="C12" s="21" t="s">
        <v>1398</v>
      </c>
      <c r="D12" s="21" t="s">
        <v>1759</v>
      </c>
      <c r="E12" s="21" t="s">
        <v>1891</v>
      </c>
      <c r="F12" s="21" t="s">
        <v>1771</v>
      </c>
      <c r="G12" s="21" t="s">
        <v>1177</v>
      </c>
      <c r="H12" s="30"/>
      <c r="I12" s="14"/>
    </row>
    <row r="13">
      <c r="A13" s="16" t="s">
        <v>1174</v>
      </c>
      <c r="B13" s="17" t="s">
        <v>2528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4)),Dex!$A$2:$C893,3,false),"")</f>
        <v/>
      </c>
      <c r="C14" s="21" t="str">
        <f t="array" ref="C14">iferror(VLOOKUP(INDIRECT(ADDRESS(ROW()+1,COLUMN(), 4)),Dex!$A$2:$C893,3,false),"")</f>
        <v/>
      </c>
      <c r="D14" s="21" t="str">
        <f t="array" ref="D14">iferror(VLOOKUP(INDIRECT(ADDRESS(ROW()+1,COLUMN(), 4)),Dex!$A$2:$C893,3,false),"")</f>
        <v/>
      </c>
      <c r="E14" s="21" t="str">
        <f t="array" ref="E14">iferror(VLOOKUP(INDIRECT(ADDRESS(ROW()+1,COLUMN(), 4)),Dex!$A$2:$C893,3,false),"")</f>
        <v/>
      </c>
      <c r="F14" s="21" t="str">
        <f t="array" ref="F14">iferror(VLOOKUP(INDIRECT(ADDRESS(ROW()+1,COLUMN(), 4)),Dex!$A$2:$C893,3,false),"")</f>
        <v/>
      </c>
      <c r="G14" s="21" t="str">
        <f t="array" ref="G14">iferror(VLOOKUP(INDIRECT(ADDRESS(ROW()+1,COLUMN(), 4)),Dex!$A$2:$C893,3,false),"")</f>
        <v/>
      </c>
      <c r="H14" s="22" t="str">
        <f t="array" ref="H14">iferror(VLOOKUP("TRAINER_PIC_MAGMA_GRUNT_M",Sprites!$A$1:$B893,2,false),"")</f>
        <v/>
      </c>
      <c r="I14" s="23"/>
    </row>
    <row r="15">
      <c r="A15" s="24"/>
      <c r="B15" s="25" t="s">
        <v>715</v>
      </c>
      <c r="C15" s="25" t="s">
        <v>1132</v>
      </c>
      <c r="D15" s="25" t="s">
        <v>155</v>
      </c>
      <c r="E15" s="25" t="s">
        <v>208</v>
      </c>
      <c r="F15" s="25" t="s">
        <v>709</v>
      </c>
      <c r="G15" s="25" t="s">
        <v>583</v>
      </c>
      <c r="H15" s="26"/>
    </row>
    <row r="16">
      <c r="A16" s="16" t="s">
        <v>1178</v>
      </c>
      <c r="B16" s="27" t="s">
        <v>2497</v>
      </c>
      <c r="C16" s="27" t="s">
        <v>2485</v>
      </c>
      <c r="D16" s="27" t="s">
        <v>2497</v>
      </c>
      <c r="E16" s="27" t="s">
        <v>2485</v>
      </c>
      <c r="F16" s="27" t="s">
        <v>2517</v>
      </c>
      <c r="G16" s="27" t="s">
        <v>2517</v>
      </c>
      <c r="H16" s="26"/>
    </row>
    <row r="17">
      <c r="A17" s="16" t="s">
        <v>1181</v>
      </c>
      <c r="B17" s="28" t="s">
        <v>1838</v>
      </c>
      <c r="C17" s="28" t="s">
        <v>1457</v>
      </c>
      <c r="D17" s="28" t="s">
        <v>1796</v>
      </c>
      <c r="E17" s="28" t="s">
        <v>1571</v>
      </c>
      <c r="F17" s="28" t="s">
        <v>1882</v>
      </c>
      <c r="G17" s="28" t="s">
        <v>1582</v>
      </c>
      <c r="H17" s="26"/>
    </row>
    <row r="18">
      <c r="A18" s="16" t="s">
        <v>1182</v>
      </c>
      <c r="B18" s="21" t="s">
        <v>1298</v>
      </c>
      <c r="C18" s="21" t="s">
        <v>2030</v>
      </c>
      <c r="D18" s="21" t="s">
        <v>1369</v>
      </c>
      <c r="E18" s="21" t="s">
        <v>1211</v>
      </c>
      <c r="F18" s="21" t="s">
        <v>1938</v>
      </c>
      <c r="G18" s="21" t="s">
        <v>1356</v>
      </c>
      <c r="H18" s="26"/>
    </row>
    <row r="19">
      <c r="A19" s="16" t="s">
        <v>1186</v>
      </c>
      <c r="B19" s="28" t="s">
        <v>1248</v>
      </c>
      <c r="C19" s="28" t="s">
        <v>1234</v>
      </c>
      <c r="D19" s="28" t="s">
        <v>1447</v>
      </c>
      <c r="E19" s="28" t="s">
        <v>1235</v>
      </c>
      <c r="F19" s="28" t="s">
        <v>1235</v>
      </c>
      <c r="G19" s="28" t="s">
        <v>1235</v>
      </c>
      <c r="H19" s="26"/>
    </row>
    <row r="20">
      <c r="A20" s="20" t="s">
        <v>1188</v>
      </c>
      <c r="B20" s="21" t="s">
        <v>1874</v>
      </c>
      <c r="C20" s="21" t="s">
        <v>2268</v>
      </c>
      <c r="D20" s="21" t="s">
        <v>1731</v>
      </c>
      <c r="E20" s="21" t="s">
        <v>1678</v>
      </c>
      <c r="F20" s="21" t="s">
        <v>1737</v>
      </c>
      <c r="G20" s="21" t="s">
        <v>1577</v>
      </c>
      <c r="H20" s="26"/>
    </row>
    <row r="21">
      <c r="A21" s="29"/>
      <c r="B21" s="21" t="s">
        <v>1307</v>
      </c>
      <c r="C21" s="21" t="s">
        <v>1758</v>
      </c>
      <c r="D21" s="21" t="s">
        <v>1652</v>
      </c>
      <c r="E21" s="21" t="s">
        <v>1415</v>
      </c>
      <c r="F21" s="21" t="s">
        <v>1677</v>
      </c>
      <c r="G21" s="21" t="s">
        <v>1651</v>
      </c>
      <c r="H21" s="26"/>
    </row>
    <row r="22">
      <c r="A22" s="29"/>
      <c r="B22" s="21" t="s">
        <v>1678</v>
      </c>
      <c r="C22" s="21" t="s">
        <v>1804</v>
      </c>
      <c r="D22" s="21" t="s">
        <v>1830</v>
      </c>
      <c r="E22" s="21" t="s">
        <v>1677</v>
      </c>
      <c r="F22" s="21" t="s">
        <v>1438</v>
      </c>
      <c r="G22" s="21" t="s">
        <v>1759</v>
      </c>
      <c r="H22" s="26"/>
    </row>
    <row r="23">
      <c r="A23" s="24"/>
      <c r="B23" s="21" t="s">
        <v>1896</v>
      </c>
      <c r="C23" s="21" t="s">
        <v>1705</v>
      </c>
      <c r="D23" s="21" t="s">
        <v>1622</v>
      </c>
      <c r="E23" s="21" t="s">
        <v>1915</v>
      </c>
      <c r="F23" s="21" t="s">
        <v>1359</v>
      </c>
      <c r="G23" s="21" t="s">
        <v>1641</v>
      </c>
      <c r="H23" s="30"/>
      <c r="I23" s="14"/>
    </row>
    <row r="24">
      <c r="A24" s="16" t="s">
        <v>1174</v>
      </c>
      <c r="B24" s="17" t="s">
        <v>2529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4)),Dex!$A$2:$C893,3,false),"")</f>
        <v/>
      </c>
      <c r="C25" s="21" t="str">
        <f t="array" ref="C25">iferror(VLOOKUP(INDIRECT(ADDRESS(ROW()+1,COLUMN(), 4)),Dex!$A$2:$C893,3,false),"")</f>
        <v/>
      </c>
      <c r="D25" s="21" t="str">
        <f t="array" ref="D25">iferror(VLOOKUP(INDIRECT(ADDRESS(ROW()+1,COLUMN(), 4)),Dex!$A$2:$C893,3,false),"")</f>
        <v/>
      </c>
      <c r="E25" s="21" t="str">
        <f t="array" ref="E25">iferror(VLOOKUP(INDIRECT(ADDRESS(ROW()+1,COLUMN(), 4)),Dex!$A$2:$C893,3,false),"")</f>
        <v/>
      </c>
      <c r="F25" s="21" t="str">
        <f t="array" ref="F25">iferror(VLOOKUP(INDIRECT(ADDRESS(ROW()+1,COLUMN(), 4)),Dex!$A$2:$C893,3,false),"")</f>
        <v/>
      </c>
      <c r="G25" s="21" t="s">
        <v>1177</v>
      </c>
      <c r="H25" s="22" t="str">
        <f t="array" ref="H25">iferror(VLOOKUP("TRAINER_PIC_MAGMA_GRUNT_F",Sprites!$A$1:$B893,2,false),"")</f>
        <v/>
      </c>
      <c r="I25" s="23"/>
    </row>
    <row r="26">
      <c r="A26" s="24"/>
      <c r="B26" s="25" t="s">
        <v>831</v>
      </c>
      <c r="C26" s="25" t="s">
        <v>980</v>
      </c>
      <c r="D26" s="25" t="s">
        <v>935</v>
      </c>
      <c r="E26" s="25" t="s">
        <v>90</v>
      </c>
      <c r="F26" s="25" t="s">
        <v>760</v>
      </c>
      <c r="G26" s="25" t="s">
        <v>1177</v>
      </c>
      <c r="H26" s="26"/>
    </row>
    <row r="27">
      <c r="A27" s="16" t="s">
        <v>1178</v>
      </c>
      <c r="B27" s="27" t="s">
        <v>2497</v>
      </c>
      <c r="C27" s="27" t="s">
        <v>2497</v>
      </c>
      <c r="D27" s="27" t="s">
        <v>2497</v>
      </c>
      <c r="E27" s="27" t="s">
        <v>2517</v>
      </c>
      <c r="F27" s="27" t="s">
        <v>2517</v>
      </c>
      <c r="G27" s="21" t="s">
        <v>1177</v>
      </c>
      <c r="H27" s="26"/>
    </row>
    <row r="28">
      <c r="A28" s="16" t="s">
        <v>1181</v>
      </c>
      <c r="B28" s="28" t="s">
        <v>1796</v>
      </c>
      <c r="C28" s="28" t="s">
        <v>2530</v>
      </c>
      <c r="D28" s="28" t="s">
        <v>2300</v>
      </c>
      <c r="E28" s="28" t="s">
        <v>1582</v>
      </c>
      <c r="F28" s="28" t="s">
        <v>1246</v>
      </c>
      <c r="G28" s="28" t="s">
        <v>1177</v>
      </c>
      <c r="H28" s="26"/>
    </row>
    <row r="29">
      <c r="A29" s="16" t="s">
        <v>1182</v>
      </c>
      <c r="B29" s="21" t="s">
        <v>2004</v>
      </c>
      <c r="C29" s="21" t="s">
        <v>2381</v>
      </c>
      <c r="D29" s="21" t="s">
        <v>1342</v>
      </c>
      <c r="E29" s="21" t="s">
        <v>1298</v>
      </c>
      <c r="F29" s="21" t="s">
        <v>1783</v>
      </c>
      <c r="G29" s="21" t="s">
        <v>1177</v>
      </c>
      <c r="H29" s="26"/>
    </row>
    <row r="30">
      <c r="A30" s="16" t="s">
        <v>1186</v>
      </c>
      <c r="B30" s="28" t="s">
        <v>1248</v>
      </c>
      <c r="C30" s="28" t="s">
        <v>1269</v>
      </c>
      <c r="D30" s="28" t="s">
        <v>1256</v>
      </c>
      <c r="E30" s="28" t="s">
        <v>1235</v>
      </c>
      <c r="F30" s="28" t="s">
        <v>1235</v>
      </c>
      <c r="G30" s="28" t="s">
        <v>1177</v>
      </c>
      <c r="H30" s="26"/>
    </row>
    <row r="31">
      <c r="A31" s="20" t="s">
        <v>1188</v>
      </c>
      <c r="B31" s="21" t="s">
        <v>1805</v>
      </c>
      <c r="C31" s="21" t="s">
        <v>2382</v>
      </c>
      <c r="D31" s="21" t="s">
        <v>1815</v>
      </c>
      <c r="E31" s="21" t="s">
        <v>1737</v>
      </c>
      <c r="F31" s="21" t="s">
        <v>1784</v>
      </c>
      <c r="G31" s="21" t="s">
        <v>1177</v>
      </c>
      <c r="H31" s="26"/>
    </row>
    <row r="32">
      <c r="A32" s="29"/>
      <c r="B32" s="21" t="s">
        <v>1677</v>
      </c>
      <c r="C32" s="21" t="s">
        <v>1740</v>
      </c>
      <c r="D32" s="21" t="s">
        <v>1650</v>
      </c>
      <c r="E32" s="21" t="s">
        <v>1874</v>
      </c>
      <c r="F32" s="21" t="s">
        <v>1177</v>
      </c>
      <c r="G32" s="21" t="s">
        <v>1177</v>
      </c>
      <c r="H32" s="26"/>
    </row>
    <row r="33">
      <c r="A33" s="29"/>
      <c r="B33" s="21" t="s">
        <v>1320</v>
      </c>
      <c r="C33" s="21" t="s">
        <v>1468</v>
      </c>
      <c r="D33" s="21" t="s">
        <v>2021</v>
      </c>
      <c r="E33" s="21" t="s">
        <v>1704</v>
      </c>
      <c r="F33" s="21" t="s">
        <v>1177</v>
      </c>
      <c r="G33" s="21" t="s">
        <v>1177</v>
      </c>
      <c r="H33" s="26"/>
    </row>
    <row r="34">
      <c r="A34" s="24"/>
      <c r="B34" s="21" t="s">
        <v>1307</v>
      </c>
      <c r="C34" s="21" t="s">
        <v>2439</v>
      </c>
      <c r="D34" s="21" t="s">
        <v>1657</v>
      </c>
      <c r="E34" s="21" t="s">
        <v>1672</v>
      </c>
      <c r="F34" s="21" t="s">
        <v>1177</v>
      </c>
      <c r="G34" s="21" t="s">
        <v>1177</v>
      </c>
      <c r="H34" s="30"/>
      <c r="I34" s="14"/>
    </row>
    <row r="35">
      <c r="A35" s="16" t="s">
        <v>1174</v>
      </c>
      <c r="B35" s="17" t="s">
        <v>2531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4)),Dex!$A$2:$C893,3,false),"")</f>
        <v/>
      </c>
      <c r="C36" s="21" t="str">
        <f t="array" ref="C36">iferror(VLOOKUP(INDIRECT(ADDRESS(ROW()+1,COLUMN(), 4)),Dex!$A$2:$C893,3,false),"")</f>
        <v/>
      </c>
      <c r="D36" s="21" t="str">
        <f t="array" ref="D36">iferror(VLOOKUP(INDIRECT(ADDRESS(ROW()+1,COLUMN(), 4)),Dex!$A$2:$C893,3,false),"")</f>
        <v/>
      </c>
      <c r="E36" s="21" t="str">
        <f t="array" ref="E36">iferror(VLOOKUP(INDIRECT(ADDRESS(ROW()+1,COLUMN(), 4)),Dex!$A$2:$C893,3,false),"")</f>
        <v/>
      </c>
      <c r="F36" s="21" t="str">
        <f t="array" ref="F36">iferror(VLOOKUP(INDIRECT(ADDRESS(ROW()+1,COLUMN(), 4)),Dex!$A$2:$C893,3,false),"")</f>
        <v/>
      </c>
      <c r="G36" s="21" t="str">
        <f t="array" ref="G36">iferror(VLOOKUP(INDIRECT(ADDRESS(ROW()+1,COLUMN(), 4)),Dex!$A$2:$C893,3,false),"")</f>
        <v/>
      </c>
      <c r="H36" s="22" t="str">
        <f t="array" ref="H36">iferror(VLOOKUP("TRAINER_PIC_MAGMA_GRUNT_F",Sprites!$A$1:$B893,2,false),"")</f>
        <v/>
      </c>
      <c r="I36" s="23"/>
    </row>
    <row r="37">
      <c r="A37" s="24"/>
      <c r="B37" s="25" t="s">
        <v>624</v>
      </c>
      <c r="C37" s="25" t="s">
        <v>76</v>
      </c>
      <c r="D37" s="25" t="s">
        <v>871</v>
      </c>
      <c r="E37" s="25" t="s">
        <v>1018</v>
      </c>
      <c r="F37" s="25" t="s">
        <v>1016</v>
      </c>
      <c r="G37" s="25" t="s">
        <v>12</v>
      </c>
      <c r="H37" s="26"/>
    </row>
    <row r="38">
      <c r="A38" s="16" t="s">
        <v>1178</v>
      </c>
      <c r="B38" s="27" t="s">
        <v>2532</v>
      </c>
      <c r="C38" s="27" t="s">
        <v>2517</v>
      </c>
      <c r="D38" s="27" t="s">
        <v>2517</v>
      </c>
      <c r="E38" s="27" t="s">
        <v>2532</v>
      </c>
      <c r="F38" s="27" t="s">
        <v>2532</v>
      </c>
      <c r="G38" s="27" t="s">
        <v>2532</v>
      </c>
      <c r="H38" s="26"/>
    </row>
    <row r="39">
      <c r="A39" s="16" t="s">
        <v>1181</v>
      </c>
      <c r="B39" s="28" t="s">
        <v>1882</v>
      </c>
      <c r="C39" s="28" t="s">
        <v>2239</v>
      </c>
      <c r="D39" s="28" t="s">
        <v>1247</v>
      </c>
      <c r="E39" s="28" t="s">
        <v>1295</v>
      </c>
      <c r="F39" s="28" t="s">
        <v>1838</v>
      </c>
      <c r="G39" s="28" t="s">
        <v>2533</v>
      </c>
      <c r="H39" s="26"/>
    </row>
    <row r="40">
      <c r="A40" s="16" t="s">
        <v>1182</v>
      </c>
      <c r="B40" s="21" t="s">
        <v>1283</v>
      </c>
      <c r="C40" s="21" t="s">
        <v>1675</v>
      </c>
      <c r="D40" s="21" t="s">
        <v>1692</v>
      </c>
      <c r="E40" s="21" t="s">
        <v>2309</v>
      </c>
      <c r="F40" s="21" t="s">
        <v>2309</v>
      </c>
      <c r="G40" s="21" t="s">
        <v>1926</v>
      </c>
      <c r="H40" s="26"/>
    </row>
    <row r="41">
      <c r="A41" s="16" t="s">
        <v>1186</v>
      </c>
      <c r="B41" s="28" t="s">
        <v>1284</v>
      </c>
      <c r="C41" s="28" t="s">
        <v>1235</v>
      </c>
      <c r="D41" s="28" t="s">
        <v>1248</v>
      </c>
      <c r="E41" s="28" t="s">
        <v>1284</v>
      </c>
      <c r="F41" s="28" t="s">
        <v>1235</v>
      </c>
      <c r="G41" s="28" t="s">
        <v>1235</v>
      </c>
      <c r="H41" s="26"/>
    </row>
    <row r="42">
      <c r="A42" s="20" t="s">
        <v>1188</v>
      </c>
      <c r="B42" s="21" t="s">
        <v>2342</v>
      </c>
      <c r="C42" s="21" t="s">
        <v>1677</v>
      </c>
      <c r="D42" s="21" t="s">
        <v>1974</v>
      </c>
      <c r="E42" s="21" t="s">
        <v>1724</v>
      </c>
      <c r="F42" s="21" t="s">
        <v>1575</v>
      </c>
      <c r="G42" s="21" t="s">
        <v>1737</v>
      </c>
      <c r="H42" s="26"/>
    </row>
    <row r="43">
      <c r="A43" s="29"/>
      <c r="B43" s="21" t="s">
        <v>1618</v>
      </c>
      <c r="C43" s="21" t="s">
        <v>2063</v>
      </c>
      <c r="D43" s="21" t="s">
        <v>1919</v>
      </c>
      <c r="E43" s="21" t="s">
        <v>1652</v>
      </c>
      <c r="F43" s="21" t="s">
        <v>1423</v>
      </c>
      <c r="G43" s="21" t="s">
        <v>1712</v>
      </c>
      <c r="H43" s="26"/>
    </row>
    <row r="44">
      <c r="A44" s="29"/>
      <c r="B44" s="21" t="s">
        <v>1788</v>
      </c>
      <c r="C44" s="21" t="s">
        <v>2364</v>
      </c>
      <c r="D44" s="21" t="s">
        <v>1874</v>
      </c>
      <c r="E44" s="21" t="s">
        <v>1311</v>
      </c>
      <c r="F44" s="21" t="s">
        <v>1678</v>
      </c>
      <c r="G44" s="21" t="s">
        <v>1915</v>
      </c>
      <c r="H44" s="26"/>
    </row>
    <row r="45">
      <c r="A45" s="24"/>
      <c r="B45" s="21" t="s">
        <v>1378</v>
      </c>
      <c r="C45" s="21" t="s">
        <v>1705</v>
      </c>
      <c r="D45" s="21" t="s">
        <v>1685</v>
      </c>
      <c r="E45" s="21" t="s">
        <v>1959</v>
      </c>
      <c r="F45" s="21" t="s">
        <v>1323</v>
      </c>
      <c r="G45" s="21" t="s">
        <v>1377</v>
      </c>
      <c r="H45" s="30"/>
      <c r="I45" s="14"/>
    </row>
    <row r="46">
      <c r="A46" s="16" t="s">
        <v>1174</v>
      </c>
      <c r="B46" s="17" t="s">
        <v>2534</v>
      </c>
      <c r="C46" s="18"/>
      <c r="D46" s="18"/>
      <c r="E46" s="18"/>
      <c r="F46" s="18"/>
      <c r="G46" s="18"/>
      <c r="H46" s="18"/>
      <c r="I46" s="19"/>
    </row>
    <row r="47" ht="60.0" customHeight="1">
      <c r="A47" s="20" t="s">
        <v>1176</v>
      </c>
      <c r="B47" s="21" t="str">
        <f t="array" ref="B47">iferror(VLOOKUP(INDIRECT(ADDRESS(ROW()+1,COLUMN(), 4)),Dex!$A$2:$C893,3,false),"")</f>
        <v/>
      </c>
      <c r="C47" s="21" t="str">
        <f t="array" ref="C47">iferror(VLOOKUP(INDIRECT(ADDRESS(ROW()+1,COLUMN(), 4)),Dex!$A$2:$C893,3,false),"")</f>
        <v/>
      </c>
      <c r="D47" s="21" t="s">
        <v>1177</v>
      </c>
      <c r="E47" s="21" t="s">
        <v>1177</v>
      </c>
      <c r="F47" s="21" t="s">
        <v>1177</v>
      </c>
      <c r="G47" s="21" t="s">
        <v>1177</v>
      </c>
      <c r="H47" s="22" t="str">
        <f t="array" ref="H47">iferror(VLOOKUP("TRAINER_PIC_MAGMA_GRUNT_M",Sprites!$A$1:$B893,2,false),"")</f>
        <v/>
      </c>
      <c r="I47" s="23"/>
    </row>
    <row r="48">
      <c r="A48" s="24"/>
      <c r="B48" s="25" t="s">
        <v>450</v>
      </c>
      <c r="C48" s="25" t="s">
        <v>605</v>
      </c>
      <c r="D48" s="25" t="s">
        <v>1177</v>
      </c>
      <c r="E48" s="25" t="s">
        <v>1177</v>
      </c>
      <c r="F48" s="25" t="s">
        <v>1177</v>
      </c>
      <c r="G48" s="25" t="s">
        <v>1177</v>
      </c>
      <c r="H48" s="26"/>
    </row>
    <row r="49">
      <c r="A49" s="16" t="s">
        <v>1178</v>
      </c>
      <c r="B49" s="27" t="s">
        <v>2485</v>
      </c>
      <c r="C49" s="27" t="s">
        <v>2497</v>
      </c>
      <c r="D49" s="21" t="s">
        <v>1177</v>
      </c>
      <c r="E49" s="21" t="s">
        <v>1177</v>
      </c>
      <c r="F49" s="21" t="s">
        <v>1177</v>
      </c>
      <c r="G49" s="21" t="s">
        <v>1177</v>
      </c>
      <c r="H49" s="26"/>
    </row>
    <row r="50">
      <c r="A50" s="16" t="s">
        <v>1181</v>
      </c>
      <c r="B50" s="28" t="s">
        <v>1582</v>
      </c>
      <c r="C50" s="28" t="s">
        <v>1572</v>
      </c>
      <c r="D50" s="28" t="s">
        <v>1177</v>
      </c>
      <c r="E50" s="28" t="s">
        <v>1177</v>
      </c>
      <c r="F50" s="28" t="s">
        <v>1177</v>
      </c>
      <c r="G50" s="28" t="s">
        <v>1177</v>
      </c>
      <c r="H50" s="26"/>
    </row>
    <row r="51">
      <c r="A51" s="16" t="s">
        <v>1182</v>
      </c>
      <c r="B51" s="21" t="s">
        <v>2156</v>
      </c>
      <c r="C51" s="21" t="s">
        <v>1368</v>
      </c>
      <c r="D51" s="21" t="s">
        <v>1177</v>
      </c>
      <c r="E51" s="21" t="s">
        <v>1177</v>
      </c>
      <c r="F51" s="21" t="s">
        <v>1177</v>
      </c>
      <c r="G51" s="21" t="s">
        <v>1177</v>
      </c>
      <c r="H51" s="26"/>
    </row>
    <row r="52">
      <c r="A52" s="16" t="s">
        <v>1186</v>
      </c>
      <c r="B52" s="28" t="s">
        <v>1248</v>
      </c>
      <c r="C52" s="28" t="s">
        <v>1284</v>
      </c>
      <c r="D52" s="28" t="s">
        <v>1177</v>
      </c>
      <c r="E52" s="28" t="s">
        <v>1177</v>
      </c>
      <c r="F52" s="28" t="s">
        <v>1177</v>
      </c>
      <c r="G52" s="28" t="s">
        <v>1177</v>
      </c>
      <c r="H52" s="26"/>
    </row>
    <row r="53">
      <c r="A53" s="20" t="s">
        <v>1188</v>
      </c>
      <c r="B53" s="21" t="s">
        <v>1575</v>
      </c>
      <c r="C53" s="21" t="s">
        <v>1918</v>
      </c>
      <c r="D53" s="21" t="s">
        <v>1177</v>
      </c>
      <c r="E53" s="21" t="s">
        <v>1177</v>
      </c>
      <c r="F53" s="21" t="s">
        <v>1177</v>
      </c>
      <c r="G53" s="21" t="s">
        <v>1177</v>
      </c>
      <c r="H53" s="26"/>
    </row>
    <row r="54">
      <c r="A54" s="29"/>
      <c r="B54" s="21" t="s">
        <v>1303</v>
      </c>
      <c r="C54" s="21" t="s">
        <v>1724</v>
      </c>
      <c r="D54" s="21" t="s">
        <v>1177</v>
      </c>
      <c r="E54" s="21" t="s">
        <v>1177</v>
      </c>
      <c r="F54" s="21" t="s">
        <v>1177</v>
      </c>
      <c r="G54" s="21" t="s">
        <v>1177</v>
      </c>
      <c r="H54" s="26"/>
    </row>
    <row r="55">
      <c r="A55" s="29"/>
      <c r="B55" s="21" t="s">
        <v>1677</v>
      </c>
      <c r="C55" s="21" t="s">
        <v>1590</v>
      </c>
      <c r="D55" s="21" t="s">
        <v>1177</v>
      </c>
      <c r="E55" s="21" t="s">
        <v>1177</v>
      </c>
      <c r="F55" s="21" t="s">
        <v>1177</v>
      </c>
      <c r="G55" s="21" t="s">
        <v>1177</v>
      </c>
      <c r="H55" s="26"/>
    </row>
    <row r="56">
      <c r="A56" s="24"/>
      <c r="B56" s="21" t="s">
        <v>1641</v>
      </c>
      <c r="C56" s="21" t="s">
        <v>1262</v>
      </c>
      <c r="D56" s="21" t="s">
        <v>1177</v>
      </c>
      <c r="E56" s="21" t="s">
        <v>1177</v>
      </c>
      <c r="F56" s="21" t="s">
        <v>1177</v>
      </c>
      <c r="G56" s="21" t="s">
        <v>1177</v>
      </c>
      <c r="H56" s="30"/>
      <c r="I56" s="14"/>
    </row>
    <row r="57">
      <c r="A57" s="16" t="s">
        <v>1174</v>
      </c>
      <c r="B57" s="17" t="s">
        <v>2535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4)),Dex!$A$2:$C893,3,false),"")</f>
        <v/>
      </c>
      <c r="C58" s="21" t="str">
        <f t="array" ref="C58">iferror(VLOOKUP(INDIRECT(ADDRESS(ROW()+1,COLUMN(), 4)),Dex!$A$2:$C893,3,false),"")</f>
        <v/>
      </c>
      <c r="D58" s="21" t="s">
        <v>1177</v>
      </c>
      <c r="E58" s="21" t="s">
        <v>1177</v>
      </c>
      <c r="F58" s="21" t="s">
        <v>1177</v>
      </c>
      <c r="G58" s="21" t="s">
        <v>1177</v>
      </c>
      <c r="H58" s="22" t="str">
        <f t="array" ref="H58">iferror(VLOOKUP("TRAINER_PIC_MAGMA_GRUNT_M",Sprites!$A$1:$B893,2,false),"")</f>
        <v/>
      </c>
      <c r="I58" s="23"/>
    </row>
    <row r="59">
      <c r="A59" s="24"/>
      <c r="B59" s="25" t="s">
        <v>101</v>
      </c>
      <c r="C59" s="25" t="s">
        <v>834</v>
      </c>
      <c r="D59" s="25" t="s">
        <v>1177</v>
      </c>
      <c r="E59" s="25" t="s">
        <v>1177</v>
      </c>
      <c r="F59" s="25" t="s">
        <v>1177</v>
      </c>
      <c r="G59" s="25" t="s">
        <v>1177</v>
      </c>
      <c r="H59" s="26"/>
    </row>
    <row r="60">
      <c r="A60" s="16" t="s">
        <v>1178</v>
      </c>
      <c r="B60" s="27" t="s">
        <v>2497</v>
      </c>
      <c r="C60" s="27" t="s">
        <v>2497</v>
      </c>
      <c r="D60" s="21" t="s">
        <v>1177</v>
      </c>
      <c r="E60" s="21" t="s">
        <v>1177</v>
      </c>
      <c r="F60" s="21" t="s">
        <v>1177</v>
      </c>
      <c r="G60" s="21" t="s">
        <v>1177</v>
      </c>
      <c r="H60" s="26"/>
    </row>
    <row r="61">
      <c r="A61" s="16" t="s">
        <v>1181</v>
      </c>
      <c r="B61" s="28" t="s">
        <v>1796</v>
      </c>
      <c r="C61" s="28" t="s">
        <v>1282</v>
      </c>
      <c r="D61" s="28" t="s">
        <v>1177</v>
      </c>
      <c r="E61" s="28" t="s">
        <v>1177</v>
      </c>
      <c r="F61" s="28" t="s">
        <v>1177</v>
      </c>
      <c r="G61" s="28" t="s">
        <v>1177</v>
      </c>
      <c r="H61" s="26"/>
    </row>
    <row r="62">
      <c r="A62" s="16" t="s">
        <v>1182</v>
      </c>
      <c r="B62" s="21" t="s">
        <v>1971</v>
      </c>
      <c r="C62" s="21" t="s">
        <v>1318</v>
      </c>
      <c r="D62" s="21" t="s">
        <v>1177</v>
      </c>
      <c r="E62" s="21" t="s">
        <v>1177</v>
      </c>
      <c r="F62" s="21" t="s">
        <v>1177</v>
      </c>
      <c r="G62" s="21" t="s">
        <v>1177</v>
      </c>
      <c r="H62" s="26"/>
    </row>
    <row r="63">
      <c r="A63" s="16" t="s">
        <v>1186</v>
      </c>
      <c r="B63" s="28" t="s">
        <v>1248</v>
      </c>
      <c r="C63" s="28" t="s">
        <v>1235</v>
      </c>
      <c r="D63" s="28" t="s">
        <v>1177</v>
      </c>
      <c r="E63" s="28" t="s">
        <v>1177</v>
      </c>
      <c r="F63" s="28" t="s">
        <v>1177</v>
      </c>
      <c r="G63" s="28" t="s">
        <v>1177</v>
      </c>
      <c r="H63" s="26"/>
    </row>
    <row r="64">
      <c r="A64" s="20" t="s">
        <v>1188</v>
      </c>
      <c r="B64" s="21" t="s">
        <v>1972</v>
      </c>
      <c r="C64" s="21" t="s">
        <v>1737</v>
      </c>
      <c r="D64" s="21" t="s">
        <v>1177</v>
      </c>
      <c r="E64" s="21" t="s">
        <v>1177</v>
      </c>
      <c r="F64" s="21" t="s">
        <v>1177</v>
      </c>
      <c r="G64" s="21" t="s">
        <v>1177</v>
      </c>
      <c r="H64" s="26"/>
    </row>
    <row r="65">
      <c r="A65" s="29"/>
      <c r="B65" s="21" t="s">
        <v>1678</v>
      </c>
      <c r="C65" s="21" t="s">
        <v>1238</v>
      </c>
      <c r="D65" s="21" t="s">
        <v>1177</v>
      </c>
      <c r="E65" s="21" t="s">
        <v>1177</v>
      </c>
      <c r="F65" s="21" t="s">
        <v>1177</v>
      </c>
      <c r="G65" s="21" t="s">
        <v>1177</v>
      </c>
      <c r="H65" s="26"/>
    </row>
    <row r="66">
      <c r="A66" s="29"/>
      <c r="B66" s="21" t="s">
        <v>1307</v>
      </c>
      <c r="C66" s="21" t="s">
        <v>1641</v>
      </c>
      <c r="D66" s="21" t="s">
        <v>1177</v>
      </c>
      <c r="E66" s="21" t="s">
        <v>1177</v>
      </c>
      <c r="F66" s="21" t="s">
        <v>1177</v>
      </c>
      <c r="G66" s="21" t="s">
        <v>1177</v>
      </c>
      <c r="H66" s="26"/>
    </row>
    <row r="67">
      <c r="A67" s="24"/>
      <c r="B67" s="21" t="s">
        <v>1410</v>
      </c>
      <c r="C67" s="21" t="s">
        <v>1590</v>
      </c>
      <c r="D67" s="21" t="s">
        <v>1177</v>
      </c>
      <c r="E67" s="21" t="s">
        <v>1177</v>
      </c>
      <c r="F67" s="21" t="s">
        <v>1177</v>
      </c>
      <c r="G67" s="21" t="s">
        <v>1177</v>
      </c>
      <c r="H67" s="30"/>
      <c r="I67" s="14"/>
    </row>
    <row r="68">
      <c r="A68" s="16" t="s">
        <v>1174</v>
      </c>
      <c r="B68" s="17" t="s">
        <v>2536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4)),Dex!$A$2:$C893,3,false),"")</f>
        <v/>
      </c>
      <c r="C69" s="21" t="str">
        <f t="array" ref="C69">iferror(VLOOKUP(INDIRECT(ADDRESS(ROW()+1,COLUMN(), 4)),Dex!$A$2:$C893,3,false),"")</f>
        <v/>
      </c>
      <c r="D69" s="21" t="str">
        <f t="array" ref="D69">iferror(VLOOKUP(INDIRECT(ADDRESS(ROW()+1,COLUMN(), 4)),Dex!$A$2:$C893,3,false),"")</f>
        <v/>
      </c>
      <c r="E69" s="21" t="s">
        <v>1177</v>
      </c>
      <c r="F69" s="21" t="s">
        <v>1177</v>
      </c>
      <c r="G69" s="21" t="s">
        <v>1177</v>
      </c>
      <c r="H69" s="22" t="str">
        <f t="array" ref="H69">iferror(VLOOKUP("TRAINER_PIC_MAGMA_GRUNT_M",Sprites!$A$1:$B893,2,false),"")</f>
        <v/>
      </c>
      <c r="I69" s="23"/>
    </row>
    <row r="70">
      <c r="A70" s="24"/>
      <c r="B70" s="25" t="s">
        <v>785</v>
      </c>
      <c r="C70" s="25" t="s">
        <v>165</v>
      </c>
      <c r="D70" s="25" t="s">
        <v>1021</v>
      </c>
      <c r="E70" s="25" t="s">
        <v>1177</v>
      </c>
      <c r="F70" s="25" t="s">
        <v>1177</v>
      </c>
      <c r="G70" s="25" t="s">
        <v>1177</v>
      </c>
      <c r="H70" s="26"/>
    </row>
    <row r="71">
      <c r="A71" s="16" t="s">
        <v>1178</v>
      </c>
      <c r="B71" s="27" t="s">
        <v>2497</v>
      </c>
      <c r="C71" s="27" t="s">
        <v>2497</v>
      </c>
      <c r="D71" s="27" t="s">
        <v>2517</v>
      </c>
      <c r="E71" s="21" t="s">
        <v>1177</v>
      </c>
      <c r="F71" s="21" t="s">
        <v>1177</v>
      </c>
      <c r="G71" s="21" t="s">
        <v>1177</v>
      </c>
      <c r="H71" s="26"/>
    </row>
    <row r="72">
      <c r="A72" s="16" t="s">
        <v>1181</v>
      </c>
      <c r="B72" s="28" t="s">
        <v>1209</v>
      </c>
      <c r="C72" s="28" t="s">
        <v>1346</v>
      </c>
      <c r="D72" s="28" t="s">
        <v>2300</v>
      </c>
      <c r="E72" s="28" t="s">
        <v>1177</v>
      </c>
      <c r="F72" s="28" t="s">
        <v>1177</v>
      </c>
      <c r="G72" s="28" t="s">
        <v>1177</v>
      </c>
      <c r="H72" s="26"/>
    </row>
    <row r="73">
      <c r="A73" s="16" t="s">
        <v>1182</v>
      </c>
      <c r="B73" s="21" t="s">
        <v>1405</v>
      </c>
      <c r="C73" s="21" t="s">
        <v>1368</v>
      </c>
      <c r="D73" s="21" t="s">
        <v>2309</v>
      </c>
      <c r="E73" s="21" t="s">
        <v>1177</v>
      </c>
      <c r="F73" s="21" t="s">
        <v>1177</v>
      </c>
      <c r="G73" s="21" t="s">
        <v>1177</v>
      </c>
      <c r="H73" s="26"/>
    </row>
    <row r="74">
      <c r="A74" s="16" t="s">
        <v>1186</v>
      </c>
      <c r="B74" s="28" t="s">
        <v>1235</v>
      </c>
      <c r="C74" s="28" t="s">
        <v>1284</v>
      </c>
      <c r="D74" s="28" t="s">
        <v>1248</v>
      </c>
      <c r="E74" s="28" t="s">
        <v>1177</v>
      </c>
      <c r="F74" s="28" t="s">
        <v>1177</v>
      </c>
      <c r="G74" s="28" t="s">
        <v>1177</v>
      </c>
      <c r="H74" s="26"/>
    </row>
    <row r="75">
      <c r="A75" s="20" t="s">
        <v>1188</v>
      </c>
      <c r="B75" s="21" t="s">
        <v>1607</v>
      </c>
      <c r="C75" s="21" t="s">
        <v>1373</v>
      </c>
      <c r="D75" s="21" t="s">
        <v>2039</v>
      </c>
      <c r="E75" s="21" t="s">
        <v>1177</v>
      </c>
      <c r="F75" s="21" t="s">
        <v>1177</v>
      </c>
      <c r="G75" s="21" t="s">
        <v>1177</v>
      </c>
      <c r="H75" s="26"/>
    </row>
    <row r="76">
      <c r="A76" s="29"/>
      <c r="B76" s="21" t="s">
        <v>1336</v>
      </c>
      <c r="C76" s="21" t="s">
        <v>1740</v>
      </c>
      <c r="D76" s="21" t="s">
        <v>1307</v>
      </c>
      <c r="E76" s="21" t="s">
        <v>1177</v>
      </c>
      <c r="F76" s="21" t="s">
        <v>1177</v>
      </c>
      <c r="G76" s="21" t="s">
        <v>1177</v>
      </c>
      <c r="H76" s="26"/>
    </row>
    <row r="77">
      <c r="A77" s="29"/>
      <c r="B77" s="21" t="s">
        <v>1714</v>
      </c>
      <c r="C77" s="21" t="s">
        <v>1389</v>
      </c>
      <c r="D77" s="21" t="s">
        <v>1758</v>
      </c>
      <c r="E77" s="21" t="s">
        <v>1177</v>
      </c>
      <c r="F77" s="21" t="s">
        <v>1177</v>
      </c>
      <c r="G77" s="21" t="s">
        <v>1177</v>
      </c>
      <c r="H77" s="26"/>
    </row>
    <row r="78">
      <c r="A78" s="24"/>
      <c r="B78" s="21" t="s">
        <v>1759</v>
      </c>
      <c r="C78" s="21" t="s">
        <v>1590</v>
      </c>
      <c r="D78" s="21" t="s">
        <v>1677</v>
      </c>
      <c r="E78" s="21" t="s">
        <v>1177</v>
      </c>
      <c r="F78" s="21" t="s">
        <v>1177</v>
      </c>
      <c r="G78" s="21" t="s">
        <v>1177</v>
      </c>
      <c r="H78" s="30"/>
      <c r="I78" s="14"/>
    </row>
    <row r="79">
      <c r="A79" s="16" t="s">
        <v>1174</v>
      </c>
      <c r="B79" s="17" t="s">
        <v>2537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4)),Dex!$A$2:$C893,3,false),"")</f>
        <v/>
      </c>
      <c r="C80" s="21" t="str">
        <f t="array" ref="C80">iferror(VLOOKUP(INDIRECT(ADDRESS(ROW()+1,COLUMN(), 4)),Dex!$A$2:$C893,3,false),"")</f>
        <v/>
      </c>
      <c r="D80" s="21" t="str">
        <f t="array" ref="D80">iferror(VLOOKUP(INDIRECT(ADDRESS(ROW()+1,COLUMN(), 4)),Dex!$A$2:$C893,3,false),"")</f>
        <v/>
      </c>
      <c r="E80" s="21" t="str">
        <f t="array" ref="E80">iferror(VLOOKUP(INDIRECT(ADDRESS(ROW()+1,COLUMN(), 4)),Dex!$A$2:$C893,3,false),"")</f>
        <v/>
      </c>
      <c r="F80" s="39" t="str">
        <f t="array" ref="F80">iferror(VLOOKUP(INDIRECT(ADDRESS(ROW()+1,COLUMN(), 4)),Dex!$A$2:$C893,3,false),"")</f>
        <v/>
      </c>
      <c r="G80" s="21" t="str">
        <f t="array" ref="G80">iferror(VLOOKUP(INDIRECT(ADDRESS(ROW()+1,COLUMN(), 4)),Dex!$A$2:$C893,3,false),"")</f>
        <v/>
      </c>
      <c r="H80" s="22" t="str">
        <f t="array" ref="H80">iferror(VLOOKUP("TRAINER_PIC_MAGMA_LEADER_MAXIE",Sprites!$A$1:$B893,2,false),"")</f>
        <v/>
      </c>
      <c r="I80" s="23"/>
    </row>
    <row r="81">
      <c r="A81" s="24"/>
      <c r="B81" s="25" t="s">
        <v>810</v>
      </c>
      <c r="C81" s="25" t="s">
        <v>616</v>
      </c>
      <c r="D81" s="25" t="s">
        <v>565</v>
      </c>
      <c r="E81" s="25" t="s">
        <v>335</v>
      </c>
      <c r="F81" s="25" t="s">
        <v>757</v>
      </c>
      <c r="G81" s="25" t="s">
        <v>216</v>
      </c>
      <c r="H81" s="26"/>
    </row>
    <row r="82">
      <c r="A82" s="16" t="s">
        <v>1178</v>
      </c>
      <c r="B82" s="27" t="s">
        <v>2538</v>
      </c>
      <c r="C82" s="27" t="s">
        <v>2538</v>
      </c>
      <c r="D82" s="27" t="s">
        <v>2539</v>
      </c>
      <c r="E82" s="27" t="s">
        <v>2539</v>
      </c>
      <c r="F82" s="27" t="s">
        <v>2538</v>
      </c>
      <c r="G82" s="27" t="s">
        <v>2538</v>
      </c>
      <c r="H82" s="26"/>
    </row>
    <row r="83">
      <c r="A83" s="16" t="s">
        <v>1181</v>
      </c>
      <c r="B83" s="28" t="s">
        <v>1882</v>
      </c>
      <c r="C83" s="28" t="s">
        <v>2042</v>
      </c>
      <c r="D83" s="28" t="s">
        <v>2540</v>
      </c>
      <c r="E83" s="28" t="s">
        <v>2541</v>
      </c>
      <c r="F83" s="28" t="s">
        <v>1391</v>
      </c>
      <c r="G83" s="28" t="s">
        <v>2102</v>
      </c>
      <c r="H83" s="26"/>
    </row>
    <row r="84">
      <c r="A84" s="16" t="s">
        <v>1182</v>
      </c>
      <c r="B84" s="21" t="s">
        <v>1938</v>
      </c>
      <c r="C84" s="21" t="s">
        <v>1200</v>
      </c>
      <c r="D84" s="21" t="s">
        <v>1721</v>
      </c>
      <c r="E84" s="21" t="s">
        <v>2376</v>
      </c>
      <c r="F84" s="21" t="s">
        <v>1946</v>
      </c>
      <c r="G84" s="21" t="s">
        <v>1318</v>
      </c>
      <c r="H84" s="26"/>
    </row>
    <row r="85">
      <c r="A85" s="16" t="s">
        <v>1186</v>
      </c>
      <c r="B85" s="28" t="s">
        <v>1284</v>
      </c>
      <c r="C85" s="28" t="s">
        <v>1284</v>
      </c>
      <c r="D85" s="28" t="s">
        <v>1235</v>
      </c>
      <c r="E85" s="28" t="s">
        <v>1248</v>
      </c>
      <c r="F85" s="28" t="s">
        <v>1446</v>
      </c>
      <c r="G85" s="28" t="s">
        <v>1284</v>
      </c>
      <c r="H85" s="26"/>
    </row>
    <row r="86">
      <c r="A86" s="20" t="s">
        <v>1188</v>
      </c>
      <c r="B86" s="21" t="s">
        <v>1618</v>
      </c>
      <c r="C86" s="21" t="s">
        <v>2542</v>
      </c>
      <c r="D86" s="21" t="s">
        <v>1779</v>
      </c>
      <c r="E86" s="21" t="s">
        <v>1594</v>
      </c>
      <c r="F86" s="21" t="s">
        <v>1983</v>
      </c>
      <c r="G86" s="21" t="s">
        <v>2185</v>
      </c>
      <c r="H86" s="26"/>
    </row>
    <row r="87">
      <c r="A87" s="29"/>
      <c r="B87" s="21" t="s">
        <v>1731</v>
      </c>
      <c r="C87" s="21" t="s">
        <v>1629</v>
      </c>
      <c r="D87" s="21" t="s">
        <v>1919</v>
      </c>
      <c r="E87" s="21" t="s">
        <v>1759</v>
      </c>
      <c r="F87" s="21" t="s">
        <v>1804</v>
      </c>
      <c r="G87" s="21" t="s">
        <v>1822</v>
      </c>
      <c r="H87" s="26"/>
    </row>
    <row r="88">
      <c r="A88" s="29"/>
      <c r="B88" s="21" t="s">
        <v>2022</v>
      </c>
      <c r="C88" s="21" t="s">
        <v>1723</v>
      </c>
      <c r="D88" s="21" t="s">
        <v>1678</v>
      </c>
      <c r="E88" s="21" t="s">
        <v>1758</v>
      </c>
      <c r="F88" s="21" t="s">
        <v>1307</v>
      </c>
      <c r="G88" s="21" t="s">
        <v>1243</v>
      </c>
      <c r="H88" s="26"/>
    </row>
    <row r="89">
      <c r="A89" s="24"/>
      <c r="B89" s="21" t="s">
        <v>1389</v>
      </c>
      <c r="C89" s="21" t="s">
        <v>1618</v>
      </c>
      <c r="D89" s="21" t="s">
        <v>1389</v>
      </c>
      <c r="E89" s="21" t="s">
        <v>2543</v>
      </c>
      <c r="F89" s="21" t="s">
        <v>1275</v>
      </c>
      <c r="G89" s="21" t="s">
        <v>1944</v>
      </c>
      <c r="H89" s="30"/>
      <c r="I89" s="14"/>
    </row>
    <row r="90">
      <c r="A90" s="16" t="s">
        <v>1174</v>
      </c>
      <c r="B90" s="17" t="s">
        <v>2544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4)),Dex!$A$2:$C893,3,false),"")</f>
        <v/>
      </c>
      <c r="C91" s="21" t="str">
        <f t="array" ref="C91">iferror(VLOOKUP(INDIRECT(ADDRESS(ROW()+1,COLUMN(), 4)),Dex!$A$2:$C893,3,false),"")</f>
        <v/>
      </c>
      <c r="D91" s="21" t="str">
        <f t="array" ref="D91">iferror(VLOOKUP(INDIRECT(ADDRESS(ROW()+1,COLUMN(), 4)),Dex!$A$2:$C893,3,false),"")</f>
        <v/>
      </c>
      <c r="E91" s="21" t="s">
        <v>1177</v>
      </c>
      <c r="F91" s="21" t="s">
        <v>1177</v>
      </c>
      <c r="G91" s="21" t="s">
        <v>1177</v>
      </c>
      <c r="H91" s="22" t="str">
        <f t="array" ref="H91">iferror(VLOOKUP("TRAINER_PIC_STEVEN",Sprites!$A$1:$B893,2,false),"")</f>
        <v/>
      </c>
      <c r="I91" s="23"/>
    </row>
    <row r="92">
      <c r="A92" s="24"/>
      <c r="B92" s="25" t="s">
        <v>612</v>
      </c>
      <c r="C92" s="25" t="s">
        <v>482</v>
      </c>
      <c r="D92" s="25" t="s">
        <v>288</v>
      </c>
      <c r="E92" s="25" t="s">
        <v>1177</v>
      </c>
      <c r="F92" s="25" t="s">
        <v>1177</v>
      </c>
      <c r="G92" s="25" t="s">
        <v>1177</v>
      </c>
      <c r="H92" s="26"/>
    </row>
    <row r="93">
      <c r="A93" s="16" t="s">
        <v>1178</v>
      </c>
      <c r="B93" s="27" t="s">
        <v>2265</v>
      </c>
      <c r="C93" s="27" t="s">
        <v>2539</v>
      </c>
      <c r="D93" s="27" t="s">
        <v>2265</v>
      </c>
      <c r="E93" s="21" t="s">
        <v>1177</v>
      </c>
      <c r="F93" s="21" t="s">
        <v>1177</v>
      </c>
      <c r="G93" s="21" t="s">
        <v>1177</v>
      </c>
      <c r="H93" s="26"/>
    </row>
    <row r="94">
      <c r="A94" s="16" t="s">
        <v>1181</v>
      </c>
      <c r="B94" s="28" t="s">
        <v>2276</v>
      </c>
      <c r="C94" s="28" t="s">
        <v>1882</v>
      </c>
      <c r="D94" s="28" t="s">
        <v>2545</v>
      </c>
      <c r="E94" s="28" t="s">
        <v>1177</v>
      </c>
      <c r="F94" s="28" t="s">
        <v>1177</v>
      </c>
      <c r="G94" s="28" t="s">
        <v>1177</v>
      </c>
      <c r="H94" s="26"/>
    </row>
    <row r="95">
      <c r="A95" s="16" t="s">
        <v>1182</v>
      </c>
      <c r="B95" s="21" t="s">
        <v>2286</v>
      </c>
      <c r="C95" s="21" t="s">
        <v>1783</v>
      </c>
      <c r="D95" s="21" t="s">
        <v>1721</v>
      </c>
      <c r="E95" s="21" t="s">
        <v>1177</v>
      </c>
      <c r="F95" s="21" t="s">
        <v>1177</v>
      </c>
      <c r="G95" s="21" t="s">
        <v>1177</v>
      </c>
      <c r="H95" s="26"/>
    </row>
    <row r="96">
      <c r="A96" s="16" t="s">
        <v>1186</v>
      </c>
      <c r="B96" s="28" t="s">
        <v>1447</v>
      </c>
      <c r="C96" s="28" t="s">
        <v>1754</v>
      </c>
      <c r="D96" s="28" t="s">
        <v>1754</v>
      </c>
      <c r="E96" s="28" t="s">
        <v>1177</v>
      </c>
      <c r="F96" s="28" t="s">
        <v>1177</v>
      </c>
      <c r="G96" s="28" t="s">
        <v>1177</v>
      </c>
      <c r="H96" s="26"/>
    </row>
    <row r="97">
      <c r="A97" s="20" t="s">
        <v>1188</v>
      </c>
      <c r="B97" s="21" t="s">
        <v>1828</v>
      </c>
      <c r="C97" s="21" t="s">
        <v>2317</v>
      </c>
      <c r="D97" s="21" t="s">
        <v>1779</v>
      </c>
      <c r="E97" s="21" t="s">
        <v>1177</v>
      </c>
      <c r="F97" s="21" t="s">
        <v>1177</v>
      </c>
      <c r="G97" s="21" t="s">
        <v>1177</v>
      </c>
      <c r="H97" s="26"/>
    </row>
    <row r="98">
      <c r="A98" s="29"/>
      <c r="B98" s="21" t="s">
        <v>1740</v>
      </c>
      <c r="C98" s="21" t="s">
        <v>1928</v>
      </c>
      <c r="D98" s="21" t="s">
        <v>1758</v>
      </c>
      <c r="E98" s="21" t="s">
        <v>1177</v>
      </c>
      <c r="F98" s="21" t="s">
        <v>1177</v>
      </c>
      <c r="G98" s="21" t="s">
        <v>1177</v>
      </c>
      <c r="H98" s="26"/>
    </row>
    <row r="99">
      <c r="A99" s="29"/>
      <c r="B99" s="21" t="s">
        <v>1739</v>
      </c>
      <c r="C99" s="21" t="s">
        <v>1323</v>
      </c>
      <c r="D99" s="21" t="s">
        <v>1804</v>
      </c>
      <c r="E99" s="21" t="s">
        <v>1177</v>
      </c>
      <c r="F99" s="21" t="s">
        <v>1177</v>
      </c>
      <c r="G99" s="21" t="s">
        <v>1177</v>
      </c>
      <c r="H99" s="26"/>
    </row>
    <row r="100">
      <c r="A100" s="24"/>
      <c r="B100" s="21" t="s">
        <v>1954</v>
      </c>
      <c r="C100" s="21" t="s">
        <v>1954</v>
      </c>
      <c r="D100" s="21" t="s">
        <v>1438</v>
      </c>
      <c r="E100" s="21" t="s">
        <v>1177</v>
      </c>
      <c r="F100" s="21" t="s">
        <v>1177</v>
      </c>
      <c r="G100" s="21" t="s">
        <v>1177</v>
      </c>
      <c r="H100" s="30"/>
      <c r="I100" s="14"/>
    </row>
    <row r="101">
      <c r="A101" s="37"/>
      <c r="B101" s="38" t="s">
        <v>2480</v>
      </c>
      <c r="C101" s="14"/>
      <c r="D101" s="14"/>
      <c r="E101" s="14"/>
      <c r="F101" s="14"/>
      <c r="G101" s="14"/>
      <c r="H101" s="24"/>
      <c r="I101" s="33"/>
    </row>
    <row r="102">
      <c r="A102" s="16" t="s">
        <v>1174</v>
      </c>
      <c r="B102" s="17" t="s">
        <v>2546</v>
      </c>
      <c r="C102" s="18"/>
      <c r="D102" s="18"/>
      <c r="E102" s="18"/>
      <c r="F102" s="18"/>
      <c r="G102" s="18"/>
      <c r="H102" s="18"/>
      <c r="I102" s="16"/>
    </row>
    <row r="103" ht="60.0" customHeight="1">
      <c r="A103" s="20" t="s">
        <v>1176</v>
      </c>
      <c r="B103" s="21" t="str">
        <f t="array" ref="B103">iferror(VLOOKUP(INDIRECT(ADDRESS(ROW()+1,COLUMN(), 4)),Dex!$A$2:$C893,3,false),"")</f>
        <v/>
      </c>
      <c r="C103" s="21" t="str">
        <f t="array" ref="C103">iferror(VLOOKUP(INDIRECT(ADDRESS(ROW()+1,COLUMN(), 4)),Dex!$A$2:$C893,3,false),"")</f>
        <v/>
      </c>
      <c r="D103" s="21" t="str">
        <f t="array" ref="D103">iferror(VLOOKUP(INDIRECT(ADDRESS(ROW()+1,COLUMN(), 4)),Dex!$A$2:$C893,3,false),"")</f>
        <v/>
      </c>
      <c r="E103" s="21" t="str">
        <f t="array" ref="E103">iferror(VLOOKUP(INDIRECT(ADDRESS(ROW()+1,COLUMN(), 4)),Dex!$A$2:$C893,3,false),"")</f>
        <v/>
      </c>
      <c r="F103" s="21" t="str">
        <f t="array" ref="F103">iferror(VLOOKUP(INDIRECT(ADDRESS(ROW()+1,COLUMN(), 4)),Dex!$A$2:$C893,3,false),"")</f>
        <v/>
      </c>
      <c r="G103" s="21" t="str">
        <f t="array" ref="G103">iferror(VLOOKUP(INDIRECT(ADDRESS(ROW()+1,COLUMN(), 4)),Dex!$A$2:$C893,3,false),"")</f>
        <v/>
      </c>
      <c r="H103" s="22" t="str">
        <f t="array" ref="H103">iferror(VLOOKUP("TRAINER_PIC_SIS_AND_BRO",Sprites!$A$1:$B893,2,false),"")</f>
        <v/>
      </c>
      <c r="I103" s="23"/>
    </row>
    <row r="104">
      <c r="A104" s="24"/>
      <c r="B104" s="25" t="s">
        <v>365</v>
      </c>
      <c r="C104" s="25" t="s">
        <v>177</v>
      </c>
      <c r="D104" s="25" t="s">
        <v>220</v>
      </c>
      <c r="E104" s="25" t="s">
        <v>659</v>
      </c>
      <c r="F104" s="25" t="s">
        <v>247</v>
      </c>
      <c r="G104" s="25" t="s">
        <v>18</v>
      </c>
      <c r="H104" s="26"/>
    </row>
    <row r="105">
      <c r="A105" s="16" t="s">
        <v>1178</v>
      </c>
      <c r="B105" s="27" t="s">
        <v>2517</v>
      </c>
      <c r="C105" s="27" t="s">
        <v>2517</v>
      </c>
      <c r="D105" s="27" t="s">
        <v>2497</v>
      </c>
      <c r="E105" s="27" t="s">
        <v>2517</v>
      </c>
      <c r="F105" s="27" t="s">
        <v>2517</v>
      </c>
      <c r="G105" s="27" t="s">
        <v>2532</v>
      </c>
      <c r="H105" s="26"/>
    </row>
    <row r="106">
      <c r="A106" s="16" t="s">
        <v>1181</v>
      </c>
      <c r="B106" s="28" t="s">
        <v>1247</v>
      </c>
      <c r="C106" s="28" t="s">
        <v>1882</v>
      </c>
      <c r="D106" s="28" t="s">
        <v>1209</v>
      </c>
      <c r="E106" s="28" t="s">
        <v>1833</v>
      </c>
      <c r="F106" s="28" t="s">
        <v>1882</v>
      </c>
      <c r="G106" s="28" t="s">
        <v>1209</v>
      </c>
      <c r="H106" s="26"/>
    </row>
    <row r="107">
      <c r="A107" s="16" t="s">
        <v>1182</v>
      </c>
      <c r="B107" s="21" t="s">
        <v>1223</v>
      </c>
      <c r="C107" s="21" t="s">
        <v>1811</v>
      </c>
      <c r="D107" s="21" t="s">
        <v>1356</v>
      </c>
      <c r="E107" s="21" t="s">
        <v>1907</v>
      </c>
      <c r="F107" s="21" t="s">
        <v>1791</v>
      </c>
      <c r="G107" s="21" t="s">
        <v>1648</v>
      </c>
      <c r="H107" s="26"/>
    </row>
    <row r="108">
      <c r="A108" s="16" t="s">
        <v>1186</v>
      </c>
      <c r="B108" s="28" t="s">
        <v>1284</v>
      </c>
      <c r="C108" s="28" t="s">
        <v>1284</v>
      </c>
      <c r="D108" s="28" t="s">
        <v>1235</v>
      </c>
      <c r="E108" s="28" t="s">
        <v>1235</v>
      </c>
      <c r="F108" s="28" t="s">
        <v>1256</v>
      </c>
      <c r="G108" s="28" t="s">
        <v>1284</v>
      </c>
      <c r="H108" s="26"/>
    </row>
    <row r="109">
      <c r="A109" s="20" t="s">
        <v>1188</v>
      </c>
      <c r="B109" s="21" t="s">
        <v>1371</v>
      </c>
      <c r="C109" s="21" t="s">
        <v>1251</v>
      </c>
      <c r="D109" s="21" t="s">
        <v>2039</v>
      </c>
      <c r="E109" s="21" t="s">
        <v>1803</v>
      </c>
      <c r="F109" s="21" t="s">
        <v>1251</v>
      </c>
      <c r="G109" s="21" t="s">
        <v>1793</v>
      </c>
      <c r="H109" s="26"/>
    </row>
    <row r="110">
      <c r="A110" s="29"/>
      <c r="B110" s="21" t="s">
        <v>1695</v>
      </c>
      <c r="C110" s="21" t="s">
        <v>2054</v>
      </c>
      <c r="D110" s="21" t="s">
        <v>1415</v>
      </c>
      <c r="E110" s="21" t="s">
        <v>1466</v>
      </c>
      <c r="F110" s="21" t="s">
        <v>1663</v>
      </c>
      <c r="G110" s="21" t="s">
        <v>1878</v>
      </c>
      <c r="H110" s="26"/>
    </row>
    <row r="111">
      <c r="A111" s="29"/>
      <c r="B111" s="21" t="s">
        <v>1621</v>
      </c>
      <c r="C111" s="21" t="s">
        <v>1663</v>
      </c>
      <c r="D111" s="21" t="s">
        <v>1817</v>
      </c>
      <c r="E111" s="21" t="s">
        <v>1177</v>
      </c>
      <c r="F111" s="21" t="s">
        <v>1468</v>
      </c>
      <c r="G111" s="21" t="s">
        <v>1621</v>
      </c>
      <c r="H111" s="26"/>
    </row>
    <row r="112">
      <c r="A112" s="24"/>
      <c r="B112" s="21" t="s">
        <v>1225</v>
      </c>
      <c r="C112" s="21" t="s">
        <v>1652</v>
      </c>
      <c r="D112" s="21" t="s">
        <v>1262</v>
      </c>
      <c r="E112" s="21" t="s">
        <v>1177</v>
      </c>
      <c r="F112" s="21" t="s">
        <v>1389</v>
      </c>
      <c r="G112" s="21" t="s">
        <v>1225</v>
      </c>
      <c r="H112" s="30"/>
      <c r="I112" s="14"/>
    </row>
    <row r="113">
      <c r="A113" s="37"/>
      <c r="B113" s="38" t="s">
        <v>2547</v>
      </c>
      <c r="C113" s="14"/>
      <c r="D113" s="14"/>
      <c r="E113" s="14"/>
      <c r="F113" s="14"/>
      <c r="G113" s="14"/>
      <c r="H113" s="24"/>
      <c r="I113" s="33"/>
    </row>
    <row r="114">
      <c r="A114" s="16" t="s">
        <v>1174</v>
      </c>
      <c r="B114" s="17" t="s">
        <v>2548</v>
      </c>
      <c r="C114" s="18"/>
      <c r="D114" s="18"/>
      <c r="E114" s="18"/>
      <c r="F114" s="18"/>
      <c r="G114" s="18"/>
      <c r="H114" s="18"/>
      <c r="I114" s="16"/>
    </row>
    <row r="115" ht="60.0" customHeight="1">
      <c r="A115" s="20" t="s">
        <v>1176</v>
      </c>
      <c r="B115" s="21" t="str">
        <f t="array" ref="B115">iferror(VLOOKUP(INDIRECT(ADDRESS(ROW()+1,COLUMN(), 4)),Dex!$A$2:$C893,3,false),"")</f>
        <v/>
      </c>
      <c r="C115" s="21" t="str">
        <f t="array" ref="C115">iferror(VLOOKUP(INDIRECT(ADDRESS(ROW()+1,COLUMN(), 4)),Dex!$A$2:$C893,3,false),"")</f>
        <v/>
      </c>
      <c r="D115" s="21" t="str">
        <f t="array" ref="D115">iferror(VLOOKUP(INDIRECT(ADDRESS(ROW()+1,COLUMN(), 4)),Dex!$A$2:$C893,3,false),"")</f>
        <v/>
      </c>
      <c r="E115" s="21" t="str">
        <f t="array" ref="E115">iferror(VLOOKUP(INDIRECT(ADDRESS(ROW()+1,COLUMN(), 4)),Dex!$A$2:$C893,3,false),"")</f>
        <v/>
      </c>
      <c r="F115" s="21" t="str">
        <f t="array" ref="F115">iferror(VLOOKUP(INDIRECT(ADDRESS(ROW()+1,COLUMN(), 4)),Dex!$A$2:$C893,3,false),"")</f>
        <v/>
      </c>
      <c r="G115" s="21" t="str">
        <f t="array" ref="G115">iferror(VLOOKUP(INDIRECT(ADDRESS(ROW()+1,COLUMN(), 4)),Dex!$A$2:$C893,3,false),"")</f>
        <v/>
      </c>
      <c r="H115" s="22" t="str">
        <f t="array" ref="H115">iferror(VLOOKUP("TRAINER_PIC_SWIMMER_M",Sprites!$A$1:$B893,2,false),"")</f>
        <v/>
      </c>
      <c r="I115" s="23"/>
    </row>
    <row r="116">
      <c r="A116" s="24"/>
      <c r="B116" s="25" t="s">
        <v>713</v>
      </c>
      <c r="C116" s="25" t="s">
        <v>991</v>
      </c>
      <c r="D116" s="25" t="s">
        <v>1095</v>
      </c>
      <c r="E116" s="25" t="s">
        <v>987</v>
      </c>
      <c r="F116" s="25" t="s">
        <v>295</v>
      </c>
      <c r="G116" s="25" t="s">
        <v>321</v>
      </c>
      <c r="H116" s="26"/>
    </row>
    <row r="117">
      <c r="A117" s="16" t="s">
        <v>1178</v>
      </c>
      <c r="B117" s="27" t="s">
        <v>2517</v>
      </c>
      <c r="C117" s="27" t="s">
        <v>2517</v>
      </c>
      <c r="D117" s="27" t="s">
        <v>2517</v>
      </c>
      <c r="E117" s="27" t="s">
        <v>2517</v>
      </c>
      <c r="F117" s="27" t="s">
        <v>2517</v>
      </c>
      <c r="G117" s="27" t="s">
        <v>2532</v>
      </c>
      <c r="H117" s="26"/>
    </row>
    <row r="118">
      <c r="A118" s="16" t="s">
        <v>1181</v>
      </c>
      <c r="B118" s="28" t="s">
        <v>1572</v>
      </c>
      <c r="C118" s="28" t="s">
        <v>1572</v>
      </c>
      <c r="D118" s="28" t="s">
        <v>1572</v>
      </c>
      <c r="E118" s="28" t="s">
        <v>1282</v>
      </c>
      <c r="F118" s="28" t="s">
        <v>1295</v>
      </c>
      <c r="G118" s="28" t="s">
        <v>1247</v>
      </c>
      <c r="H118" s="26"/>
    </row>
    <row r="119">
      <c r="A119" s="16" t="s">
        <v>1182</v>
      </c>
      <c r="B119" s="21" t="s">
        <v>1199</v>
      </c>
      <c r="C119" s="21" t="s">
        <v>1231</v>
      </c>
      <c r="D119" s="21" t="s">
        <v>1393</v>
      </c>
      <c r="E119" s="21" t="s">
        <v>2549</v>
      </c>
      <c r="F119" s="21" t="s">
        <v>1950</v>
      </c>
      <c r="G119" s="21" t="s">
        <v>2362</v>
      </c>
      <c r="H119" s="26"/>
    </row>
    <row r="120">
      <c r="A120" s="16" t="s">
        <v>1186</v>
      </c>
      <c r="B120" s="28" t="s">
        <v>1235</v>
      </c>
      <c r="C120" s="28" t="s">
        <v>1284</v>
      </c>
      <c r="D120" s="28" t="s">
        <v>1284</v>
      </c>
      <c r="E120" s="28" t="s">
        <v>1235</v>
      </c>
      <c r="F120" s="28" t="s">
        <v>1234</v>
      </c>
      <c r="G120" s="28" t="s">
        <v>1284</v>
      </c>
      <c r="H120" s="26"/>
    </row>
    <row r="121">
      <c r="A121" s="20" t="s">
        <v>1188</v>
      </c>
      <c r="B121" s="21" t="s">
        <v>1678</v>
      </c>
      <c r="C121" s="21" t="s">
        <v>1740</v>
      </c>
      <c r="D121" s="21" t="s">
        <v>1742</v>
      </c>
      <c r="E121" s="21" t="s">
        <v>1678</v>
      </c>
      <c r="F121" s="21" t="s">
        <v>1374</v>
      </c>
      <c r="G121" s="21" t="s">
        <v>1933</v>
      </c>
      <c r="H121" s="26"/>
    </row>
    <row r="122">
      <c r="A122" s="29"/>
      <c r="B122" s="21" t="s">
        <v>1575</v>
      </c>
      <c r="C122" s="21" t="s">
        <v>1828</v>
      </c>
      <c r="D122" s="21" t="s">
        <v>1285</v>
      </c>
      <c r="E122" s="21" t="s">
        <v>1238</v>
      </c>
      <c r="F122" s="21" t="s">
        <v>1307</v>
      </c>
      <c r="G122" s="21" t="s">
        <v>1890</v>
      </c>
      <c r="H122" s="26"/>
    </row>
    <row r="123">
      <c r="A123" s="29"/>
      <c r="B123" s="21" t="s">
        <v>1677</v>
      </c>
      <c r="C123" s="21" t="s">
        <v>1697</v>
      </c>
      <c r="D123" s="21" t="s">
        <v>1711</v>
      </c>
      <c r="E123" s="21" t="s">
        <v>1677</v>
      </c>
      <c r="F123" s="21" t="s">
        <v>1473</v>
      </c>
      <c r="G123" s="21" t="s">
        <v>2019</v>
      </c>
      <c r="H123" s="26"/>
    </row>
    <row r="124">
      <c r="A124" s="24"/>
      <c r="B124" s="21" t="s">
        <v>2019</v>
      </c>
      <c r="C124" s="21" t="s">
        <v>2019</v>
      </c>
      <c r="D124" s="21" t="s">
        <v>2019</v>
      </c>
      <c r="E124" s="21" t="s">
        <v>2019</v>
      </c>
      <c r="F124" s="21" t="s">
        <v>2019</v>
      </c>
      <c r="G124" s="21" t="s">
        <v>1441</v>
      </c>
      <c r="H124" s="30"/>
      <c r="I124" s="14"/>
    </row>
    <row r="125">
      <c r="A125" s="16" t="s">
        <v>1174</v>
      </c>
      <c r="B125" s="17" t="s">
        <v>2550</v>
      </c>
      <c r="C125" s="18"/>
      <c r="D125" s="18"/>
      <c r="E125" s="18"/>
      <c r="F125" s="18"/>
      <c r="G125" s="18"/>
      <c r="H125" s="18"/>
      <c r="I125" s="16"/>
    </row>
    <row r="126" ht="60.0" customHeight="1">
      <c r="A126" s="20" t="s">
        <v>1176</v>
      </c>
      <c r="B126" s="21" t="str">
        <f t="array" ref="B126">iferror(VLOOKUP(INDIRECT(ADDRESS(ROW()+1,COLUMN(), 4)),Dex!$A$2:$C893,3,false),"")</f>
        <v/>
      </c>
      <c r="C126" s="21" t="str">
        <f t="array" ref="C126">iferror(VLOOKUP(INDIRECT(ADDRESS(ROW()+1,COLUMN(), 4)),Dex!$A$2:$C893,3,false),"")</f>
        <v/>
      </c>
      <c r="D126" s="21" t="s">
        <v>1177</v>
      </c>
      <c r="E126" s="21" t="s">
        <v>1177</v>
      </c>
      <c r="F126" s="21" t="s">
        <v>1177</v>
      </c>
      <c r="G126" s="21" t="s">
        <v>1177</v>
      </c>
      <c r="H126" s="22" t="str">
        <f t="array" ref="H126">iferror(VLOOKUP("TRAINER_PIC_SWIMMER_F",Sprites!$A$1:$B893,2,false),"")</f>
        <v/>
      </c>
      <c r="I126" s="23"/>
    </row>
    <row r="127">
      <c r="A127" s="24"/>
      <c r="B127" s="25" t="s">
        <v>418</v>
      </c>
      <c r="C127" s="25" t="s">
        <v>193</v>
      </c>
      <c r="D127" s="25" t="s">
        <v>1177</v>
      </c>
      <c r="E127" s="25" t="s">
        <v>1177</v>
      </c>
      <c r="F127" s="25" t="s">
        <v>1177</v>
      </c>
      <c r="G127" s="25" t="s">
        <v>1177</v>
      </c>
      <c r="H127" s="26"/>
    </row>
    <row r="128">
      <c r="A128" s="16" t="s">
        <v>1178</v>
      </c>
      <c r="B128" s="27" t="s">
        <v>2410</v>
      </c>
      <c r="C128" s="27" t="s">
        <v>2410</v>
      </c>
      <c r="D128" s="21" t="s">
        <v>1177</v>
      </c>
      <c r="E128" s="21" t="s">
        <v>1177</v>
      </c>
      <c r="F128" s="21" t="s">
        <v>1177</v>
      </c>
      <c r="G128" s="21" t="s">
        <v>1177</v>
      </c>
      <c r="H128" s="26"/>
    </row>
    <row r="129">
      <c r="A129" s="16" t="s">
        <v>1181</v>
      </c>
      <c r="B129" s="28" t="s">
        <v>1177</v>
      </c>
      <c r="C129" s="28" t="s">
        <v>1177</v>
      </c>
      <c r="D129" s="28" t="s">
        <v>1177</v>
      </c>
      <c r="E129" s="28" t="s">
        <v>1177</v>
      </c>
      <c r="F129" s="28" t="s">
        <v>1177</v>
      </c>
      <c r="G129" s="28" t="s">
        <v>1177</v>
      </c>
      <c r="H129" s="26"/>
    </row>
    <row r="130">
      <c r="A130" s="16" t="s">
        <v>1182</v>
      </c>
      <c r="B130" s="21" t="s">
        <v>1266</v>
      </c>
      <c r="C130" s="21" t="s">
        <v>1298</v>
      </c>
      <c r="D130" s="21" t="s">
        <v>1177</v>
      </c>
      <c r="E130" s="21" t="s">
        <v>1177</v>
      </c>
      <c r="F130" s="21" t="s">
        <v>1177</v>
      </c>
      <c r="G130" s="21" t="s">
        <v>1177</v>
      </c>
      <c r="H130" s="26"/>
    </row>
    <row r="131">
      <c r="A131" s="16" t="s">
        <v>1186</v>
      </c>
      <c r="B131" s="28" t="s">
        <v>1187</v>
      </c>
      <c r="C131" s="28" t="s">
        <v>1187</v>
      </c>
      <c r="D131" s="28" t="s">
        <v>1177</v>
      </c>
      <c r="E131" s="28" t="s">
        <v>1177</v>
      </c>
      <c r="F131" s="28" t="s">
        <v>1177</v>
      </c>
      <c r="G131" s="28" t="s">
        <v>1177</v>
      </c>
      <c r="H131" s="26"/>
    </row>
    <row r="132">
      <c r="A132" s="20" t="s">
        <v>1188</v>
      </c>
      <c r="B132" s="21" t="s">
        <v>1177</v>
      </c>
      <c r="C132" s="21" t="s">
        <v>1177</v>
      </c>
      <c r="D132" s="21" t="s">
        <v>1177</v>
      </c>
      <c r="E132" s="21" t="s">
        <v>1177</v>
      </c>
      <c r="F132" s="21" t="s">
        <v>1177</v>
      </c>
      <c r="G132" s="21" t="s">
        <v>1177</v>
      </c>
      <c r="H132" s="26"/>
    </row>
    <row r="133">
      <c r="A133" s="29"/>
      <c r="B133" s="21" t="s">
        <v>1177</v>
      </c>
      <c r="C133" s="21" t="s">
        <v>1177</v>
      </c>
      <c r="D133" s="21" t="s">
        <v>1177</v>
      </c>
      <c r="E133" s="21" t="s">
        <v>1177</v>
      </c>
      <c r="F133" s="21" t="s">
        <v>1177</v>
      </c>
      <c r="G133" s="21" t="s">
        <v>1177</v>
      </c>
      <c r="H133" s="26"/>
    </row>
    <row r="134">
      <c r="A134" s="29"/>
      <c r="B134" s="21" t="s">
        <v>1177</v>
      </c>
      <c r="C134" s="21" t="s">
        <v>1177</v>
      </c>
      <c r="D134" s="21" t="s">
        <v>1177</v>
      </c>
      <c r="E134" s="21" t="s">
        <v>1177</v>
      </c>
      <c r="F134" s="21" t="s">
        <v>1177</v>
      </c>
      <c r="G134" s="21" t="s">
        <v>1177</v>
      </c>
      <c r="H134" s="26"/>
    </row>
    <row r="135">
      <c r="A135" s="24"/>
      <c r="B135" s="21" t="s">
        <v>1177</v>
      </c>
      <c r="C135" s="21" t="s">
        <v>1177</v>
      </c>
      <c r="D135" s="21" t="s">
        <v>1177</v>
      </c>
      <c r="E135" s="21" t="s">
        <v>1177</v>
      </c>
      <c r="F135" s="21" t="s">
        <v>1177</v>
      </c>
      <c r="G135" s="21" t="s">
        <v>1177</v>
      </c>
      <c r="H135" s="30"/>
      <c r="I135" s="14"/>
    </row>
    <row r="136">
      <c r="A136" s="16" t="s">
        <v>1174</v>
      </c>
      <c r="B136" s="17" t="s">
        <v>2551</v>
      </c>
      <c r="C136" s="18"/>
      <c r="D136" s="18"/>
      <c r="E136" s="18"/>
      <c r="F136" s="18"/>
      <c r="G136" s="18"/>
      <c r="H136" s="18"/>
      <c r="I136" s="16"/>
    </row>
    <row r="137" ht="60.0" customHeight="1">
      <c r="A137" s="20" t="s">
        <v>1176</v>
      </c>
      <c r="B137" s="21" t="str">
        <f t="array" ref="B137">iferror(VLOOKUP(INDIRECT(ADDRESS(ROW()+1,COLUMN(), 4)),Dex!$A$2:$C893,3,false),"")</f>
        <v/>
      </c>
      <c r="C137" s="21" t="str">
        <f t="array" ref="C137">iferror(VLOOKUP(INDIRECT(ADDRESS(ROW()+1,COLUMN(), 4)),Dex!$A$2:$C893,3,false),"")</f>
        <v/>
      </c>
      <c r="D137" s="21" t="s">
        <v>1177</v>
      </c>
      <c r="E137" s="21" t="s">
        <v>1177</v>
      </c>
      <c r="F137" s="21" t="s">
        <v>1177</v>
      </c>
      <c r="G137" s="21" t="s">
        <v>1177</v>
      </c>
      <c r="H137" s="22" t="str">
        <f t="array" ref="H137">iferror(VLOOKUP("TRAINER_PIC_SWIMMER_M",Sprites!$A$1:$B893,2,false),"")</f>
        <v/>
      </c>
      <c r="I137" s="23"/>
    </row>
    <row r="138">
      <c r="A138" s="24"/>
      <c r="B138" s="25" t="s">
        <v>316</v>
      </c>
      <c r="C138" s="25" t="s">
        <v>177</v>
      </c>
      <c r="D138" s="25" t="s">
        <v>1177</v>
      </c>
      <c r="E138" s="25" t="s">
        <v>1177</v>
      </c>
      <c r="F138" s="25" t="s">
        <v>1177</v>
      </c>
      <c r="G138" s="25" t="s">
        <v>1177</v>
      </c>
      <c r="H138" s="26"/>
    </row>
    <row r="139">
      <c r="A139" s="16" t="s">
        <v>1178</v>
      </c>
      <c r="B139" s="27" t="s">
        <v>2410</v>
      </c>
      <c r="C139" s="27" t="s">
        <v>2410</v>
      </c>
      <c r="D139" s="21" t="s">
        <v>1177</v>
      </c>
      <c r="E139" s="21" t="s">
        <v>1177</v>
      </c>
      <c r="F139" s="21" t="s">
        <v>1177</v>
      </c>
      <c r="G139" s="21" t="s">
        <v>1177</v>
      </c>
      <c r="H139" s="26"/>
    </row>
    <row r="140">
      <c r="A140" s="16" t="s">
        <v>1181</v>
      </c>
      <c r="B140" s="28" t="s">
        <v>1177</v>
      </c>
      <c r="C140" s="28" t="s">
        <v>1177</v>
      </c>
      <c r="D140" s="28" t="s">
        <v>1177</v>
      </c>
      <c r="E140" s="28" t="s">
        <v>1177</v>
      </c>
      <c r="F140" s="28" t="s">
        <v>1177</v>
      </c>
      <c r="G140" s="28" t="s">
        <v>1177</v>
      </c>
      <c r="H140" s="26"/>
    </row>
    <row r="141">
      <c r="A141" s="16" t="s">
        <v>1182</v>
      </c>
      <c r="B141" s="21" t="s">
        <v>1212</v>
      </c>
      <c r="C141" s="21" t="s">
        <v>1283</v>
      </c>
      <c r="D141" s="21" t="s">
        <v>1177</v>
      </c>
      <c r="E141" s="21" t="s">
        <v>1177</v>
      </c>
      <c r="F141" s="21" t="s">
        <v>1177</v>
      </c>
      <c r="G141" s="21" t="s">
        <v>1177</v>
      </c>
      <c r="H141" s="26"/>
    </row>
    <row r="142">
      <c r="A142" s="16" t="s">
        <v>1186</v>
      </c>
      <c r="B142" s="28" t="s">
        <v>1187</v>
      </c>
      <c r="C142" s="28" t="s">
        <v>1187</v>
      </c>
      <c r="D142" s="28" t="s">
        <v>1177</v>
      </c>
      <c r="E142" s="28" t="s">
        <v>1177</v>
      </c>
      <c r="F142" s="28" t="s">
        <v>1177</v>
      </c>
      <c r="G142" s="28" t="s">
        <v>1177</v>
      </c>
      <c r="H142" s="26"/>
    </row>
    <row r="143">
      <c r="A143" s="20" t="s">
        <v>1188</v>
      </c>
      <c r="B143" s="21" t="s">
        <v>1177</v>
      </c>
      <c r="C143" s="21" t="s">
        <v>1177</v>
      </c>
      <c r="D143" s="21" t="s">
        <v>1177</v>
      </c>
      <c r="E143" s="21" t="s">
        <v>1177</v>
      </c>
      <c r="F143" s="21" t="s">
        <v>1177</v>
      </c>
      <c r="G143" s="21" t="s">
        <v>1177</v>
      </c>
      <c r="H143" s="26"/>
    </row>
    <row r="144">
      <c r="A144" s="29"/>
      <c r="B144" s="21" t="s">
        <v>1177</v>
      </c>
      <c r="C144" s="21" t="s">
        <v>1177</v>
      </c>
      <c r="D144" s="21" t="s">
        <v>1177</v>
      </c>
      <c r="E144" s="21" t="s">
        <v>1177</v>
      </c>
      <c r="F144" s="21" t="s">
        <v>1177</v>
      </c>
      <c r="G144" s="21" t="s">
        <v>1177</v>
      </c>
      <c r="H144" s="26"/>
    </row>
    <row r="145">
      <c r="A145" s="29"/>
      <c r="B145" s="21" t="s">
        <v>1177</v>
      </c>
      <c r="C145" s="21" t="s">
        <v>1177</v>
      </c>
      <c r="D145" s="21" t="s">
        <v>1177</v>
      </c>
      <c r="E145" s="21" t="s">
        <v>1177</v>
      </c>
      <c r="F145" s="21" t="s">
        <v>1177</v>
      </c>
      <c r="G145" s="21" t="s">
        <v>1177</v>
      </c>
      <c r="H145" s="26"/>
    </row>
    <row r="146">
      <c r="A146" s="24"/>
      <c r="B146" s="21" t="s">
        <v>1177</v>
      </c>
      <c r="C146" s="21" t="s">
        <v>1177</v>
      </c>
      <c r="D146" s="21" t="s">
        <v>1177</v>
      </c>
      <c r="E146" s="21" t="s">
        <v>1177</v>
      </c>
      <c r="F146" s="21" t="s">
        <v>1177</v>
      </c>
      <c r="G146" s="21" t="s">
        <v>1177</v>
      </c>
      <c r="H146" s="30"/>
      <c r="I146" s="14"/>
    </row>
    <row r="147">
      <c r="A147" s="16" t="s">
        <v>1174</v>
      </c>
      <c r="B147" s="17" t="s">
        <v>2552</v>
      </c>
      <c r="C147" s="18"/>
      <c r="D147" s="18"/>
      <c r="E147" s="18"/>
      <c r="F147" s="18"/>
      <c r="G147" s="18"/>
      <c r="H147" s="18"/>
      <c r="I147" s="16"/>
    </row>
    <row r="148" ht="60.0" customHeight="1">
      <c r="A148" s="20" t="s">
        <v>1176</v>
      </c>
      <c r="B148" s="21" t="str">
        <f t="array" ref="B148">iferror(VLOOKUP(INDIRECT(ADDRESS(ROW()+1,COLUMN(), 4)),Dex!$A$2:$C893,3,false),"")</f>
        <v/>
      </c>
      <c r="C148" s="21" t="str">
        <f t="array" ref="C148">iferror(VLOOKUP(INDIRECT(ADDRESS(ROW()+1,COLUMN(), 4)),Dex!$A$2:$C893,3,false),"")</f>
        <v/>
      </c>
      <c r="D148" s="21" t="s">
        <v>1177</v>
      </c>
      <c r="E148" s="21" t="s">
        <v>1177</v>
      </c>
      <c r="F148" s="21" t="s">
        <v>1177</v>
      </c>
      <c r="G148" s="21" t="s">
        <v>1177</v>
      </c>
      <c r="H148" s="22" t="str">
        <f t="array" ref="H148">iferror(VLOOKUP("TRAINER_PIC_SWIMMING_TRIATHLETE_F",Sprites!$A$1:$B893,2,false),"")</f>
        <v/>
      </c>
      <c r="I148" s="23"/>
    </row>
    <row r="149">
      <c r="A149" s="24"/>
      <c r="B149" s="25" t="s">
        <v>448</v>
      </c>
      <c r="C149" s="25" t="s">
        <v>208</v>
      </c>
      <c r="D149" s="25" t="s">
        <v>1177</v>
      </c>
      <c r="E149" s="25" t="s">
        <v>1177</v>
      </c>
      <c r="F149" s="25" t="s">
        <v>1177</v>
      </c>
      <c r="G149" s="25" t="s">
        <v>1177</v>
      </c>
      <c r="H149" s="26"/>
    </row>
    <row r="150">
      <c r="A150" s="16" t="s">
        <v>1178</v>
      </c>
      <c r="B150" s="27" t="s">
        <v>2410</v>
      </c>
      <c r="C150" s="27" t="s">
        <v>2410</v>
      </c>
      <c r="D150" s="21" t="s">
        <v>1177</v>
      </c>
      <c r="E150" s="21" t="s">
        <v>1177</v>
      </c>
      <c r="F150" s="21" t="s">
        <v>1177</v>
      </c>
      <c r="G150" s="21" t="s">
        <v>1177</v>
      </c>
      <c r="H150" s="26"/>
    </row>
    <row r="151">
      <c r="A151" s="16" t="s">
        <v>1181</v>
      </c>
      <c r="B151" s="28" t="s">
        <v>1177</v>
      </c>
      <c r="C151" s="28" t="s">
        <v>1177</v>
      </c>
      <c r="D151" s="28" t="s">
        <v>1177</v>
      </c>
      <c r="E151" s="28" t="s">
        <v>1177</v>
      </c>
      <c r="F151" s="28" t="s">
        <v>1177</v>
      </c>
      <c r="G151" s="28" t="s">
        <v>1177</v>
      </c>
      <c r="H151" s="26"/>
    </row>
    <row r="152">
      <c r="A152" s="16" t="s">
        <v>1182</v>
      </c>
      <c r="B152" s="21" t="s">
        <v>2121</v>
      </c>
      <c r="C152" s="21" t="s">
        <v>1692</v>
      </c>
      <c r="D152" s="21" t="s">
        <v>1177</v>
      </c>
      <c r="E152" s="21" t="s">
        <v>1177</v>
      </c>
      <c r="F152" s="21" t="s">
        <v>1177</v>
      </c>
      <c r="G152" s="21" t="s">
        <v>1177</v>
      </c>
      <c r="H152" s="26"/>
    </row>
    <row r="153">
      <c r="A153" s="16" t="s">
        <v>1186</v>
      </c>
      <c r="B153" s="28" t="s">
        <v>1187</v>
      </c>
      <c r="C153" s="28" t="s">
        <v>1187</v>
      </c>
      <c r="D153" s="28" t="s">
        <v>1177</v>
      </c>
      <c r="E153" s="28" t="s">
        <v>1177</v>
      </c>
      <c r="F153" s="28" t="s">
        <v>1177</v>
      </c>
      <c r="G153" s="28" t="s">
        <v>1177</v>
      </c>
      <c r="H153" s="26"/>
    </row>
    <row r="154">
      <c r="A154" s="20" t="s">
        <v>1188</v>
      </c>
      <c r="B154" s="21" t="s">
        <v>1177</v>
      </c>
      <c r="C154" s="21" t="s">
        <v>1177</v>
      </c>
      <c r="D154" s="21" t="s">
        <v>1177</v>
      </c>
      <c r="E154" s="21" t="s">
        <v>1177</v>
      </c>
      <c r="F154" s="21" t="s">
        <v>1177</v>
      </c>
      <c r="G154" s="21" t="s">
        <v>1177</v>
      </c>
      <c r="H154" s="26"/>
    </row>
    <row r="155">
      <c r="A155" s="29"/>
      <c r="B155" s="21" t="s">
        <v>1177</v>
      </c>
      <c r="C155" s="21" t="s">
        <v>1177</v>
      </c>
      <c r="D155" s="21" t="s">
        <v>1177</v>
      </c>
      <c r="E155" s="21" t="s">
        <v>1177</v>
      </c>
      <c r="F155" s="21" t="s">
        <v>1177</v>
      </c>
      <c r="G155" s="21" t="s">
        <v>1177</v>
      </c>
      <c r="H155" s="26"/>
    </row>
    <row r="156">
      <c r="A156" s="29"/>
      <c r="B156" s="21" t="s">
        <v>1177</v>
      </c>
      <c r="C156" s="21" t="s">
        <v>1177</v>
      </c>
      <c r="D156" s="21" t="s">
        <v>1177</v>
      </c>
      <c r="E156" s="21" t="s">
        <v>1177</v>
      </c>
      <c r="F156" s="21" t="s">
        <v>1177</v>
      </c>
      <c r="G156" s="21" t="s">
        <v>1177</v>
      </c>
      <c r="H156" s="26"/>
    </row>
    <row r="157">
      <c r="A157" s="24"/>
      <c r="B157" s="21" t="s">
        <v>1177</v>
      </c>
      <c r="C157" s="21" t="s">
        <v>1177</v>
      </c>
      <c r="D157" s="21" t="s">
        <v>1177</v>
      </c>
      <c r="E157" s="21" t="s">
        <v>1177</v>
      </c>
      <c r="F157" s="21" t="s">
        <v>1177</v>
      </c>
      <c r="G157" s="21" t="s">
        <v>1177</v>
      </c>
      <c r="H157" s="30"/>
      <c r="I157" s="14"/>
    </row>
    <row r="158">
      <c r="A158" s="16" t="s">
        <v>1174</v>
      </c>
      <c r="B158" s="17" t="s">
        <v>2553</v>
      </c>
      <c r="C158" s="18"/>
      <c r="D158" s="18"/>
      <c r="E158" s="18"/>
      <c r="F158" s="18"/>
      <c r="G158" s="18"/>
      <c r="H158" s="18"/>
      <c r="I158" s="16"/>
    </row>
    <row r="159" ht="60.0" customHeight="1">
      <c r="A159" s="20" t="s">
        <v>1176</v>
      </c>
      <c r="B159" s="21" t="str">
        <f t="array" ref="B159">iferror(VLOOKUP(INDIRECT(ADDRESS(ROW()+1,COLUMN(), 4)),Dex!$A$2:$C893,3,false),"")</f>
        <v/>
      </c>
      <c r="C159" s="21" t="str">
        <f t="array" ref="C159">iferror(VLOOKUP(INDIRECT(ADDRESS(ROW()+1,COLUMN(), 4)),Dex!$A$2:$C893,3,false),"")</f>
        <v/>
      </c>
      <c r="D159" s="21" t="s">
        <v>1177</v>
      </c>
      <c r="E159" s="21" t="s">
        <v>1177</v>
      </c>
      <c r="F159" s="21" t="s">
        <v>1177</v>
      </c>
      <c r="G159" s="21" t="s">
        <v>1177</v>
      </c>
      <c r="H159" s="22" t="str">
        <f t="array" ref="H159">iferror(VLOOKUP("TRAINER_PIC_SWIMMER_F",Sprites!$A$1:$B893,2,false),"")</f>
        <v/>
      </c>
      <c r="I159" s="23"/>
    </row>
    <row r="160">
      <c r="A160" s="24"/>
      <c r="B160" s="25" t="s">
        <v>85</v>
      </c>
      <c r="C160" s="25" t="s">
        <v>452</v>
      </c>
      <c r="D160" s="25" t="s">
        <v>1177</v>
      </c>
      <c r="E160" s="25" t="s">
        <v>1177</v>
      </c>
      <c r="F160" s="25" t="s">
        <v>1177</v>
      </c>
      <c r="G160" s="25" t="s">
        <v>1177</v>
      </c>
      <c r="H160" s="26"/>
    </row>
    <row r="161">
      <c r="A161" s="16" t="s">
        <v>1178</v>
      </c>
      <c r="B161" s="27" t="s">
        <v>2410</v>
      </c>
      <c r="C161" s="27" t="s">
        <v>2410</v>
      </c>
      <c r="D161" s="21" t="s">
        <v>1177</v>
      </c>
      <c r="E161" s="21" t="s">
        <v>1177</v>
      </c>
      <c r="F161" s="21" t="s">
        <v>1177</v>
      </c>
      <c r="G161" s="21" t="s">
        <v>1177</v>
      </c>
      <c r="H161" s="26"/>
    </row>
    <row r="162">
      <c r="A162" s="16" t="s">
        <v>1181</v>
      </c>
      <c r="B162" s="28" t="s">
        <v>1177</v>
      </c>
      <c r="C162" s="28" t="s">
        <v>1177</v>
      </c>
      <c r="D162" s="28" t="s">
        <v>1177</v>
      </c>
      <c r="E162" s="28" t="s">
        <v>1177</v>
      </c>
      <c r="F162" s="28" t="s">
        <v>1177</v>
      </c>
      <c r="G162" s="28" t="s">
        <v>1177</v>
      </c>
      <c r="H162" s="26"/>
    </row>
    <row r="163">
      <c r="A163" s="16" t="s">
        <v>1182</v>
      </c>
      <c r="B163" s="21" t="s">
        <v>1212</v>
      </c>
      <c r="C163" s="21" t="s">
        <v>2094</v>
      </c>
      <c r="D163" s="21" t="s">
        <v>1177</v>
      </c>
      <c r="E163" s="21" t="s">
        <v>1177</v>
      </c>
      <c r="F163" s="21" t="s">
        <v>1177</v>
      </c>
      <c r="G163" s="21" t="s">
        <v>1177</v>
      </c>
      <c r="H163" s="26"/>
    </row>
    <row r="164">
      <c r="A164" s="16" t="s">
        <v>1186</v>
      </c>
      <c r="B164" s="28" t="s">
        <v>1187</v>
      </c>
      <c r="C164" s="28" t="s">
        <v>1187</v>
      </c>
      <c r="D164" s="28" t="s">
        <v>1177</v>
      </c>
      <c r="E164" s="28" t="s">
        <v>1177</v>
      </c>
      <c r="F164" s="28" t="s">
        <v>1177</v>
      </c>
      <c r="G164" s="28" t="s">
        <v>1177</v>
      </c>
      <c r="H164" s="26"/>
    </row>
    <row r="165">
      <c r="A165" s="20" t="s">
        <v>1188</v>
      </c>
      <c r="B165" s="21" t="s">
        <v>1177</v>
      </c>
      <c r="C165" s="21" t="s">
        <v>1177</v>
      </c>
      <c r="D165" s="21" t="s">
        <v>1177</v>
      </c>
      <c r="E165" s="21" t="s">
        <v>1177</v>
      </c>
      <c r="F165" s="21" t="s">
        <v>1177</v>
      </c>
      <c r="G165" s="21" t="s">
        <v>1177</v>
      </c>
      <c r="H165" s="26"/>
    </row>
    <row r="166">
      <c r="A166" s="29"/>
      <c r="B166" s="21" t="s">
        <v>1177</v>
      </c>
      <c r="C166" s="21" t="s">
        <v>1177</v>
      </c>
      <c r="D166" s="21" t="s">
        <v>1177</v>
      </c>
      <c r="E166" s="21" t="s">
        <v>1177</v>
      </c>
      <c r="F166" s="21" t="s">
        <v>1177</v>
      </c>
      <c r="G166" s="21" t="s">
        <v>1177</v>
      </c>
      <c r="H166" s="26"/>
    </row>
    <row r="167">
      <c r="A167" s="29"/>
      <c r="B167" s="21" t="s">
        <v>1177</v>
      </c>
      <c r="C167" s="21" t="s">
        <v>1177</v>
      </c>
      <c r="D167" s="21" t="s">
        <v>1177</v>
      </c>
      <c r="E167" s="21" t="s">
        <v>1177</v>
      </c>
      <c r="F167" s="21" t="s">
        <v>1177</v>
      </c>
      <c r="G167" s="21" t="s">
        <v>1177</v>
      </c>
      <c r="H167" s="26"/>
    </row>
    <row r="168">
      <c r="A168" s="24"/>
      <c r="B168" s="21" t="s">
        <v>1177</v>
      </c>
      <c r="C168" s="21" t="s">
        <v>1177</v>
      </c>
      <c r="D168" s="21" t="s">
        <v>1177</v>
      </c>
      <c r="E168" s="21" t="s">
        <v>1177</v>
      </c>
      <c r="F168" s="21" t="s">
        <v>1177</v>
      </c>
      <c r="G168" s="21" t="s">
        <v>1177</v>
      </c>
      <c r="H168" s="30"/>
      <c r="I168" s="14"/>
    </row>
    <row r="169">
      <c r="A169" s="16" t="s">
        <v>1174</v>
      </c>
      <c r="B169" s="17" t="s">
        <v>2554</v>
      </c>
      <c r="C169" s="18"/>
      <c r="D169" s="18"/>
      <c r="E169" s="18"/>
      <c r="F169" s="18"/>
      <c r="G169" s="18"/>
      <c r="H169" s="18"/>
      <c r="I169" s="16"/>
    </row>
    <row r="170" ht="60.0" customHeight="1">
      <c r="A170" s="20" t="s">
        <v>1176</v>
      </c>
      <c r="B170" s="21" t="str">
        <f t="array" ref="B170">iferror(VLOOKUP(INDIRECT(ADDRESS(ROW()+1,COLUMN(), 4)),Dex!$A$2:$C893,3,false),"")</f>
        <v/>
      </c>
      <c r="C170" s="21" t="str">
        <f t="array" ref="C170">iferror(VLOOKUP(INDIRECT(ADDRESS(ROW()+1,COLUMN(), 4)),Dex!$A$2:$C893,3,false),"")</f>
        <v/>
      </c>
      <c r="D170" s="21" t="s">
        <v>1177</v>
      </c>
      <c r="E170" s="21" t="s">
        <v>1177</v>
      </c>
      <c r="F170" s="21" t="s">
        <v>1177</v>
      </c>
      <c r="G170" s="21" t="s">
        <v>1177</v>
      </c>
      <c r="H170" s="22" t="str">
        <f t="array" ref="H170">iferror(VLOOKUP("TRAINER_PIC_SWIMMER_F",Sprites!$A$1:$B893,2,false),"")</f>
        <v/>
      </c>
      <c r="I170" s="23"/>
    </row>
    <row r="171">
      <c r="A171" s="24"/>
      <c r="B171" s="25" t="s">
        <v>473</v>
      </c>
      <c r="C171" s="25" t="s">
        <v>472</v>
      </c>
      <c r="D171" s="25" t="s">
        <v>1177</v>
      </c>
      <c r="E171" s="25" t="s">
        <v>1177</v>
      </c>
      <c r="F171" s="25" t="s">
        <v>1177</v>
      </c>
      <c r="G171" s="25" t="s">
        <v>1177</v>
      </c>
      <c r="H171" s="26"/>
    </row>
    <row r="172">
      <c r="A172" s="16" t="s">
        <v>1178</v>
      </c>
      <c r="B172" s="27" t="s">
        <v>2410</v>
      </c>
      <c r="C172" s="27" t="s">
        <v>2410</v>
      </c>
      <c r="D172" s="21" t="s">
        <v>1177</v>
      </c>
      <c r="E172" s="21" t="s">
        <v>1177</v>
      </c>
      <c r="F172" s="21" t="s">
        <v>1177</v>
      </c>
      <c r="G172" s="21" t="s">
        <v>1177</v>
      </c>
      <c r="H172" s="26"/>
    </row>
    <row r="173">
      <c r="A173" s="16" t="s">
        <v>1181</v>
      </c>
      <c r="B173" s="28" t="s">
        <v>1177</v>
      </c>
      <c r="C173" s="28" t="s">
        <v>1177</v>
      </c>
      <c r="D173" s="28" t="s">
        <v>1177</v>
      </c>
      <c r="E173" s="28" t="s">
        <v>1177</v>
      </c>
      <c r="F173" s="28" t="s">
        <v>1177</v>
      </c>
      <c r="G173" s="28" t="s">
        <v>1177</v>
      </c>
      <c r="H173" s="26"/>
    </row>
    <row r="174">
      <c r="A174" s="16" t="s">
        <v>1182</v>
      </c>
      <c r="B174" s="21" t="s">
        <v>1212</v>
      </c>
      <c r="C174" s="21" t="s">
        <v>1212</v>
      </c>
      <c r="D174" s="21" t="s">
        <v>1177</v>
      </c>
      <c r="E174" s="21" t="s">
        <v>1177</v>
      </c>
      <c r="F174" s="21" t="s">
        <v>1177</v>
      </c>
      <c r="G174" s="21" t="s">
        <v>1177</v>
      </c>
      <c r="H174" s="26"/>
    </row>
    <row r="175">
      <c r="A175" s="16" t="s">
        <v>1186</v>
      </c>
      <c r="B175" s="28" t="s">
        <v>1187</v>
      </c>
      <c r="C175" s="28" t="s">
        <v>1187</v>
      </c>
      <c r="D175" s="28" t="s">
        <v>1177</v>
      </c>
      <c r="E175" s="28" t="s">
        <v>1177</v>
      </c>
      <c r="F175" s="28" t="s">
        <v>1177</v>
      </c>
      <c r="G175" s="28" t="s">
        <v>1177</v>
      </c>
      <c r="H175" s="26"/>
    </row>
    <row r="176">
      <c r="A176" s="20" t="s">
        <v>1188</v>
      </c>
      <c r="B176" s="21" t="s">
        <v>1177</v>
      </c>
      <c r="C176" s="21" t="s">
        <v>1177</v>
      </c>
      <c r="D176" s="21" t="s">
        <v>1177</v>
      </c>
      <c r="E176" s="21" t="s">
        <v>1177</v>
      </c>
      <c r="F176" s="21" t="s">
        <v>1177</v>
      </c>
      <c r="G176" s="21" t="s">
        <v>1177</v>
      </c>
      <c r="H176" s="26"/>
    </row>
    <row r="177">
      <c r="A177" s="29"/>
      <c r="B177" s="21" t="s">
        <v>1177</v>
      </c>
      <c r="C177" s="21" t="s">
        <v>1177</v>
      </c>
      <c r="D177" s="21" t="s">
        <v>1177</v>
      </c>
      <c r="E177" s="21" t="s">
        <v>1177</v>
      </c>
      <c r="F177" s="21" t="s">
        <v>1177</v>
      </c>
      <c r="G177" s="21" t="s">
        <v>1177</v>
      </c>
      <c r="H177" s="26"/>
    </row>
    <row r="178">
      <c r="A178" s="29"/>
      <c r="B178" s="21" t="s">
        <v>1177</v>
      </c>
      <c r="C178" s="21" t="s">
        <v>1177</v>
      </c>
      <c r="D178" s="21" t="s">
        <v>1177</v>
      </c>
      <c r="E178" s="21" t="s">
        <v>1177</v>
      </c>
      <c r="F178" s="21" t="s">
        <v>1177</v>
      </c>
      <c r="G178" s="21" t="s">
        <v>1177</v>
      </c>
      <c r="H178" s="26"/>
    </row>
    <row r="179">
      <c r="A179" s="24"/>
      <c r="B179" s="21" t="s">
        <v>1177</v>
      </c>
      <c r="C179" s="21" t="s">
        <v>1177</v>
      </c>
      <c r="D179" s="21" t="s">
        <v>1177</v>
      </c>
      <c r="E179" s="21" t="s">
        <v>1177</v>
      </c>
      <c r="F179" s="21" t="s">
        <v>1177</v>
      </c>
      <c r="G179" s="21" t="s">
        <v>1177</v>
      </c>
      <c r="H179" s="30"/>
      <c r="I179" s="14"/>
    </row>
    <row r="180">
      <c r="A180" s="16" t="s">
        <v>1174</v>
      </c>
      <c r="B180" s="17" t="s">
        <v>2555</v>
      </c>
      <c r="C180" s="18"/>
      <c r="D180" s="18"/>
      <c r="E180" s="18"/>
      <c r="F180" s="18"/>
      <c r="G180" s="18"/>
      <c r="H180" s="18"/>
      <c r="I180" s="16"/>
    </row>
    <row r="181" ht="60.0" customHeight="1">
      <c r="A181" s="20" t="s">
        <v>1176</v>
      </c>
      <c r="B181" s="21" t="str">
        <f t="array" ref="B181">iferror(VLOOKUP(INDIRECT(ADDRESS(ROW()+1,COLUMN(), 4)),Dex!$A$2:$C893,3,false),"")</f>
        <v/>
      </c>
      <c r="C181" s="21" t="str">
        <f t="array" ref="C181">iferror(VLOOKUP(INDIRECT(ADDRESS(ROW()+1,COLUMN(), 4)),Dex!$A$2:$C893,3,false),"")</f>
        <v/>
      </c>
      <c r="D181" s="21" t="str">
        <f t="array" ref="D181">iferror(VLOOKUP(INDIRECT(ADDRESS(ROW()+1,COLUMN(), 4)),Dex!$A$2:$C893,3,false),"")</f>
        <v/>
      </c>
      <c r="E181" s="21" t="s">
        <v>1177</v>
      </c>
      <c r="F181" s="21" t="s">
        <v>1177</v>
      </c>
      <c r="G181" s="21" t="s">
        <v>1177</v>
      </c>
      <c r="H181" s="22" t="str">
        <f t="array" ref="H181">iferror(VLOOKUP("TRAINER_PIC_SWIMMER_M",Sprites!$A$1:$B893,2,false),"")</f>
        <v/>
      </c>
      <c r="I181" s="23"/>
    </row>
    <row r="182">
      <c r="A182" s="24"/>
      <c r="B182" s="25" t="s">
        <v>540</v>
      </c>
      <c r="C182" s="25" t="s">
        <v>378</v>
      </c>
      <c r="D182" s="25" t="s">
        <v>536</v>
      </c>
      <c r="E182" s="25" t="s">
        <v>1177</v>
      </c>
      <c r="F182" s="25" t="s">
        <v>1177</v>
      </c>
      <c r="G182" s="25" t="s">
        <v>1177</v>
      </c>
      <c r="H182" s="26"/>
    </row>
    <row r="183">
      <c r="A183" s="16" t="s">
        <v>1178</v>
      </c>
      <c r="B183" s="27" t="s">
        <v>2410</v>
      </c>
      <c r="C183" s="27" t="s">
        <v>2410</v>
      </c>
      <c r="D183" s="27" t="s">
        <v>2410</v>
      </c>
      <c r="E183" s="21" t="s">
        <v>1177</v>
      </c>
      <c r="F183" s="21" t="s">
        <v>1177</v>
      </c>
      <c r="G183" s="21" t="s">
        <v>1177</v>
      </c>
      <c r="H183" s="26"/>
    </row>
    <row r="184">
      <c r="A184" s="16" t="s">
        <v>1181</v>
      </c>
      <c r="B184" s="28" t="s">
        <v>1177</v>
      </c>
      <c r="C184" s="28" t="s">
        <v>1177</v>
      </c>
      <c r="D184" s="28" t="s">
        <v>1177</v>
      </c>
      <c r="E184" s="28" t="s">
        <v>1177</v>
      </c>
      <c r="F184" s="28" t="s">
        <v>1177</v>
      </c>
      <c r="G184" s="28" t="s">
        <v>1177</v>
      </c>
      <c r="H184" s="26"/>
    </row>
    <row r="185">
      <c r="A185" s="16" t="s">
        <v>1182</v>
      </c>
      <c r="B185" s="21" t="s">
        <v>1767</v>
      </c>
      <c r="C185" s="21" t="s">
        <v>1298</v>
      </c>
      <c r="D185" s="21" t="s">
        <v>1212</v>
      </c>
      <c r="E185" s="21" t="s">
        <v>1177</v>
      </c>
      <c r="F185" s="21" t="s">
        <v>1177</v>
      </c>
      <c r="G185" s="21" t="s">
        <v>1177</v>
      </c>
      <c r="H185" s="26"/>
    </row>
    <row r="186">
      <c r="A186" s="16" t="s">
        <v>1186</v>
      </c>
      <c r="B186" s="28" t="s">
        <v>1187</v>
      </c>
      <c r="C186" s="28" t="s">
        <v>1187</v>
      </c>
      <c r="D186" s="28" t="s">
        <v>1187</v>
      </c>
      <c r="E186" s="28" t="s">
        <v>1177</v>
      </c>
      <c r="F186" s="28" t="s">
        <v>1177</v>
      </c>
      <c r="G186" s="28" t="s">
        <v>1177</v>
      </c>
      <c r="H186" s="26"/>
    </row>
    <row r="187">
      <c r="A187" s="20" t="s">
        <v>1188</v>
      </c>
      <c r="B187" s="21" t="s">
        <v>1177</v>
      </c>
      <c r="C187" s="21" t="s">
        <v>1177</v>
      </c>
      <c r="D187" s="21" t="s">
        <v>1177</v>
      </c>
      <c r="E187" s="21" t="s">
        <v>1177</v>
      </c>
      <c r="F187" s="21" t="s">
        <v>1177</v>
      </c>
      <c r="G187" s="21" t="s">
        <v>1177</v>
      </c>
      <c r="H187" s="26"/>
    </row>
    <row r="188">
      <c r="A188" s="29"/>
      <c r="B188" s="21" t="s">
        <v>1177</v>
      </c>
      <c r="C188" s="21" t="s">
        <v>1177</v>
      </c>
      <c r="D188" s="21" t="s">
        <v>1177</v>
      </c>
      <c r="E188" s="21" t="s">
        <v>1177</v>
      </c>
      <c r="F188" s="21" t="s">
        <v>1177</v>
      </c>
      <c r="G188" s="21" t="s">
        <v>1177</v>
      </c>
      <c r="H188" s="26"/>
    </row>
    <row r="189">
      <c r="A189" s="29"/>
      <c r="B189" s="21" t="s">
        <v>1177</v>
      </c>
      <c r="C189" s="21" t="s">
        <v>1177</v>
      </c>
      <c r="D189" s="21" t="s">
        <v>1177</v>
      </c>
      <c r="E189" s="21" t="s">
        <v>1177</v>
      </c>
      <c r="F189" s="21" t="s">
        <v>1177</v>
      </c>
      <c r="G189" s="21" t="s">
        <v>1177</v>
      </c>
      <c r="H189" s="26"/>
    </row>
    <row r="190">
      <c r="A190" s="24"/>
      <c r="B190" s="21" t="s">
        <v>1177</v>
      </c>
      <c r="C190" s="21" t="s">
        <v>1177</v>
      </c>
      <c r="D190" s="21" t="s">
        <v>1177</v>
      </c>
      <c r="E190" s="21" t="s">
        <v>1177</v>
      </c>
      <c r="F190" s="21" t="s">
        <v>1177</v>
      </c>
      <c r="G190" s="21" t="s">
        <v>1177</v>
      </c>
      <c r="H190" s="30"/>
      <c r="I190" s="14"/>
    </row>
    <row r="191">
      <c r="A191" s="16" t="s">
        <v>1174</v>
      </c>
      <c r="B191" s="17" t="s">
        <v>2556</v>
      </c>
      <c r="C191" s="18"/>
      <c r="D191" s="18"/>
      <c r="E191" s="18"/>
      <c r="F191" s="18"/>
      <c r="G191" s="18"/>
      <c r="H191" s="18"/>
      <c r="I191" s="19"/>
    </row>
    <row r="192" ht="60.0" customHeight="1">
      <c r="A192" s="20" t="s">
        <v>1176</v>
      </c>
      <c r="B192" s="21" t="str">
        <f t="array" ref="B192">iferror(VLOOKUP(INDIRECT(ADDRESS(ROW()+1,COLUMN(), 4)),Dex!$A$2:$C893,3,false),"")</f>
        <v/>
      </c>
      <c r="C192" s="21" t="str">
        <f t="array" ref="C192">iferror(VLOOKUP(INDIRECT(ADDRESS(ROW()+1,COLUMN(), 4)),Dex!$A$2:$C893,3,false),"")</f>
        <v/>
      </c>
      <c r="D192" s="21" t="str">
        <f t="array" ref="D192">iferror(VLOOKUP(INDIRECT(ADDRESS(ROW()+1,COLUMN(), 4)),Dex!$A$2:$C893,3,false),"")</f>
        <v/>
      </c>
      <c r="E192" s="21" t="str">
        <f t="array" ref="E192">iferror(VLOOKUP(INDIRECT(ADDRESS(ROW()+1,COLUMN(), 4)),Dex!$A$2:$C893,3,false),"")</f>
        <v/>
      </c>
      <c r="F192" s="21" t="str">
        <f t="array" ref="F192">iferror(VLOOKUP(INDIRECT(ADDRESS(ROW()+1,COLUMN(), 4)),Dex!$A$2:$C893,3,false),"")</f>
        <v/>
      </c>
      <c r="G192" s="21" t="str">
        <f t="array" ref="G192">iferror(VLOOKUP(INDIRECT(ADDRESS(ROW()+1,COLUMN(), 4)),Dex!$A$2:$C893,3,false),"")</f>
        <v/>
      </c>
      <c r="H192" s="22" t="str">
        <f t="array" ref="H192">iferror(VLOOKUP("TRAINER_PIC_SWIMMING_TRIATHLETE_M",Sprites!$A$1:$B893,2,false),"")</f>
        <v/>
      </c>
      <c r="I192" s="23"/>
    </row>
    <row r="193">
      <c r="A193" s="24"/>
      <c r="B193" s="25" t="s">
        <v>713</v>
      </c>
      <c r="C193" s="25" t="s">
        <v>334</v>
      </c>
      <c r="D193" s="25" t="s">
        <v>1168</v>
      </c>
      <c r="E193" s="25" t="s">
        <v>825</v>
      </c>
      <c r="F193" s="25" t="s">
        <v>316</v>
      </c>
      <c r="G193" s="25" t="s">
        <v>209</v>
      </c>
      <c r="H193" s="26"/>
    </row>
    <row r="194">
      <c r="A194" s="16" t="s">
        <v>1178</v>
      </c>
      <c r="B194" s="27" t="s">
        <v>2539</v>
      </c>
      <c r="C194" s="27" t="s">
        <v>2539</v>
      </c>
      <c r="D194" s="27" t="s">
        <v>2539</v>
      </c>
      <c r="E194" s="27" t="s">
        <v>2539</v>
      </c>
      <c r="F194" s="27" t="s">
        <v>2539</v>
      </c>
      <c r="G194" s="27" t="s">
        <v>2265</v>
      </c>
      <c r="H194" s="26"/>
    </row>
    <row r="195">
      <c r="A195" s="16" t="s">
        <v>1181</v>
      </c>
      <c r="B195" s="28" t="s">
        <v>2025</v>
      </c>
      <c r="C195" s="28" t="s">
        <v>1246</v>
      </c>
      <c r="D195" s="28" t="s">
        <v>1882</v>
      </c>
      <c r="E195" s="28" t="s">
        <v>1247</v>
      </c>
      <c r="F195" s="28" t="s">
        <v>1295</v>
      </c>
      <c r="G195" s="28" t="s">
        <v>2557</v>
      </c>
      <c r="H195" s="26"/>
    </row>
    <row r="196">
      <c r="A196" s="16" t="s">
        <v>1182</v>
      </c>
      <c r="B196" s="21" t="s">
        <v>1199</v>
      </c>
      <c r="C196" s="21" t="s">
        <v>2376</v>
      </c>
      <c r="D196" s="21" t="s">
        <v>1356</v>
      </c>
      <c r="E196" s="21" t="s">
        <v>1604</v>
      </c>
      <c r="F196" s="21" t="s">
        <v>1573</v>
      </c>
      <c r="G196" s="21" t="s">
        <v>1926</v>
      </c>
      <c r="H196" s="26"/>
    </row>
    <row r="197">
      <c r="A197" s="16" t="s">
        <v>1186</v>
      </c>
      <c r="B197" s="28" t="s">
        <v>1235</v>
      </c>
      <c r="C197" s="28" t="s">
        <v>1235</v>
      </c>
      <c r="D197" s="28" t="s">
        <v>1235</v>
      </c>
      <c r="E197" s="28" t="s">
        <v>1284</v>
      </c>
      <c r="F197" s="28" t="s">
        <v>1235</v>
      </c>
      <c r="G197" s="28" t="s">
        <v>1235</v>
      </c>
      <c r="H197" s="26"/>
    </row>
    <row r="198">
      <c r="A198" s="20" t="s">
        <v>1188</v>
      </c>
      <c r="B198" s="21" t="s">
        <v>1678</v>
      </c>
      <c r="C198" s="21" t="s">
        <v>1678</v>
      </c>
      <c r="D198" s="21" t="s">
        <v>1874</v>
      </c>
      <c r="E198" s="21" t="s">
        <v>1918</v>
      </c>
      <c r="F198" s="21" t="s">
        <v>1408</v>
      </c>
      <c r="G198" s="21" t="s">
        <v>1678</v>
      </c>
      <c r="H198" s="26"/>
    </row>
    <row r="199">
      <c r="A199" s="29"/>
      <c r="B199" s="21" t="s">
        <v>1677</v>
      </c>
      <c r="C199" s="21" t="s">
        <v>1594</v>
      </c>
      <c r="D199" s="21" t="s">
        <v>1814</v>
      </c>
      <c r="E199" s="21" t="s">
        <v>1731</v>
      </c>
      <c r="F199" s="21" t="s">
        <v>1834</v>
      </c>
      <c r="G199" s="21" t="s">
        <v>1415</v>
      </c>
      <c r="H199" s="26"/>
    </row>
    <row r="200">
      <c r="A200" s="29"/>
      <c r="B200" s="21" t="s">
        <v>2019</v>
      </c>
      <c r="C200" s="21" t="s">
        <v>1336</v>
      </c>
      <c r="D200" s="21" t="s">
        <v>1307</v>
      </c>
      <c r="E200" s="21" t="s">
        <v>1292</v>
      </c>
      <c r="F200" s="21" t="s">
        <v>1432</v>
      </c>
      <c r="G200" s="21" t="s">
        <v>1677</v>
      </c>
      <c r="H200" s="26"/>
    </row>
    <row r="201">
      <c r="A201" s="24"/>
      <c r="B201" s="21" t="s">
        <v>1705</v>
      </c>
      <c r="C201" s="21" t="s">
        <v>1758</v>
      </c>
      <c r="D201" s="21" t="s">
        <v>1641</v>
      </c>
      <c r="E201" s="21" t="s">
        <v>1311</v>
      </c>
      <c r="F201" s="21" t="s">
        <v>1915</v>
      </c>
      <c r="G201" s="21" t="s">
        <v>1664</v>
      </c>
      <c r="H201" s="30"/>
      <c r="I201" s="14"/>
    </row>
    <row r="202">
      <c r="A202" s="37"/>
      <c r="B202" s="38" t="s">
        <v>2558</v>
      </c>
      <c r="C202" s="14"/>
      <c r="D202" s="14"/>
      <c r="E202" s="14"/>
      <c r="F202" s="14"/>
      <c r="G202" s="14"/>
      <c r="H202" s="24"/>
      <c r="I202" s="33"/>
    </row>
    <row r="203">
      <c r="A203" s="16" t="s">
        <v>1174</v>
      </c>
      <c r="B203" s="17" t="s">
        <v>2559</v>
      </c>
      <c r="C203" s="18"/>
      <c r="D203" s="18"/>
      <c r="E203" s="18"/>
      <c r="F203" s="18"/>
      <c r="G203" s="18"/>
      <c r="H203" s="18"/>
      <c r="I203" s="16"/>
    </row>
    <row r="204" ht="60.0" customHeight="1">
      <c r="A204" s="20" t="s">
        <v>1176</v>
      </c>
      <c r="B204" s="21" t="str">
        <f t="array" ref="B204">iferror(VLOOKUP(INDIRECT(ADDRESS(ROW()+1,COLUMN(), 4)),Dex!$A$2:$C893,3,false),"")</f>
        <v/>
      </c>
      <c r="C204" s="21" t="str">
        <f t="array" ref="C204">iferror(VLOOKUP(INDIRECT(ADDRESS(ROW()+1,COLUMN(), 4)),Dex!$A$2:$C893,3,false),"")</f>
        <v/>
      </c>
      <c r="D204" s="21" t="str">
        <f t="array" ref="D204">iferror(VLOOKUP(INDIRECT(ADDRESS(ROW()+1,COLUMN(), 4)),Dex!$A$2:$C893,3,false),"")</f>
        <v/>
      </c>
      <c r="E204" s="21" t="str">
        <f t="array" ref="E204">iferror(VLOOKUP(INDIRECT(ADDRESS(ROW()+1,COLUMN(), 4)),Dex!$A$2:$C893,3,false),"")</f>
        <v/>
      </c>
      <c r="F204" s="21" t="str">
        <f t="array" ref="F204">iferror(VLOOKUP(INDIRECT(ADDRESS(ROW()+1,COLUMN(), 4)),Dex!$A$2:$C893,3,false),"")</f>
        <v/>
      </c>
      <c r="G204" s="21" t="str">
        <f t="array" ref="G204">iferror(VLOOKUP(INDIRECT(ADDRESS(ROW()+1,COLUMN(), 4)),Dex!$A$2:$C893,3,false),"")</f>
        <v/>
      </c>
      <c r="H204" s="22" t="str">
        <f t="array" ref="H204">iferror(VLOOKUP("TRAINER_PIC_BATTLE_GIRL",Sprites!$A$1:$B893,2,false),"")</f>
        <v/>
      </c>
      <c r="I204" s="23"/>
    </row>
    <row r="205">
      <c r="A205" s="24"/>
      <c r="B205" s="25" t="s">
        <v>513</v>
      </c>
      <c r="C205" s="25" t="s">
        <v>925</v>
      </c>
      <c r="D205" s="25" t="s">
        <v>796</v>
      </c>
      <c r="E205" s="25" t="s">
        <v>568</v>
      </c>
      <c r="F205" s="25" t="s">
        <v>575</v>
      </c>
      <c r="G205" s="25" t="s">
        <v>507</v>
      </c>
      <c r="H205" s="26"/>
    </row>
    <row r="206">
      <c r="A206" s="16" t="s">
        <v>1178</v>
      </c>
      <c r="B206" s="27" t="s">
        <v>2517</v>
      </c>
      <c r="C206" s="27" t="s">
        <v>2517</v>
      </c>
      <c r="D206" s="27" t="s">
        <v>2497</v>
      </c>
      <c r="E206" s="27" t="s">
        <v>2517</v>
      </c>
      <c r="F206" s="27" t="s">
        <v>2532</v>
      </c>
      <c r="G206" s="27" t="s">
        <v>2532</v>
      </c>
      <c r="H206" s="26"/>
    </row>
    <row r="207">
      <c r="A207" s="16" t="s">
        <v>1181</v>
      </c>
      <c r="B207" s="28" t="s">
        <v>1247</v>
      </c>
      <c r="C207" s="28" t="s">
        <v>1209</v>
      </c>
      <c r="D207" s="28" t="s">
        <v>2139</v>
      </c>
      <c r="E207" s="28" t="s">
        <v>1882</v>
      </c>
      <c r="F207" s="28" t="s">
        <v>1346</v>
      </c>
      <c r="G207" s="28" t="s">
        <v>1247</v>
      </c>
      <c r="H207" s="26"/>
    </row>
    <row r="208">
      <c r="A208" s="16" t="s">
        <v>1182</v>
      </c>
      <c r="B208" s="21" t="s">
        <v>1298</v>
      </c>
      <c r="C208" s="21" t="s">
        <v>1368</v>
      </c>
      <c r="D208" s="21" t="s">
        <v>1368</v>
      </c>
      <c r="E208" s="21" t="s">
        <v>1356</v>
      </c>
      <c r="F208" s="21" t="s">
        <v>1931</v>
      </c>
      <c r="G208" s="21" t="s">
        <v>1444</v>
      </c>
      <c r="H208" s="26"/>
    </row>
    <row r="209">
      <c r="A209" s="16" t="s">
        <v>1186</v>
      </c>
      <c r="B209" s="28" t="s">
        <v>1235</v>
      </c>
      <c r="C209" s="28" t="s">
        <v>1256</v>
      </c>
      <c r="D209" s="28" t="s">
        <v>1284</v>
      </c>
      <c r="E209" s="28" t="s">
        <v>1284</v>
      </c>
      <c r="F209" s="28" t="s">
        <v>1284</v>
      </c>
      <c r="G209" s="28" t="s">
        <v>1249</v>
      </c>
      <c r="H209" s="26"/>
    </row>
    <row r="210">
      <c r="A210" s="20" t="s">
        <v>1188</v>
      </c>
      <c r="B210" s="21" t="s">
        <v>1738</v>
      </c>
      <c r="C210" s="21" t="s">
        <v>1724</v>
      </c>
      <c r="D210" s="21" t="s">
        <v>1828</v>
      </c>
      <c r="E210" s="21" t="s">
        <v>1739</v>
      </c>
      <c r="F210" s="21" t="s">
        <v>1373</v>
      </c>
      <c r="G210" s="21" t="s">
        <v>1874</v>
      </c>
      <c r="H210" s="26"/>
    </row>
    <row r="211">
      <c r="A211" s="29"/>
      <c r="B211" s="21" t="s">
        <v>1415</v>
      </c>
      <c r="C211" s="21" t="s">
        <v>1650</v>
      </c>
      <c r="D211" s="21" t="s">
        <v>1890</v>
      </c>
      <c r="E211" s="21" t="s">
        <v>1723</v>
      </c>
      <c r="F211" s="21" t="s">
        <v>1739</v>
      </c>
      <c r="G211" s="21" t="s">
        <v>1918</v>
      </c>
      <c r="H211" s="26"/>
    </row>
    <row r="212">
      <c r="A212" s="29"/>
      <c r="B212" s="21" t="s">
        <v>1836</v>
      </c>
      <c r="C212" s="21" t="s">
        <v>1608</v>
      </c>
      <c r="D212" s="21" t="s">
        <v>1739</v>
      </c>
      <c r="E212" s="21" t="s">
        <v>1890</v>
      </c>
      <c r="F212" s="21" t="s">
        <v>1225</v>
      </c>
      <c r="G212" s="21" t="s">
        <v>1749</v>
      </c>
      <c r="H212" s="26"/>
    </row>
    <row r="213">
      <c r="A213" s="24"/>
      <c r="B213" s="21" t="s">
        <v>1944</v>
      </c>
      <c r="C213" s="21" t="s">
        <v>1377</v>
      </c>
      <c r="D213" s="21" t="s">
        <v>1377</v>
      </c>
      <c r="E213" s="21" t="s">
        <v>1243</v>
      </c>
      <c r="F213" s="21" t="s">
        <v>1243</v>
      </c>
      <c r="G213" s="21" t="s">
        <v>1225</v>
      </c>
      <c r="H213" s="30"/>
      <c r="I213" s="14"/>
    </row>
    <row r="214">
      <c r="A214" s="16" t="s">
        <v>1174</v>
      </c>
      <c r="B214" s="17" t="s">
        <v>2560</v>
      </c>
      <c r="C214" s="18"/>
      <c r="D214" s="18"/>
      <c r="E214" s="18"/>
      <c r="F214" s="18"/>
      <c r="G214" s="18"/>
      <c r="H214" s="18"/>
      <c r="I214" s="19"/>
    </row>
    <row r="215" ht="60.0" customHeight="1">
      <c r="A215" s="20" t="s">
        <v>1176</v>
      </c>
      <c r="B215" s="21" t="str">
        <f t="array" ref="B215">iferror(VLOOKUP(INDIRECT(ADDRESS(ROW()+1,COLUMN(), 4)),Dex!$A$2:$C893,3,false),"")</f>
        <v/>
      </c>
      <c r="C215" s="21" t="str">
        <f t="array" ref="C215">iferror(VLOOKUP(INDIRECT(ADDRESS(ROW()+1,COLUMN(), 4)),Dex!$A$2:$C893,3,false),"")</f>
        <v/>
      </c>
      <c r="D215" s="21" t="str">
        <f t="array" ref="D215">iferror(VLOOKUP(INDIRECT(ADDRESS(ROW()+1,COLUMN(), 4)),Dex!$A$2:$C893,3,false),"")</f>
        <v/>
      </c>
      <c r="E215" s="21" t="str">
        <f t="array" ref="E215">iferror(VLOOKUP(INDIRECT(ADDRESS(ROW()+1,COLUMN(), 4)),Dex!$A$2:$C893,3,false),"")</f>
        <v/>
      </c>
      <c r="F215" s="21" t="str">
        <f t="array" ref="F215">iferror(VLOOKUP(INDIRECT(ADDRESS(ROW()+1,COLUMN(), 4)),Dex!$A$2:$C893,3,false),"")</f>
        <v/>
      </c>
      <c r="G215" s="21" t="str">
        <f t="array" ref="G215">iferror(VLOOKUP(INDIRECT(ADDRESS(ROW()+1,COLUMN(), 4)),Dex!$A$2:$C893,3,false),"")</f>
        <v/>
      </c>
      <c r="H215" s="22" t="str">
        <f t="array" ref="H215">iferror(VLOOKUP("TRAINER_PIC_COOLTRAINER_F",Sprites!$A$1:$B893,2,false),"")</f>
        <v/>
      </c>
      <c r="I215" s="23"/>
    </row>
    <row r="216">
      <c r="A216" s="24"/>
      <c r="B216" s="25" t="s">
        <v>994</v>
      </c>
      <c r="C216" s="25" t="s">
        <v>654</v>
      </c>
      <c r="D216" s="25" t="s">
        <v>160</v>
      </c>
      <c r="E216" s="25" t="s">
        <v>914</v>
      </c>
      <c r="F216" s="25" t="s">
        <v>187</v>
      </c>
      <c r="G216" s="25" t="s">
        <v>1044</v>
      </c>
      <c r="H216" s="26"/>
    </row>
    <row r="217">
      <c r="A217" s="16" t="s">
        <v>1178</v>
      </c>
      <c r="B217" s="27" t="s">
        <v>2539</v>
      </c>
      <c r="C217" s="27" t="s">
        <v>2539</v>
      </c>
      <c r="D217" s="27" t="s">
        <v>2539</v>
      </c>
      <c r="E217" s="27" t="s">
        <v>2539</v>
      </c>
      <c r="F217" s="27" t="s">
        <v>2265</v>
      </c>
      <c r="G217" s="27" t="s">
        <v>2539</v>
      </c>
      <c r="H217" s="26"/>
    </row>
    <row r="218">
      <c r="A218" s="16" t="s">
        <v>1181</v>
      </c>
      <c r="B218" s="28" t="s">
        <v>1838</v>
      </c>
      <c r="C218" s="28" t="s">
        <v>1882</v>
      </c>
      <c r="D218" s="28" t="s">
        <v>1833</v>
      </c>
      <c r="E218" s="28" t="s">
        <v>1457</v>
      </c>
      <c r="F218" s="28" t="s">
        <v>2561</v>
      </c>
      <c r="G218" s="28" t="s">
        <v>1247</v>
      </c>
      <c r="H218" s="26"/>
    </row>
    <row r="219">
      <c r="A219" s="16" t="s">
        <v>1182</v>
      </c>
      <c r="B219" s="21" t="s">
        <v>2070</v>
      </c>
      <c r="C219" s="21" t="s">
        <v>1648</v>
      </c>
      <c r="D219" s="21" t="s">
        <v>1222</v>
      </c>
      <c r="E219" s="21" t="s">
        <v>1298</v>
      </c>
      <c r="F219" s="21" t="s">
        <v>2562</v>
      </c>
      <c r="G219" s="21" t="s">
        <v>2172</v>
      </c>
      <c r="H219" s="26"/>
    </row>
    <row r="220">
      <c r="A220" s="16" t="s">
        <v>1186</v>
      </c>
      <c r="B220" s="28" t="s">
        <v>1235</v>
      </c>
      <c r="C220" s="28" t="s">
        <v>1269</v>
      </c>
      <c r="D220" s="28" t="s">
        <v>1248</v>
      </c>
      <c r="E220" s="28" t="s">
        <v>1235</v>
      </c>
      <c r="F220" s="28" t="s">
        <v>1235</v>
      </c>
      <c r="G220" s="28" t="s">
        <v>1235</v>
      </c>
      <c r="H220" s="26"/>
    </row>
    <row r="221">
      <c r="A221" s="20" t="s">
        <v>1188</v>
      </c>
      <c r="B221" s="21" t="s">
        <v>1760</v>
      </c>
      <c r="C221" s="21" t="s">
        <v>1760</v>
      </c>
      <c r="D221" s="21" t="s">
        <v>1874</v>
      </c>
      <c r="E221" s="21" t="s">
        <v>1737</v>
      </c>
      <c r="F221" s="21" t="s">
        <v>1874</v>
      </c>
      <c r="G221" s="21" t="s">
        <v>2173</v>
      </c>
      <c r="H221" s="26"/>
    </row>
    <row r="222">
      <c r="A222" s="29"/>
      <c r="B222" s="21" t="s">
        <v>1741</v>
      </c>
      <c r="C222" s="21" t="s">
        <v>1594</v>
      </c>
      <c r="D222" s="21" t="s">
        <v>1466</v>
      </c>
      <c r="E222" s="21" t="s">
        <v>1967</v>
      </c>
      <c r="F222" s="21" t="s">
        <v>1738</v>
      </c>
      <c r="G222" s="21" t="s">
        <v>1814</v>
      </c>
      <c r="H222" s="26"/>
    </row>
    <row r="223">
      <c r="A223" s="29"/>
      <c r="B223" s="21" t="s">
        <v>1621</v>
      </c>
      <c r="C223" s="21" t="s">
        <v>1471</v>
      </c>
      <c r="D223" s="21" t="s">
        <v>1238</v>
      </c>
      <c r="E223" s="21" t="s">
        <v>1759</v>
      </c>
      <c r="F223" s="21" t="s">
        <v>2563</v>
      </c>
      <c r="G223" s="21" t="s">
        <v>1469</v>
      </c>
      <c r="H223" s="26"/>
    </row>
    <row r="224">
      <c r="A224" s="24"/>
      <c r="B224" s="21" t="s">
        <v>1376</v>
      </c>
      <c r="C224" s="21" t="s">
        <v>1652</v>
      </c>
      <c r="D224" s="21" t="s">
        <v>1225</v>
      </c>
      <c r="E224" s="21" t="s">
        <v>1225</v>
      </c>
      <c r="F224" s="21" t="s">
        <v>1641</v>
      </c>
      <c r="G224" s="21" t="s">
        <v>2349</v>
      </c>
      <c r="H224" s="30"/>
      <c r="I224" s="14"/>
    </row>
    <row r="225">
      <c r="A225" s="16" t="s">
        <v>1174</v>
      </c>
      <c r="B225" s="17" t="s">
        <v>2564</v>
      </c>
      <c r="C225" s="18"/>
      <c r="D225" s="18"/>
      <c r="E225" s="18"/>
      <c r="F225" s="18"/>
      <c r="G225" s="18"/>
      <c r="H225" s="18"/>
      <c r="I225" s="19"/>
    </row>
    <row r="226" ht="60.0" customHeight="1">
      <c r="A226" s="20" t="s">
        <v>1176</v>
      </c>
      <c r="B226" s="21" t="str">
        <f t="array" ref="B226">iferror(VLOOKUP(INDIRECT(ADDRESS(ROW()+1,COLUMN(), 4)),Dex!$A$2:$C893,3,false),"")</f>
        <v/>
      </c>
      <c r="C226" s="21" t="str">
        <f t="array" ref="C226">iferror(VLOOKUP(INDIRECT(ADDRESS(ROW()+1,COLUMN(), 4)),Dex!$A$2:$C893,3,false),"")</f>
        <v/>
      </c>
      <c r="D226" s="21" t="str">
        <f t="array" ref="D226">iferror(VLOOKUP(INDIRECT(ADDRESS(ROW()+1,COLUMN(), 4)),Dex!$A$2:$C893,3,false),"")</f>
        <v/>
      </c>
      <c r="E226" s="21" t="str">
        <f t="array" ref="E226">iferror(VLOOKUP(INDIRECT(ADDRESS(ROW()+1,COLUMN(), 4)),Dex!$A$2:$C893,3,false),"")</f>
        <v/>
      </c>
      <c r="F226" s="21" t="str">
        <f t="array" ref="F226">iferror(VLOOKUP(INDIRECT(ADDRESS(ROW()+1,COLUMN(), 4)),Dex!$A$2:$C893,3,false),"")</f>
        <v/>
      </c>
      <c r="G226" s="21" t="str">
        <f t="array" ref="G226">iferror(VLOOKUP(INDIRECT(ADDRESS(ROW()+1,COLUMN(), 4)),Dex!$A$2:$C893,3,false),"")</f>
        <v/>
      </c>
      <c r="H226" s="22" t="str">
        <f t="array" ref="H226">iferror(VLOOKUP("TRAINER_PIC_BLACK_BELT",Sprites!$A$1:$B893,2,false),"")</f>
        <v/>
      </c>
      <c r="I226" s="23"/>
    </row>
    <row r="227">
      <c r="A227" s="24"/>
      <c r="B227" s="25" t="s">
        <v>457</v>
      </c>
      <c r="C227" s="25" t="s">
        <v>1102</v>
      </c>
      <c r="D227" s="25" t="s">
        <v>561</v>
      </c>
      <c r="E227" s="25" t="s">
        <v>1165</v>
      </c>
      <c r="F227" s="25" t="s">
        <v>1054</v>
      </c>
      <c r="G227" s="25" t="s">
        <v>771</v>
      </c>
      <c r="H227" s="26"/>
    </row>
    <row r="228">
      <c r="A228" s="16" t="s">
        <v>1178</v>
      </c>
      <c r="B228" s="27" t="s">
        <v>2265</v>
      </c>
      <c r="C228" s="27" t="s">
        <v>2539</v>
      </c>
      <c r="D228" s="27" t="s">
        <v>2539</v>
      </c>
      <c r="E228" s="27" t="s">
        <v>2539</v>
      </c>
      <c r="F228" s="27" t="s">
        <v>2539</v>
      </c>
      <c r="G228" s="27" t="s">
        <v>2539</v>
      </c>
      <c r="H228" s="26"/>
    </row>
    <row r="229">
      <c r="A229" s="16" t="s">
        <v>1181</v>
      </c>
      <c r="B229" s="28" t="s">
        <v>2565</v>
      </c>
      <c r="C229" s="28" t="s">
        <v>1209</v>
      </c>
      <c r="D229" s="28" t="s">
        <v>1295</v>
      </c>
      <c r="E229" s="28" t="s">
        <v>1295</v>
      </c>
      <c r="F229" s="28" t="s">
        <v>1701</v>
      </c>
      <c r="G229" s="28" t="s">
        <v>2276</v>
      </c>
      <c r="H229" s="26"/>
    </row>
    <row r="230">
      <c r="A230" s="16" t="s">
        <v>1182</v>
      </c>
      <c r="B230" s="21" t="s">
        <v>1636</v>
      </c>
      <c r="C230" s="21" t="s">
        <v>1636</v>
      </c>
      <c r="D230" s="21" t="s">
        <v>1798</v>
      </c>
      <c r="E230" s="21" t="s">
        <v>1211</v>
      </c>
      <c r="F230" s="21" t="s">
        <v>1211</v>
      </c>
      <c r="G230" s="21" t="s">
        <v>1211</v>
      </c>
      <c r="H230" s="26"/>
    </row>
    <row r="231">
      <c r="A231" s="16" t="s">
        <v>1186</v>
      </c>
      <c r="B231" s="28" t="s">
        <v>1235</v>
      </c>
      <c r="C231" s="28" t="s">
        <v>1446</v>
      </c>
      <c r="D231" s="28" t="s">
        <v>1257</v>
      </c>
      <c r="E231" s="28" t="s">
        <v>1406</v>
      </c>
      <c r="F231" s="28" t="s">
        <v>1406</v>
      </c>
      <c r="G231" s="28" t="s">
        <v>1235</v>
      </c>
      <c r="H231" s="26"/>
    </row>
    <row r="232">
      <c r="A232" s="20" t="s">
        <v>1188</v>
      </c>
      <c r="B232" s="21" t="s">
        <v>1952</v>
      </c>
      <c r="C232" s="21" t="s">
        <v>1732</v>
      </c>
      <c r="D232" s="21" t="s">
        <v>1732</v>
      </c>
      <c r="E232" s="21" t="s">
        <v>1779</v>
      </c>
      <c r="F232" s="21" t="s">
        <v>1415</v>
      </c>
      <c r="G232" s="21" t="s">
        <v>2277</v>
      </c>
      <c r="H232" s="26"/>
    </row>
    <row r="233">
      <c r="A233" s="29"/>
      <c r="B233" s="21" t="s">
        <v>1732</v>
      </c>
      <c r="C233" s="21" t="s">
        <v>1225</v>
      </c>
      <c r="D233" s="21" t="s">
        <v>1395</v>
      </c>
      <c r="E233" s="21" t="s">
        <v>1407</v>
      </c>
      <c r="F233" s="21" t="s">
        <v>1804</v>
      </c>
      <c r="G233" s="21" t="s">
        <v>1677</v>
      </c>
      <c r="H233" s="26"/>
    </row>
    <row r="234">
      <c r="A234" s="29"/>
      <c r="B234" s="21" t="s">
        <v>1194</v>
      </c>
      <c r="C234" s="21" t="s">
        <v>1194</v>
      </c>
      <c r="D234" s="21" t="s">
        <v>1731</v>
      </c>
      <c r="E234" s="21" t="s">
        <v>1804</v>
      </c>
      <c r="F234" s="21" t="s">
        <v>1410</v>
      </c>
      <c r="G234" s="21" t="s">
        <v>1817</v>
      </c>
      <c r="H234" s="26"/>
    </row>
    <row r="235">
      <c r="A235" s="24"/>
      <c r="B235" s="21" t="s">
        <v>1262</v>
      </c>
      <c r="C235" s="21" t="s">
        <v>1262</v>
      </c>
      <c r="D235" s="21" t="s">
        <v>1311</v>
      </c>
      <c r="E235" s="21" t="s">
        <v>1410</v>
      </c>
      <c r="F235" s="21" t="s">
        <v>1377</v>
      </c>
      <c r="G235" s="21" t="s">
        <v>1641</v>
      </c>
      <c r="H235" s="30"/>
      <c r="I235" s="14"/>
    </row>
    <row r="236">
      <c r="A236" s="16" t="s">
        <v>1174</v>
      </c>
      <c r="B236" s="17" t="s">
        <v>2566</v>
      </c>
      <c r="C236" s="18"/>
      <c r="D236" s="18"/>
      <c r="E236" s="18"/>
      <c r="F236" s="18"/>
      <c r="G236" s="18"/>
      <c r="H236" s="18"/>
      <c r="I236" s="16"/>
    </row>
    <row r="237" ht="60.0" customHeight="1">
      <c r="A237" s="20" t="s">
        <v>1176</v>
      </c>
      <c r="B237" s="21" t="str">
        <f t="array" ref="B237">iferror(VLOOKUP(INDIRECT(ADDRESS(ROW()+1,COLUMN(), 4)),Dex!$A$2:$C893,3,false),"")</f>
        <v/>
      </c>
      <c r="C237" s="21" t="str">
        <f t="array" ref="C237">iferror(VLOOKUP(INDIRECT(ADDRESS(ROW()+1,COLUMN(), 4)),Dex!$A$2:$C893,3,false),"")</f>
        <v/>
      </c>
      <c r="D237" s="21" t="str">
        <f t="array" ref="D237">iferror(VLOOKUP(INDIRECT(ADDRESS(ROW()+1,COLUMN(), 4)),Dex!$A$2:$C893,3,false),"")</f>
        <v/>
      </c>
      <c r="E237" s="21" t="s">
        <v>1177</v>
      </c>
      <c r="F237" s="21" t="s">
        <v>1177</v>
      </c>
      <c r="G237" s="21" t="s">
        <v>1177</v>
      </c>
      <c r="H237" s="22" t="str">
        <f t="array" ref="H237">iferror(VLOOKUP("TRAINER_PIC_FISHERMAN",Sprites!$A$1:$B893,2,false),"")</f>
        <v/>
      </c>
      <c r="I237" s="23"/>
    </row>
    <row r="238">
      <c r="A238" s="24"/>
      <c r="B238" s="25" t="s">
        <v>365</v>
      </c>
      <c r="C238" s="25" t="s">
        <v>1085</v>
      </c>
      <c r="D238" s="25" t="s">
        <v>578</v>
      </c>
      <c r="E238" s="25" t="s">
        <v>1177</v>
      </c>
      <c r="F238" s="25" t="s">
        <v>1177</v>
      </c>
      <c r="G238" s="25" t="s">
        <v>1177</v>
      </c>
      <c r="H238" s="26"/>
    </row>
    <row r="239">
      <c r="A239" s="16" t="s">
        <v>1178</v>
      </c>
      <c r="B239" s="27" t="s">
        <v>2410</v>
      </c>
      <c r="C239" s="27" t="s">
        <v>2410</v>
      </c>
      <c r="D239" s="27" t="s">
        <v>2410</v>
      </c>
      <c r="E239" s="21" t="s">
        <v>1177</v>
      </c>
      <c r="F239" s="21" t="s">
        <v>1177</v>
      </c>
      <c r="G239" s="21" t="s">
        <v>1177</v>
      </c>
      <c r="H239" s="26"/>
    </row>
    <row r="240">
      <c r="A240" s="16" t="s">
        <v>1181</v>
      </c>
      <c r="B240" s="28" t="s">
        <v>1177</v>
      </c>
      <c r="C240" s="28" t="s">
        <v>1177</v>
      </c>
      <c r="D240" s="28" t="s">
        <v>1177</v>
      </c>
      <c r="E240" s="28" t="s">
        <v>1177</v>
      </c>
      <c r="F240" s="28" t="s">
        <v>1177</v>
      </c>
      <c r="G240" s="28" t="s">
        <v>1177</v>
      </c>
      <c r="H240" s="26"/>
    </row>
    <row r="241">
      <c r="A241" s="16" t="s">
        <v>1182</v>
      </c>
      <c r="B241" s="21" t="s">
        <v>1212</v>
      </c>
      <c r="C241" s="21" t="s">
        <v>1212</v>
      </c>
      <c r="D241" s="21" t="s">
        <v>1212</v>
      </c>
      <c r="E241" s="21" t="s">
        <v>1177</v>
      </c>
      <c r="F241" s="21" t="s">
        <v>1177</v>
      </c>
      <c r="G241" s="21" t="s">
        <v>1177</v>
      </c>
      <c r="H241" s="26"/>
    </row>
    <row r="242">
      <c r="A242" s="16" t="s">
        <v>1186</v>
      </c>
      <c r="B242" s="28" t="s">
        <v>1187</v>
      </c>
      <c r="C242" s="28" t="s">
        <v>1187</v>
      </c>
      <c r="D242" s="28" t="s">
        <v>1187</v>
      </c>
      <c r="E242" s="28" t="s">
        <v>1177</v>
      </c>
      <c r="F242" s="28" t="s">
        <v>1177</v>
      </c>
      <c r="G242" s="28" t="s">
        <v>1177</v>
      </c>
      <c r="H242" s="26"/>
    </row>
    <row r="243">
      <c r="A243" s="20" t="s">
        <v>1188</v>
      </c>
      <c r="B243" s="21" t="s">
        <v>1177</v>
      </c>
      <c r="C243" s="21" t="s">
        <v>1177</v>
      </c>
      <c r="D243" s="21" t="s">
        <v>1177</v>
      </c>
      <c r="E243" s="21" t="s">
        <v>1177</v>
      </c>
      <c r="F243" s="21" t="s">
        <v>1177</v>
      </c>
      <c r="G243" s="21" t="s">
        <v>1177</v>
      </c>
      <c r="H243" s="26"/>
    </row>
    <row r="244">
      <c r="A244" s="29"/>
      <c r="B244" s="21" t="s">
        <v>1177</v>
      </c>
      <c r="C244" s="21" t="s">
        <v>1177</v>
      </c>
      <c r="D244" s="21" t="s">
        <v>1177</v>
      </c>
      <c r="E244" s="21" t="s">
        <v>1177</v>
      </c>
      <c r="F244" s="21" t="s">
        <v>1177</v>
      </c>
      <c r="G244" s="21" t="s">
        <v>1177</v>
      </c>
      <c r="H244" s="26"/>
    </row>
    <row r="245">
      <c r="A245" s="29"/>
      <c r="B245" s="21" t="s">
        <v>1177</v>
      </c>
      <c r="C245" s="21" t="s">
        <v>1177</v>
      </c>
      <c r="D245" s="21" t="s">
        <v>1177</v>
      </c>
      <c r="E245" s="21" t="s">
        <v>1177</v>
      </c>
      <c r="F245" s="21" t="s">
        <v>1177</v>
      </c>
      <c r="G245" s="21" t="s">
        <v>1177</v>
      </c>
      <c r="H245" s="26"/>
    </row>
    <row r="246">
      <c r="A246" s="24"/>
      <c r="B246" s="21" t="s">
        <v>1177</v>
      </c>
      <c r="C246" s="21" t="s">
        <v>1177</v>
      </c>
      <c r="D246" s="21" t="s">
        <v>1177</v>
      </c>
      <c r="E246" s="21" t="s">
        <v>1177</v>
      </c>
      <c r="F246" s="21" t="s">
        <v>1177</v>
      </c>
      <c r="G246" s="21" t="s">
        <v>1177</v>
      </c>
      <c r="H246" s="30"/>
      <c r="I246" s="14"/>
    </row>
    <row r="247">
      <c r="A247" s="16" t="s">
        <v>1174</v>
      </c>
      <c r="B247" s="17" t="s">
        <v>2567</v>
      </c>
      <c r="C247" s="18"/>
      <c r="D247" s="18"/>
      <c r="E247" s="18"/>
      <c r="F247" s="18"/>
      <c r="G247" s="18"/>
      <c r="H247" s="18"/>
      <c r="I247" s="16"/>
    </row>
    <row r="248" ht="60.0" customHeight="1">
      <c r="A248" s="20" t="s">
        <v>1176</v>
      </c>
      <c r="B248" s="21" t="str">
        <f t="array" ref="B248">iferror(VLOOKUP(INDIRECT(ADDRESS(ROW()+1,COLUMN(), 4)),Dex!$A$2:$C893,3,false),"")</f>
        <v/>
      </c>
      <c r="C248" s="21" t="str">
        <f t="array" ref="C248">iferror(VLOOKUP(INDIRECT(ADDRESS(ROW()+1,COLUMN(), 4)),Dex!$A$2:$C893,3,false),"")</f>
        <v/>
      </c>
      <c r="D248" s="21" t="s">
        <v>1177</v>
      </c>
      <c r="E248" s="21" t="s">
        <v>1177</v>
      </c>
      <c r="F248" s="21" t="s">
        <v>1177</v>
      </c>
      <c r="G248" s="21" t="s">
        <v>1177</v>
      </c>
      <c r="H248" s="22" t="str">
        <f t="array" ref="H248">iferror(VLOOKUP("TRAINER_PIC_FISHERMAN",Sprites!$A$1:$B893,2,false),"")</f>
        <v/>
      </c>
      <c r="I248" s="23"/>
    </row>
    <row r="249">
      <c r="A249" s="24"/>
      <c r="B249" s="25" t="s">
        <v>996</v>
      </c>
      <c r="C249" s="25" t="s">
        <v>777</v>
      </c>
      <c r="D249" s="25" t="s">
        <v>1177</v>
      </c>
      <c r="E249" s="25" t="s">
        <v>1177</v>
      </c>
      <c r="F249" s="25" t="s">
        <v>1177</v>
      </c>
      <c r="G249" s="25" t="s">
        <v>1177</v>
      </c>
      <c r="H249" s="26"/>
    </row>
    <row r="250">
      <c r="A250" s="16" t="s">
        <v>1178</v>
      </c>
      <c r="B250" s="27" t="s">
        <v>2410</v>
      </c>
      <c r="C250" s="27" t="s">
        <v>2410</v>
      </c>
      <c r="D250" s="21" t="s">
        <v>1177</v>
      </c>
      <c r="E250" s="21" t="s">
        <v>1177</v>
      </c>
      <c r="F250" s="21" t="s">
        <v>1177</v>
      </c>
      <c r="G250" s="21" t="s">
        <v>1177</v>
      </c>
      <c r="H250" s="26"/>
    </row>
    <row r="251">
      <c r="A251" s="16" t="s">
        <v>1181</v>
      </c>
      <c r="B251" s="28" t="s">
        <v>1177</v>
      </c>
      <c r="C251" s="28" t="s">
        <v>1177</v>
      </c>
      <c r="D251" s="28" t="s">
        <v>1177</v>
      </c>
      <c r="E251" s="28" t="s">
        <v>1177</v>
      </c>
      <c r="F251" s="28" t="s">
        <v>1177</v>
      </c>
      <c r="G251" s="28" t="s">
        <v>1177</v>
      </c>
      <c r="H251" s="26"/>
    </row>
    <row r="252">
      <c r="A252" s="16" t="s">
        <v>1182</v>
      </c>
      <c r="B252" s="21" t="s">
        <v>1964</v>
      </c>
      <c r="C252" s="21" t="s">
        <v>1357</v>
      </c>
      <c r="D252" s="21" t="s">
        <v>1177</v>
      </c>
      <c r="E252" s="21" t="s">
        <v>1177</v>
      </c>
      <c r="F252" s="21" t="s">
        <v>1177</v>
      </c>
      <c r="G252" s="21" t="s">
        <v>1177</v>
      </c>
      <c r="H252" s="26"/>
    </row>
    <row r="253">
      <c r="A253" s="16" t="s">
        <v>1186</v>
      </c>
      <c r="B253" s="28" t="s">
        <v>1187</v>
      </c>
      <c r="C253" s="28" t="s">
        <v>1187</v>
      </c>
      <c r="D253" s="28" t="s">
        <v>1177</v>
      </c>
      <c r="E253" s="28" t="s">
        <v>1177</v>
      </c>
      <c r="F253" s="28" t="s">
        <v>1177</v>
      </c>
      <c r="G253" s="28" t="s">
        <v>1177</v>
      </c>
      <c r="H253" s="26"/>
    </row>
    <row r="254">
      <c r="A254" s="20" t="s">
        <v>1188</v>
      </c>
      <c r="B254" s="21" t="s">
        <v>1177</v>
      </c>
      <c r="C254" s="21" t="s">
        <v>1177</v>
      </c>
      <c r="D254" s="21" t="s">
        <v>1177</v>
      </c>
      <c r="E254" s="21" t="s">
        <v>1177</v>
      </c>
      <c r="F254" s="21" t="s">
        <v>1177</v>
      </c>
      <c r="G254" s="21" t="s">
        <v>1177</v>
      </c>
      <c r="H254" s="26"/>
    </row>
    <row r="255">
      <c r="A255" s="29"/>
      <c r="B255" s="21" t="s">
        <v>1177</v>
      </c>
      <c r="C255" s="21" t="s">
        <v>1177</v>
      </c>
      <c r="D255" s="21" t="s">
        <v>1177</v>
      </c>
      <c r="E255" s="21" t="s">
        <v>1177</v>
      </c>
      <c r="F255" s="21" t="s">
        <v>1177</v>
      </c>
      <c r="G255" s="21" t="s">
        <v>1177</v>
      </c>
      <c r="H255" s="26"/>
    </row>
    <row r="256">
      <c r="A256" s="29"/>
      <c r="B256" s="21" t="s">
        <v>1177</v>
      </c>
      <c r="C256" s="21" t="s">
        <v>1177</v>
      </c>
      <c r="D256" s="21" t="s">
        <v>1177</v>
      </c>
      <c r="E256" s="21" t="s">
        <v>1177</v>
      </c>
      <c r="F256" s="21" t="s">
        <v>1177</v>
      </c>
      <c r="G256" s="21" t="s">
        <v>1177</v>
      </c>
      <c r="H256" s="26"/>
    </row>
    <row r="257">
      <c r="A257" s="24"/>
      <c r="B257" s="21" t="s">
        <v>1177</v>
      </c>
      <c r="C257" s="21" t="s">
        <v>1177</v>
      </c>
      <c r="D257" s="21" t="s">
        <v>1177</v>
      </c>
      <c r="E257" s="21" t="s">
        <v>1177</v>
      </c>
      <c r="F257" s="21" t="s">
        <v>1177</v>
      </c>
      <c r="G257" s="21" t="s">
        <v>1177</v>
      </c>
      <c r="H257" s="30"/>
      <c r="I257" s="14"/>
    </row>
    <row r="258">
      <c r="A258" s="37"/>
      <c r="B258" s="38" t="s">
        <v>2568</v>
      </c>
      <c r="C258" s="14"/>
      <c r="D258" s="14"/>
      <c r="E258" s="14"/>
      <c r="F258" s="14"/>
      <c r="G258" s="14"/>
      <c r="H258" s="24"/>
      <c r="I258" s="33"/>
    </row>
    <row r="259">
      <c r="A259" s="16" t="s">
        <v>1174</v>
      </c>
      <c r="B259" s="17" t="s">
        <v>2569</v>
      </c>
      <c r="C259" s="18"/>
      <c r="D259" s="18"/>
      <c r="E259" s="18"/>
      <c r="F259" s="18"/>
      <c r="G259" s="18"/>
      <c r="H259" s="18"/>
      <c r="I259" s="16"/>
    </row>
    <row r="260" ht="60.0" customHeight="1">
      <c r="A260" s="20" t="s">
        <v>1176</v>
      </c>
      <c r="B260" s="21" t="str">
        <f t="array" ref="B260">iferror(VLOOKUP(INDIRECT(ADDRESS(ROW()+1,COLUMN(), 4)),Dex!$A$2:$C893,3,false),"")</f>
        <v/>
      </c>
      <c r="C260" s="21" t="str">
        <f t="array" ref="C260">iferror(VLOOKUP(INDIRECT(ADDRESS(ROW()+1,COLUMN(), 4)),Dex!$A$2:$C893,3,false),"")</f>
        <v/>
      </c>
      <c r="D260" s="21" t="str">
        <f t="array" ref="D260">iferror(VLOOKUP(INDIRECT(ADDRESS(ROW()+1,COLUMN(), 4)),Dex!$A$2:$C893,3,false),"")</f>
        <v/>
      </c>
      <c r="E260" s="21" t="str">
        <f t="array" ref="E260">iferror(VLOOKUP(INDIRECT(ADDRESS(ROW()+1,COLUMN(), 4)),Dex!$A$2:$C893,3,false),"")</f>
        <v/>
      </c>
      <c r="F260" s="21" t="str">
        <f t="array" ref="F260">iferror(VLOOKUP(INDIRECT(ADDRESS(ROW()+1,COLUMN(), 4)),Dex!$A$2:$C893,3,false),"")</f>
        <v/>
      </c>
      <c r="G260" s="21" t="str">
        <f t="array" ref="G260">iferror(VLOOKUP(INDIRECT(ADDRESS(ROW()+1,COLUMN(), 4)),Dex!$A$2:$C893,3,false),"")</f>
        <v/>
      </c>
      <c r="H260" s="22" t="str">
        <f t="array" ref="H260">iferror(VLOOKUP("TRAINER_PIC_SWIMMER_M",Sprites!$A$1:$B893,2,false),"")</f>
        <v/>
      </c>
      <c r="I260" s="23"/>
    </row>
    <row r="261">
      <c r="A261" s="24"/>
      <c r="B261" s="25" t="s">
        <v>654</v>
      </c>
      <c r="C261" s="25" t="s">
        <v>911</v>
      </c>
      <c r="D261" s="25" t="s">
        <v>233</v>
      </c>
      <c r="E261" s="25" t="s">
        <v>97</v>
      </c>
      <c r="F261" s="25" t="s">
        <v>195</v>
      </c>
      <c r="G261" s="25" t="s">
        <v>798</v>
      </c>
      <c r="H261" s="26"/>
    </row>
    <row r="262">
      <c r="A262" s="16" t="s">
        <v>1178</v>
      </c>
      <c r="B262" s="27" t="s">
        <v>2265</v>
      </c>
      <c r="C262" s="27" t="s">
        <v>2265</v>
      </c>
      <c r="D262" s="27" t="s">
        <v>2265</v>
      </c>
      <c r="E262" s="27" t="s">
        <v>2265</v>
      </c>
      <c r="F262" s="27" t="s">
        <v>2570</v>
      </c>
      <c r="G262" s="27" t="s">
        <v>2265</v>
      </c>
      <c r="H262" s="26"/>
    </row>
    <row r="263">
      <c r="A263" s="16" t="s">
        <v>1181</v>
      </c>
      <c r="B263" s="28" t="s">
        <v>1838</v>
      </c>
      <c r="C263" s="28" t="s">
        <v>1612</v>
      </c>
      <c r="D263" s="28" t="s">
        <v>2102</v>
      </c>
      <c r="E263" s="28" t="s">
        <v>1247</v>
      </c>
      <c r="F263" s="28" t="s">
        <v>1295</v>
      </c>
      <c r="G263" s="28" t="s">
        <v>2179</v>
      </c>
      <c r="H263" s="26"/>
    </row>
    <row r="264">
      <c r="A264" s="16" t="s">
        <v>1182</v>
      </c>
      <c r="B264" s="21" t="s">
        <v>1648</v>
      </c>
      <c r="C264" s="21" t="s">
        <v>1907</v>
      </c>
      <c r="D264" s="21" t="s">
        <v>1444</v>
      </c>
      <c r="E264" s="21" t="s">
        <v>1356</v>
      </c>
      <c r="F264" s="21" t="s">
        <v>1462</v>
      </c>
      <c r="G264" s="21" t="s">
        <v>1318</v>
      </c>
      <c r="H264" s="26"/>
    </row>
    <row r="265">
      <c r="A265" s="16" t="s">
        <v>1186</v>
      </c>
      <c r="B265" s="28" t="s">
        <v>1284</v>
      </c>
      <c r="C265" s="28" t="s">
        <v>1235</v>
      </c>
      <c r="D265" s="28" t="s">
        <v>1284</v>
      </c>
      <c r="E265" s="28" t="s">
        <v>1284</v>
      </c>
      <c r="F265" s="28" t="s">
        <v>1284</v>
      </c>
      <c r="G265" s="28" t="s">
        <v>1284</v>
      </c>
      <c r="H265" s="26"/>
    </row>
    <row r="266">
      <c r="A266" s="20" t="s">
        <v>1188</v>
      </c>
      <c r="B266" s="21" t="s">
        <v>1251</v>
      </c>
      <c r="C266" s="21" t="s">
        <v>1874</v>
      </c>
      <c r="D266" s="21" t="s">
        <v>2104</v>
      </c>
      <c r="E266" s="21" t="s">
        <v>1731</v>
      </c>
      <c r="F266" s="21" t="s">
        <v>2054</v>
      </c>
      <c r="G266" s="21" t="s">
        <v>1629</v>
      </c>
      <c r="H266" s="26"/>
    </row>
    <row r="267">
      <c r="A267" s="29"/>
      <c r="B267" s="21" t="s">
        <v>1890</v>
      </c>
      <c r="C267" s="21" t="s">
        <v>1816</v>
      </c>
      <c r="D267" s="21" t="s">
        <v>1629</v>
      </c>
      <c r="E267" s="21" t="s">
        <v>1878</v>
      </c>
      <c r="F267" s="21" t="s">
        <v>1695</v>
      </c>
      <c r="G267" s="21" t="s">
        <v>1650</v>
      </c>
      <c r="H267" s="26"/>
    </row>
    <row r="268">
      <c r="A268" s="29"/>
      <c r="B268" s="21" t="s">
        <v>1621</v>
      </c>
      <c r="C268" s="21" t="s">
        <v>1307</v>
      </c>
      <c r="D268" s="21" t="s">
        <v>1742</v>
      </c>
      <c r="E268" s="21" t="s">
        <v>1879</v>
      </c>
      <c r="F268" s="21" t="s">
        <v>1835</v>
      </c>
      <c r="G268" s="21" t="s">
        <v>1285</v>
      </c>
      <c r="H268" s="26"/>
    </row>
    <row r="269">
      <c r="A269" s="24"/>
      <c r="B269" s="21" t="s">
        <v>1652</v>
      </c>
      <c r="C269" s="21" t="s">
        <v>1944</v>
      </c>
      <c r="D269" s="21" t="s">
        <v>1389</v>
      </c>
      <c r="E269" s="21" t="s">
        <v>1880</v>
      </c>
      <c r="F269" s="21" t="s">
        <v>2571</v>
      </c>
      <c r="G269" s="21" t="s">
        <v>1657</v>
      </c>
      <c r="H269" s="30"/>
      <c r="I269" s="14"/>
    </row>
    <row r="270">
      <c r="A270" s="16" t="s">
        <v>1174</v>
      </c>
      <c r="B270" s="17" t="s">
        <v>2572</v>
      </c>
      <c r="C270" s="18"/>
      <c r="D270" s="18"/>
      <c r="E270" s="18"/>
      <c r="F270" s="18"/>
      <c r="G270" s="18"/>
      <c r="H270" s="18"/>
      <c r="I270" s="16"/>
    </row>
    <row r="271" ht="60.0" customHeight="1">
      <c r="A271" s="20" t="s">
        <v>1176</v>
      </c>
      <c r="B271" s="21" t="str">
        <f t="array" ref="B271">iferror(VLOOKUP(INDIRECT(ADDRESS(ROW()+1,COLUMN(), 4)),Dex!$A$2:$C893,3,false),"")</f>
        <v/>
      </c>
      <c r="C271" s="39" t="str">
        <f t="array" ref="C271">iferror(VLOOKUP(INDIRECT(ADDRESS(ROW()+1,COLUMN(), 4)),Dex!$A$2:$C893,3,false),"")</f>
        <v/>
      </c>
      <c r="D271" s="21" t="str">
        <f t="array" ref="D271">iferror(VLOOKUP(INDIRECT(ADDRESS(ROW()+1,COLUMN(), 4)),Dex!$A$2:$C893,3,false),"")</f>
        <v/>
      </c>
      <c r="E271" s="21" t="s">
        <v>1177</v>
      </c>
      <c r="F271" s="21" t="s">
        <v>1177</v>
      </c>
      <c r="G271" s="21" t="s">
        <v>1177</v>
      </c>
      <c r="H271" s="22" t="str">
        <f t="array" ref="H271">iferror(VLOOKUP("TRAINER_PIC_COOLTRAINER_F",Sprites!$A$1:$B893,2,false),"")</f>
        <v/>
      </c>
      <c r="I271" s="23"/>
    </row>
    <row r="272">
      <c r="A272" s="24"/>
      <c r="B272" s="25" t="s">
        <v>843</v>
      </c>
      <c r="C272" s="25" t="s">
        <v>757</v>
      </c>
      <c r="D272" s="25" t="s">
        <v>947</v>
      </c>
      <c r="E272" s="25" t="s">
        <v>1177</v>
      </c>
      <c r="F272" s="25" t="s">
        <v>1177</v>
      </c>
      <c r="G272" s="25" t="s">
        <v>1177</v>
      </c>
      <c r="H272" s="26"/>
    </row>
    <row r="273">
      <c r="A273" s="16" t="s">
        <v>1178</v>
      </c>
      <c r="B273" s="27" t="s">
        <v>2410</v>
      </c>
      <c r="C273" s="27" t="s">
        <v>2410</v>
      </c>
      <c r="D273" s="27" t="s">
        <v>2410</v>
      </c>
      <c r="E273" s="21" t="s">
        <v>1177</v>
      </c>
      <c r="F273" s="21" t="s">
        <v>1177</v>
      </c>
      <c r="G273" s="21" t="s">
        <v>1177</v>
      </c>
      <c r="H273" s="26"/>
    </row>
    <row r="274">
      <c r="A274" s="16" t="s">
        <v>1181</v>
      </c>
      <c r="B274" s="28" t="s">
        <v>1177</v>
      </c>
      <c r="C274" s="28" t="s">
        <v>1177</v>
      </c>
      <c r="D274" s="28" t="s">
        <v>1177</v>
      </c>
      <c r="E274" s="28" t="s">
        <v>1177</v>
      </c>
      <c r="F274" s="28" t="s">
        <v>1177</v>
      </c>
      <c r="G274" s="28" t="s">
        <v>1177</v>
      </c>
      <c r="H274" s="26"/>
    </row>
    <row r="275">
      <c r="A275" s="16" t="s">
        <v>1182</v>
      </c>
      <c r="B275" s="21" t="s">
        <v>1951</v>
      </c>
      <c r="C275" s="21" t="s">
        <v>2573</v>
      </c>
      <c r="D275" s="21" t="s">
        <v>2223</v>
      </c>
      <c r="E275" s="21" t="s">
        <v>1177</v>
      </c>
      <c r="F275" s="21" t="s">
        <v>1177</v>
      </c>
      <c r="G275" s="21" t="s">
        <v>1177</v>
      </c>
      <c r="H275" s="26"/>
    </row>
    <row r="276">
      <c r="A276" s="16" t="s">
        <v>1186</v>
      </c>
      <c r="B276" s="28" t="s">
        <v>1187</v>
      </c>
      <c r="C276" s="28" t="s">
        <v>1187</v>
      </c>
      <c r="D276" s="28" t="s">
        <v>1187</v>
      </c>
      <c r="E276" s="28" t="s">
        <v>1177</v>
      </c>
      <c r="F276" s="28" t="s">
        <v>1177</v>
      </c>
      <c r="G276" s="28" t="s">
        <v>1177</v>
      </c>
      <c r="H276" s="26"/>
    </row>
    <row r="277">
      <c r="A277" s="20" t="s">
        <v>1188</v>
      </c>
      <c r="B277" s="21" t="s">
        <v>1177</v>
      </c>
      <c r="C277" s="21" t="s">
        <v>1177</v>
      </c>
      <c r="D277" s="21" t="s">
        <v>1177</v>
      </c>
      <c r="E277" s="21" t="s">
        <v>1177</v>
      </c>
      <c r="F277" s="21" t="s">
        <v>1177</v>
      </c>
      <c r="G277" s="21" t="s">
        <v>1177</v>
      </c>
      <c r="H277" s="26"/>
    </row>
    <row r="278">
      <c r="A278" s="29"/>
      <c r="B278" s="21" t="s">
        <v>1177</v>
      </c>
      <c r="C278" s="21" t="s">
        <v>1177</v>
      </c>
      <c r="D278" s="21" t="s">
        <v>1177</v>
      </c>
      <c r="E278" s="21" t="s">
        <v>1177</v>
      </c>
      <c r="F278" s="21" t="s">
        <v>1177</v>
      </c>
      <c r="G278" s="21" t="s">
        <v>1177</v>
      </c>
      <c r="H278" s="26"/>
    </row>
    <row r="279">
      <c r="A279" s="29"/>
      <c r="B279" s="21" t="s">
        <v>1177</v>
      </c>
      <c r="C279" s="21" t="s">
        <v>1177</v>
      </c>
      <c r="D279" s="21" t="s">
        <v>1177</v>
      </c>
      <c r="E279" s="21" t="s">
        <v>1177</v>
      </c>
      <c r="F279" s="21" t="s">
        <v>1177</v>
      </c>
      <c r="G279" s="21" t="s">
        <v>1177</v>
      </c>
      <c r="H279" s="26"/>
    </row>
    <row r="280">
      <c r="A280" s="24"/>
      <c r="B280" s="21" t="s">
        <v>1177</v>
      </c>
      <c r="C280" s="21" t="s">
        <v>1177</v>
      </c>
      <c r="D280" s="21" t="s">
        <v>1177</v>
      </c>
      <c r="E280" s="21" t="s">
        <v>1177</v>
      </c>
      <c r="F280" s="21" t="s">
        <v>1177</v>
      </c>
      <c r="G280" s="21" t="s">
        <v>1177</v>
      </c>
      <c r="H280" s="30"/>
      <c r="I280" s="14"/>
    </row>
    <row r="281">
      <c r="A281" s="16" t="s">
        <v>1174</v>
      </c>
      <c r="B281" s="17" t="s">
        <v>2574</v>
      </c>
      <c r="C281" s="18"/>
      <c r="D281" s="18"/>
      <c r="E281" s="18"/>
      <c r="F281" s="18"/>
      <c r="G281" s="18"/>
      <c r="H281" s="18"/>
      <c r="I281" s="16"/>
    </row>
    <row r="282" ht="60.0" customHeight="1">
      <c r="A282" s="20" t="s">
        <v>1176</v>
      </c>
      <c r="B282" s="21" t="str">
        <f t="array" ref="B282">iferror(VLOOKUP(INDIRECT(ADDRESS(ROW()+1,COLUMN(), 4)),Dex!$A$2:$C893,3,false),"")</f>
        <v/>
      </c>
      <c r="C282" s="21" t="str">
        <f t="array" ref="C282">iferror(VLOOKUP(INDIRECT(ADDRESS(ROW()+1,COLUMN(), 4)),Dex!$A$2:$C893,3,false),"")</f>
        <v/>
      </c>
      <c r="D282" s="21" t="s">
        <v>1177</v>
      </c>
      <c r="E282" s="21" t="s">
        <v>1177</v>
      </c>
      <c r="F282" s="21" t="s">
        <v>1177</v>
      </c>
      <c r="G282" s="21" t="s">
        <v>1177</v>
      </c>
      <c r="H282" s="22" t="str">
        <f t="array" ref="H282">iferror(VLOOKUP("TRAINER_PIC_COOLTRAINER_M",Sprites!$A$1:$B893,2,false),"")</f>
        <v/>
      </c>
      <c r="I282" s="23"/>
    </row>
    <row r="283">
      <c r="A283" s="24"/>
      <c r="B283" s="25" t="s">
        <v>793</v>
      </c>
      <c r="C283" s="25" t="s">
        <v>342</v>
      </c>
      <c r="D283" s="25" t="s">
        <v>1177</v>
      </c>
      <c r="E283" s="25" t="s">
        <v>1177</v>
      </c>
      <c r="F283" s="25" t="s">
        <v>1177</v>
      </c>
      <c r="G283" s="25" t="s">
        <v>1177</v>
      </c>
      <c r="H283" s="26"/>
    </row>
    <row r="284">
      <c r="A284" s="16" t="s">
        <v>1178</v>
      </c>
      <c r="B284" s="27" t="s">
        <v>2410</v>
      </c>
      <c r="C284" s="27" t="s">
        <v>2410</v>
      </c>
      <c r="D284" s="21" t="s">
        <v>1177</v>
      </c>
      <c r="E284" s="21" t="s">
        <v>1177</v>
      </c>
      <c r="F284" s="21" t="s">
        <v>1177</v>
      </c>
      <c r="G284" s="21" t="s">
        <v>1177</v>
      </c>
      <c r="H284" s="26"/>
    </row>
    <row r="285">
      <c r="A285" s="16" t="s">
        <v>1181</v>
      </c>
      <c r="B285" s="28" t="s">
        <v>1177</v>
      </c>
      <c r="C285" s="28" t="s">
        <v>1177</v>
      </c>
      <c r="D285" s="28" t="s">
        <v>1177</v>
      </c>
      <c r="E285" s="28" t="s">
        <v>1177</v>
      </c>
      <c r="F285" s="28" t="s">
        <v>1177</v>
      </c>
      <c r="G285" s="28" t="s">
        <v>1177</v>
      </c>
      <c r="H285" s="26"/>
    </row>
    <row r="286">
      <c r="A286" s="16" t="s">
        <v>1182</v>
      </c>
      <c r="B286" s="21" t="s">
        <v>1198</v>
      </c>
      <c r="C286" s="21" t="s">
        <v>1821</v>
      </c>
      <c r="D286" s="21" t="s">
        <v>1177</v>
      </c>
      <c r="E286" s="21" t="s">
        <v>1177</v>
      </c>
      <c r="F286" s="21" t="s">
        <v>1177</v>
      </c>
      <c r="G286" s="21" t="s">
        <v>1177</v>
      </c>
      <c r="H286" s="26"/>
    </row>
    <row r="287">
      <c r="A287" s="16" t="s">
        <v>1186</v>
      </c>
      <c r="B287" s="28" t="s">
        <v>1187</v>
      </c>
      <c r="C287" s="28" t="s">
        <v>1187</v>
      </c>
      <c r="D287" s="28" t="s">
        <v>1177</v>
      </c>
      <c r="E287" s="28" t="s">
        <v>1177</v>
      </c>
      <c r="F287" s="28" t="s">
        <v>1177</v>
      </c>
      <c r="G287" s="28" t="s">
        <v>1177</v>
      </c>
      <c r="H287" s="26"/>
    </row>
    <row r="288">
      <c r="A288" s="20" t="s">
        <v>1188</v>
      </c>
      <c r="B288" s="21" t="s">
        <v>1177</v>
      </c>
      <c r="C288" s="21" t="s">
        <v>1177</v>
      </c>
      <c r="D288" s="21" t="s">
        <v>1177</v>
      </c>
      <c r="E288" s="21" t="s">
        <v>1177</v>
      </c>
      <c r="F288" s="21" t="s">
        <v>1177</v>
      </c>
      <c r="G288" s="21" t="s">
        <v>1177</v>
      </c>
      <c r="H288" s="26"/>
    </row>
    <row r="289">
      <c r="A289" s="29"/>
      <c r="B289" s="21" t="s">
        <v>1177</v>
      </c>
      <c r="C289" s="21" t="s">
        <v>1177</v>
      </c>
      <c r="D289" s="21" t="s">
        <v>1177</v>
      </c>
      <c r="E289" s="21" t="s">
        <v>1177</v>
      </c>
      <c r="F289" s="21" t="s">
        <v>1177</v>
      </c>
      <c r="G289" s="21" t="s">
        <v>1177</v>
      </c>
      <c r="H289" s="26"/>
    </row>
    <row r="290">
      <c r="A290" s="29"/>
      <c r="B290" s="21" t="s">
        <v>1177</v>
      </c>
      <c r="C290" s="21" t="s">
        <v>1177</v>
      </c>
      <c r="D290" s="21" t="s">
        <v>1177</v>
      </c>
      <c r="E290" s="21" t="s">
        <v>1177</v>
      </c>
      <c r="F290" s="21" t="s">
        <v>1177</v>
      </c>
      <c r="G290" s="21" t="s">
        <v>1177</v>
      </c>
      <c r="H290" s="26"/>
    </row>
    <row r="291">
      <c r="A291" s="24"/>
      <c r="B291" s="21" t="s">
        <v>1177</v>
      </c>
      <c r="C291" s="21" t="s">
        <v>1177</v>
      </c>
      <c r="D291" s="21" t="s">
        <v>1177</v>
      </c>
      <c r="E291" s="21" t="s">
        <v>1177</v>
      </c>
      <c r="F291" s="21" t="s">
        <v>1177</v>
      </c>
      <c r="G291" s="21" t="s">
        <v>1177</v>
      </c>
      <c r="H291" s="30"/>
      <c r="I291" s="14"/>
    </row>
    <row r="292">
      <c r="A292" s="16" t="s">
        <v>1174</v>
      </c>
      <c r="B292" s="17" t="s">
        <v>2575</v>
      </c>
      <c r="C292" s="18"/>
      <c r="D292" s="18"/>
      <c r="E292" s="18"/>
      <c r="F292" s="18"/>
      <c r="G292" s="18"/>
      <c r="H292" s="18"/>
      <c r="I292" s="16"/>
    </row>
    <row r="293" ht="60.0" customHeight="1">
      <c r="A293" s="20" t="s">
        <v>1176</v>
      </c>
      <c r="B293" s="21" t="str">
        <f t="array" ref="B293">iferror(VLOOKUP(INDIRECT(ADDRESS(ROW()+1,COLUMN(), 4)),Dex!$A$2:$C893,3,false),"")</f>
        <v/>
      </c>
      <c r="C293" s="21" t="str">
        <f t="array" ref="C293">iferror(VLOOKUP(INDIRECT(ADDRESS(ROW()+1,COLUMN(), 4)),Dex!$A$2:$C893,3,false),"")</f>
        <v/>
      </c>
      <c r="D293" s="21" t="s">
        <v>1177</v>
      </c>
      <c r="E293" s="21" t="s">
        <v>1177</v>
      </c>
      <c r="F293" s="21" t="s">
        <v>1177</v>
      </c>
      <c r="G293" s="21" t="s">
        <v>1177</v>
      </c>
      <c r="H293" s="22" t="str">
        <f t="array" ref="H293">iferror(VLOOKUP("TRAINER_PIC_SWIMMING_TRIATHLETE_F",Sprites!$A$1:$B893,2,false),"")</f>
        <v/>
      </c>
      <c r="I293" s="23"/>
    </row>
    <row r="294">
      <c r="A294" s="24"/>
      <c r="B294" s="25" t="s">
        <v>474</v>
      </c>
      <c r="C294" s="25" t="s">
        <v>107</v>
      </c>
      <c r="D294" s="25" t="s">
        <v>1177</v>
      </c>
      <c r="E294" s="25" t="s">
        <v>1177</v>
      </c>
      <c r="F294" s="25" t="s">
        <v>1177</v>
      </c>
      <c r="G294" s="25" t="s">
        <v>1177</v>
      </c>
      <c r="H294" s="26"/>
    </row>
    <row r="295">
      <c r="A295" s="16" t="s">
        <v>1178</v>
      </c>
      <c r="B295" s="27" t="s">
        <v>2410</v>
      </c>
      <c r="C295" s="27" t="s">
        <v>2410</v>
      </c>
      <c r="D295" s="21" t="s">
        <v>1177</v>
      </c>
      <c r="E295" s="21" t="s">
        <v>1177</v>
      </c>
      <c r="F295" s="21" t="s">
        <v>1177</v>
      </c>
      <c r="G295" s="21" t="s">
        <v>1177</v>
      </c>
      <c r="H295" s="26"/>
    </row>
    <row r="296">
      <c r="A296" s="16" t="s">
        <v>1181</v>
      </c>
      <c r="B296" s="28" t="s">
        <v>1177</v>
      </c>
      <c r="C296" s="28" t="s">
        <v>1177</v>
      </c>
      <c r="D296" s="28" t="s">
        <v>1177</v>
      </c>
      <c r="E296" s="28" t="s">
        <v>1177</v>
      </c>
      <c r="F296" s="28" t="s">
        <v>1177</v>
      </c>
      <c r="G296" s="28" t="s">
        <v>1177</v>
      </c>
      <c r="H296" s="26"/>
    </row>
    <row r="297">
      <c r="A297" s="16" t="s">
        <v>1182</v>
      </c>
      <c r="B297" s="21" t="s">
        <v>1212</v>
      </c>
      <c r="C297" s="21" t="s">
        <v>1783</v>
      </c>
      <c r="D297" s="21" t="s">
        <v>1177</v>
      </c>
      <c r="E297" s="21" t="s">
        <v>1177</v>
      </c>
      <c r="F297" s="21" t="s">
        <v>1177</v>
      </c>
      <c r="G297" s="21" t="s">
        <v>1177</v>
      </c>
      <c r="H297" s="26"/>
    </row>
    <row r="298">
      <c r="A298" s="16" t="s">
        <v>1186</v>
      </c>
      <c r="B298" s="28" t="s">
        <v>1187</v>
      </c>
      <c r="C298" s="28" t="s">
        <v>1187</v>
      </c>
      <c r="D298" s="28" t="s">
        <v>1177</v>
      </c>
      <c r="E298" s="28" t="s">
        <v>1177</v>
      </c>
      <c r="F298" s="28" t="s">
        <v>1177</v>
      </c>
      <c r="G298" s="28" t="s">
        <v>1177</v>
      </c>
      <c r="H298" s="26"/>
    </row>
    <row r="299">
      <c r="A299" s="20" t="s">
        <v>1188</v>
      </c>
      <c r="B299" s="21" t="s">
        <v>1177</v>
      </c>
      <c r="C299" s="21" t="s">
        <v>1177</v>
      </c>
      <c r="D299" s="21" t="s">
        <v>1177</v>
      </c>
      <c r="E299" s="21" t="s">
        <v>1177</v>
      </c>
      <c r="F299" s="21" t="s">
        <v>1177</v>
      </c>
      <c r="G299" s="21" t="s">
        <v>1177</v>
      </c>
      <c r="H299" s="26"/>
    </row>
    <row r="300">
      <c r="A300" s="29"/>
      <c r="B300" s="21" t="s">
        <v>1177</v>
      </c>
      <c r="C300" s="21" t="s">
        <v>1177</v>
      </c>
      <c r="D300" s="21" t="s">
        <v>1177</v>
      </c>
      <c r="E300" s="21" t="s">
        <v>1177</v>
      </c>
      <c r="F300" s="21" t="s">
        <v>1177</v>
      </c>
      <c r="G300" s="21" t="s">
        <v>1177</v>
      </c>
      <c r="H300" s="26"/>
    </row>
    <row r="301">
      <c r="A301" s="29"/>
      <c r="B301" s="21" t="s">
        <v>1177</v>
      </c>
      <c r="C301" s="21" t="s">
        <v>1177</v>
      </c>
      <c r="D301" s="21" t="s">
        <v>1177</v>
      </c>
      <c r="E301" s="21" t="s">
        <v>1177</v>
      </c>
      <c r="F301" s="21" t="s">
        <v>1177</v>
      </c>
      <c r="G301" s="21" t="s">
        <v>1177</v>
      </c>
      <c r="H301" s="26"/>
    </row>
    <row r="302">
      <c r="A302" s="24"/>
      <c r="B302" s="21" t="s">
        <v>1177</v>
      </c>
      <c r="C302" s="21" t="s">
        <v>1177</v>
      </c>
      <c r="D302" s="21" t="s">
        <v>1177</v>
      </c>
      <c r="E302" s="21" t="s">
        <v>1177</v>
      </c>
      <c r="F302" s="21" t="s">
        <v>1177</v>
      </c>
      <c r="G302" s="21" t="s">
        <v>1177</v>
      </c>
      <c r="H302" s="30"/>
      <c r="I302" s="14"/>
    </row>
    <row r="303">
      <c r="A303" s="16" t="s">
        <v>1174</v>
      </c>
      <c r="B303" s="17" t="s">
        <v>2576</v>
      </c>
      <c r="C303" s="18"/>
      <c r="D303" s="18"/>
      <c r="E303" s="18"/>
      <c r="F303" s="18"/>
      <c r="G303" s="18"/>
      <c r="H303" s="18"/>
      <c r="I303" s="16"/>
    </row>
    <row r="304" ht="60.0" customHeight="1">
      <c r="A304" s="20" t="s">
        <v>1176</v>
      </c>
      <c r="B304" s="21" t="str">
        <f t="array" ref="B304">iferror(VLOOKUP(INDIRECT(ADDRESS(ROW()+1,COLUMN(), 4)),Dex!$A$2:$C893,3,false),"")</f>
        <v/>
      </c>
      <c r="C304" s="21" t="str">
        <f t="array" ref="C304">iferror(VLOOKUP(INDIRECT(ADDRESS(ROW()+1,COLUMN(), 4)),Dex!$A$2:$C893,3,false),"")</f>
        <v/>
      </c>
      <c r="D304" s="21" t="str">
        <f t="array" ref="D304">iferror(VLOOKUP(INDIRECT(ADDRESS(ROW()+1,COLUMN(), 4)),Dex!$A$2:$C893,3,false),"")</f>
        <v/>
      </c>
      <c r="E304" s="21" t="s">
        <v>1177</v>
      </c>
      <c r="F304" s="21" t="s">
        <v>1177</v>
      </c>
      <c r="G304" s="21" t="s">
        <v>1177</v>
      </c>
      <c r="H304" s="22" t="str">
        <f t="array" ref="H304">iferror(VLOOKUP("TRAINER_PIC_FISHERMAN",Sprites!$A$1:$B893,2,false),"")</f>
        <v/>
      </c>
      <c r="I304" s="23"/>
    </row>
    <row r="305">
      <c r="A305" s="24"/>
      <c r="B305" s="25" t="s">
        <v>291</v>
      </c>
      <c r="C305" s="25" t="s">
        <v>350</v>
      </c>
      <c r="D305" s="25" t="s">
        <v>444</v>
      </c>
      <c r="E305" s="25" t="s">
        <v>1177</v>
      </c>
      <c r="F305" s="25" t="s">
        <v>1177</v>
      </c>
      <c r="G305" s="25" t="s">
        <v>1177</v>
      </c>
      <c r="H305" s="26"/>
    </row>
    <row r="306">
      <c r="A306" s="16" t="s">
        <v>1178</v>
      </c>
      <c r="B306" s="27" t="s">
        <v>2410</v>
      </c>
      <c r="C306" s="27" t="s">
        <v>2410</v>
      </c>
      <c r="D306" s="27" t="s">
        <v>2410</v>
      </c>
      <c r="E306" s="21" t="s">
        <v>1177</v>
      </c>
      <c r="F306" s="21" t="s">
        <v>1177</v>
      </c>
      <c r="G306" s="21" t="s">
        <v>1177</v>
      </c>
      <c r="H306" s="26"/>
    </row>
    <row r="307">
      <c r="A307" s="16" t="s">
        <v>1181</v>
      </c>
      <c r="B307" s="28" t="s">
        <v>1177</v>
      </c>
      <c r="C307" s="28" t="s">
        <v>1177</v>
      </c>
      <c r="D307" s="28" t="s">
        <v>1177</v>
      </c>
      <c r="E307" s="28" t="s">
        <v>1177</v>
      </c>
      <c r="F307" s="28" t="s">
        <v>1177</v>
      </c>
      <c r="G307" s="28" t="s">
        <v>1177</v>
      </c>
      <c r="H307" s="26"/>
    </row>
    <row r="308">
      <c r="A308" s="16" t="s">
        <v>1182</v>
      </c>
      <c r="B308" s="21" t="s">
        <v>1298</v>
      </c>
      <c r="C308" s="21" t="s">
        <v>1648</v>
      </c>
      <c r="D308" s="21" t="s">
        <v>1654</v>
      </c>
      <c r="E308" s="21" t="s">
        <v>1177</v>
      </c>
      <c r="F308" s="21" t="s">
        <v>1177</v>
      </c>
      <c r="G308" s="21" t="s">
        <v>1177</v>
      </c>
      <c r="H308" s="26"/>
    </row>
    <row r="309">
      <c r="A309" s="16" t="s">
        <v>1186</v>
      </c>
      <c r="B309" s="28" t="s">
        <v>1187</v>
      </c>
      <c r="C309" s="28" t="s">
        <v>1187</v>
      </c>
      <c r="D309" s="28" t="s">
        <v>1187</v>
      </c>
      <c r="E309" s="28" t="s">
        <v>1177</v>
      </c>
      <c r="F309" s="28" t="s">
        <v>1177</v>
      </c>
      <c r="G309" s="28" t="s">
        <v>1177</v>
      </c>
      <c r="H309" s="26"/>
    </row>
    <row r="310">
      <c r="A310" s="20" t="s">
        <v>1188</v>
      </c>
      <c r="B310" s="21" t="s">
        <v>1177</v>
      </c>
      <c r="C310" s="21" t="s">
        <v>1177</v>
      </c>
      <c r="D310" s="21" t="s">
        <v>1177</v>
      </c>
      <c r="E310" s="21" t="s">
        <v>1177</v>
      </c>
      <c r="F310" s="21" t="s">
        <v>1177</v>
      </c>
      <c r="G310" s="21" t="s">
        <v>1177</v>
      </c>
      <c r="H310" s="26"/>
    </row>
    <row r="311">
      <c r="A311" s="29"/>
      <c r="B311" s="21" t="s">
        <v>1177</v>
      </c>
      <c r="C311" s="21" t="s">
        <v>1177</v>
      </c>
      <c r="D311" s="21" t="s">
        <v>1177</v>
      </c>
      <c r="E311" s="21" t="s">
        <v>1177</v>
      </c>
      <c r="F311" s="21" t="s">
        <v>1177</v>
      </c>
      <c r="G311" s="21" t="s">
        <v>1177</v>
      </c>
      <c r="H311" s="26"/>
    </row>
    <row r="312">
      <c r="A312" s="29"/>
      <c r="B312" s="21" t="s">
        <v>1177</v>
      </c>
      <c r="C312" s="21" t="s">
        <v>1177</v>
      </c>
      <c r="D312" s="21" t="s">
        <v>1177</v>
      </c>
      <c r="E312" s="21" t="s">
        <v>1177</v>
      </c>
      <c r="F312" s="21" t="s">
        <v>1177</v>
      </c>
      <c r="G312" s="21" t="s">
        <v>1177</v>
      </c>
      <c r="H312" s="26"/>
    </row>
    <row r="313">
      <c r="A313" s="24"/>
      <c r="B313" s="21" t="s">
        <v>1177</v>
      </c>
      <c r="C313" s="21" t="s">
        <v>1177</v>
      </c>
      <c r="D313" s="21" t="s">
        <v>1177</v>
      </c>
      <c r="E313" s="21" t="s">
        <v>1177</v>
      </c>
      <c r="F313" s="21" t="s">
        <v>1177</v>
      </c>
      <c r="G313" s="21" t="s">
        <v>1177</v>
      </c>
      <c r="H313" s="30"/>
      <c r="I313" s="14"/>
    </row>
    <row r="314">
      <c r="A314" s="16" t="s">
        <v>1174</v>
      </c>
      <c r="B314" s="17" t="s">
        <v>2577</v>
      </c>
      <c r="C314" s="18"/>
      <c r="D314" s="18"/>
      <c r="E314" s="18"/>
      <c r="F314" s="18"/>
      <c r="G314" s="18"/>
      <c r="H314" s="18"/>
      <c r="I314" s="16"/>
    </row>
    <row r="315" ht="60.0" customHeight="1">
      <c r="A315" s="20" t="s">
        <v>1176</v>
      </c>
      <c r="B315" s="21" t="str">
        <f t="array" ref="B315">iferror(VLOOKUP(INDIRECT(ADDRESS(ROW()+1,COLUMN(), 4)),Dex!$A$2:$C893,3,false),"")</f>
        <v/>
      </c>
      <c r="C315" s="21" t="str">
        <f t="array" ref="C315">iferror(VLOOKUP(INDIRECT(ADDRESS(ROW()+1,COLUMN(), 4)),Dex!$A$2:$C893,3,false),"")</f>
        <v/>
      </c>
      <c r="D315" s="21" t="s">
        <v>1177</v>
      </c>
      <c r="E315" s="21" t="s">
        <v>1177</v>
      </c>
      <c r="F315" s="21" t="s">
        <v>1177</v>
      </c>
      <c r="G315" s="21" t="s">
        <v>1177</v>
      </c>
      <c r="H315" s="22" t="str">
        <f t="array" ref="H315">iferror(VLOOKUP("TRAINER_PIC_SWIMMING_TRIATHLETE_M",Sprites!$A$1:$B893,2,false),"")</f>
        <v/>
      </c>
      <c r="I315" s="23"/>
    </row>
    <row r="316">
      <c r="A316" s="24"/>
      <c r="B316" s="25" t="s">
        <v>867</v>
      </c>
      <c r="C316" s="25" t="s">
        <v>763</v>
      </c>
      <c r="D316" s="25" t="s">
        <v>1177</v>
      </c>
      <c r="E316" s="25" t="s">
        <v>1177</v>
      </c>
      <c r="F316" s="25" t="s">
        <v>1177</v>
      </c>
      <c r="G316" s="25" t="s">
        <v>1177</v>
      </c>
      <c r="H316" s="26"/>
    </row>
    <row r="317">
      <c r="A317" s="16" t="s">
        <v>1178</v>
      </c>
      <c r="B317" s="27" t="s">
        <v>2410</v>
      </c>
      <c r="C317" s="27" t="s">
        <v>2410</v>
      </c>
      <c r="D317" s="21" t="s">
        <v>1177</v>
      </c>
      <c r="E317" s="21" t="s">
        <v>1177</v>
      </c>
      <c r="F317" s="21" t="s">
        <v>1177</v>
      </c>
      <c r="G317" s="21" t="s">
        <v>1177</v>
      </c>
      <c r="H317" s="26"/>
    </row>
    <row r="318">
      <c r="A318" s="16" t="s">
        <v>1181</v>
      </c>
      <c r="B318" s="28" t="s">
        <v>1177</v>
      </c>
      <c r="C318" s="28" t="s">
        <v>1177</v>
      </c>
      <c r="D318" s="28" t="s">
        <v>1177</v>
      </c>
      <c r="E318" s="28" t="s">
        <v>1177</v>
      </c>
      <c r="F318" s="28" t="s">
        <v>1177</v>
      </c>
      <c r="G318" s="28" t="s">
        <v>1177</v>
      </c>
      <c r="H318" s="26"/>
    </row>
    <row r="319">
      <c r="A319" s="16" t="s">
        <v>1182</v>
      </c>
      <c r="B319" s="21" t="s">
        <v>2100</v>
      </c>
      <c r="C319" s="21" t="s">
        <v>1368</v>
      </c>
      <c r="D319" s="21" t="s">
        <v>1177</v>
      </c>
      <c r="E319" s="21" t="s">
        <v>1177</v>
      </c>
      <c r="F319" s="21" t="s">
        <v>1177</v>
      </c>
      <c r="G319" s="21" t="s">
        <v>1177</v>
      </c>
      <c r="H319" s="26"/>
    </row>
    <row r="320">
      <c r="A320" s="16" t="s">
        <v>1186</v>
      </c>
      <c r="B320" s="28" t="s">
        <v>1187</v>
      </c>
      <c r="C320" s="28" t="s">
        <v>1187</v>
      </c>
      <c r="D320" s="28" t="s">
        <v>1177</v>
      </c>
      <c r="E320" s="28" t="s">
        <v>1177</v>
      </c>
      <c r="F320" s="28" t="s">
        <v>1177</v>
      </c>
      <c r="G320" s="28" t="s">
        <v>1177</v>
      </c>
      <c r="H320" s="26"/>
    </row>
    <row r="321">
      <c r="A321" s="20" t="s">
        <v>1188</v>
      </c>
      <c r="B321" s="21" t="s">
        <v>1177</v>
      </c>
      <c r="C321" s="21" t="s">
        <v>1177</v>
      </c>
      <c r="D321" s="21" t="s">
        <v>1177</v>
      </c>
      <c r="E321" s="21" t="s">
        <v>1177</v>
      </c>
      <c r="F321" s="21" t="s">
        <v>1177</v>
      </c>
      <c r="G321" s="21" t="s">
        <v>1177</v>
      </c>
      <c r="H321" s="26"/>
    </row>
    <row r="322">
      <c r="A322" s="29"/>
      <c r="B322" s="21" t="s">
        <v>1177</v>
      </c>
      <c r="C322" s="21" t="s">
        <v>1177</v>
      </c>
      <c r="D322" s="21" t="s">
        <v>1177</v>
      </c>
      <c r="E322" s="21" t="s">
        <v>1177</v>
      </c>
      <c r="F322" s="21" t="s">
        <v>1177</v>
      </c>
      <c r="G322" s="21" t="s">
        <v>1177</v>
      </c>
      <c r="H322" s="26"/>
    </row>
    <row r="323">
      <c r="A323" s="29"/>
      <c r="B323" s="21" t="s">
        <v>1177</v>
      </c>
      <c r="C323" s="21" t="s">
        <v>1177</v>
      </c>
      <c r="D323" s="21" t="s">
        <v>1177</v>
      </c>
      <c r="E323" s="21" t="s">
        <v>1177</v>
      </c>
      <c r="F323" s="21" t="s">
        <v>1177</v>
      </c>
      <c r="G323" s="21" t="s">
        <v>1177</v>
      </c>
      <c r="H323" s="26"/>
    </row>
    <row r="324">
      <c r="A324" s="24"/>
      <c r="B324" s="21" t="s">
        <v>1177</v>
      </c>
      <c r="C324" s="21" t="s">
        <v>1177</v>
      </c>
      <c r="D324" s="21" t="s">
        <v>1177</v>
      </c>
      <c r="E324" s="21" t="s">
        <v>1177</v>
      </c>
      <c r="F324" s="21" t="s">
        <v>1177</v>
      </c>
      <c r="G324" s="21" t="s">
        <v>1177</v>
      </c>
      <c r="H324" s="30"/>
      <c r="I324" s="14"/>
    </row>
    <row r="325">
      <c r="A325" s="37"/>
      <c r="B325" s="38" t="s">
        <v>2578</v>
      </c>
      <c r="C325" s="14"/>
      <c r="D325" s="14"/>
      <c r="E325" s="14"/>
      <c r="F325" s="14"/>
      <c r="G325" s="14"/>
      <c r="H325" s="24"/>
      <c r="I325" s="33"/>
    </row>
    <row r="326">
      <c r="A326" s="16" t="s">
        <v>1174</v>
      </c>
      <c r="B326" s="17" t="s">
        <v>2579</v>
      </c>
      <c r="C326" s="18"/>
      <c r="D326" s="18"/>
      <c r="E326" s="18"/>
      <c r="F326" s="18"/>
      <c r="G326" s="18"/>
      <c r="H326" s="18"/>
      <c r="I326" s="19"/>
    </row>
    <row r="327" ht="60.0" customHeight="1">
      <c r="A327" s="20" t="s">
        <v>1176</v>
      </c>
      <c r="B327" s="21" t="str">
        <f t="array" ref="B327">iferror(VLOOKUP(INDIRECT(ADDRESS(ROW()+1,COLUMN(), 4)),Dex!$A$2:$C893,3,false),"")</f>
        <v/>
      </c>
      <c r="C327" s="21" t="str">
        <f t="array" ref="C327">iferror(VLOOKUP(INDIRECT(ADDRESS(ROW()+1,COLUMN(), 4)),Dex!$A$2:$C893,3,false),"")</f>
        <v/>
      </c>
      <c r="D327" s="21" t="str">
        <f t="array" ref="D327">iferror(VLOOKUP(INDIRECT(ADDRESS(ROW()+1,COLUMN(), 4)),Dex!$A$2:$C893,3,false),"")</f>
        <v/>
      </c>
      <c r="E327" s="21" t="str">
        <f t="array" ref="E327">iferror(VLOOKUP(INDIRECT(ADDRESS(ROW()+1,COLUMN(), 4)),Dex!$A$2:$C893,3,false),"")</f>
        <v/>
      </c>
      <c r="F327" s="21" t="str">
        <f t="array" ref="F327">iferror(VLOOKUP(INDIRECT(ADDRESS(ROW()+1,COLUMN(), 4)),Dex!$A$2:$C893,3,false),"")</f>
        <v/>
      </c>
      <c r="G327" s="21" t="str">
        <f t="array" ref="G327">iferror(VLOOKUP(INDIRECT(ADDRESS(ROW()+1,COLUMN(), 4)),Dex!$A$2:$C893,3,false),"")</f>
        <v/>
      </c>
      <c r="H327" s="22" t="str">
        <f t="array" ref="H327">iferror(VLOOKUP("TRAINER_PIC_AQUA_GRUNT_M",Sprites!$A$1:$B893,2,false),"")</f>
        <v/>
      </c>
      <c r="I327" s="23"/>
    </row>
    <row r="328">
      <c r="A328" s="24"/>
      <c r="B328" s="25" t="s">
        <v>316</v>
      </c>
      <c r="C328" s="25" t="s">
        <v>156</v>
      </c>
      <c r="D328" s="25" t="s">
        <v>548</v>
      </c>
      <c r="E328" s="25" t="s">
        <v>584</v>
      </c>
      <c r="F328" s="25" t="s">
        <v>245</v>
      </c>
      <c r="G328" s="25" t="s">
        <v>473</v>
      </c>
      <c r="H328" s="26"/>
    </row>
    <row r="329">
      <c r="A329" s="16" t="s">
        <v>1178</v>
      </c>
      <c r="B329" s="27" t="s">
        <v>2497</v>
      </c>
      <c r="C329" s="27" t="s">
        <v>2517</v>
      </c>
      <c r="D329" s="27" t="s">
        <v>2517</v>
      </c>
      <c r="E329" s="27" t="s">
        <v>2517</v>
      </c>
      <c r="F329" s="27" t="s">
        <v>2517</v>
      </c>
      <c r="G329" s="27" t="s">
        <v>2532</v>
      </c>
      <c r="H329" s="26"/>
    </row>
    <row r="330">
      <c r="A330" s="16" t="s">
        <v>1181</v>
      </c>
      <c r="B330" s="28" t="s">
        <v>1571</v>
      </c>
      <c r="C330" s="28" t="s">
        <v>1796</v>
      </c>
      <c r="D330" s="28" t="s">
        <v>1571</v>
      </c>
      <c r="E330" s="28" t="s">
        <v>1838</v>
      </c>
      <c r="F330" s="28" t="s">
        <v>1882</v>
      </c>
      <c r="G330" s="28" t="s">
        <v>1572</v>
      </c>
      <c r="H330" s="26"/>
    </row>
    <row r="331">
      <c r="A331" s="16" t="s">
        <v>1182</v>
      </c>
      <c r="B331" s="21" t="s">
        <v>1573</v>
      </c>
      <c r="C331" s="21" t="s">
        <v>1268</v>
      </c>
      <c r="D331" s="21" t="s">
        <v>1797</v>
      </c>
      <c r="E331" s="21" t="s">
        <v>1885</v>
      </c>
      <c r="F331" s="21" t="s">
        <v>1356</v>
      </c>
      <c r="G331" s="21" t="s">
        <v>1212</v>
      </c>
      <c r="H331" s="26"/>
    </row>
    <row r="332">
      <c r="A332" s="16" t="s">
        <v>1186</v>
      </c>
      <c r="B332" s="28" t="s">
        <v>1256</v>
      </c>
      <c r="C332" s="28" t="s">
        <v>1248</v>
      </c>
      <c r="D332" s="28" t="s">
        <v>1235</v>
      </c>
      <c r="E332" s="28" t="s">
        <v>1284</v>
      </c>
      <c r="F332" s="28" t="s">
        <v>1284</v>
      </c>
      <c r="G332" s="28" t="s">
        <v>1284</v>
      </c>
      <c r="H332" s="26"/>
    </row>
    <row r="333">
      <c r="A333" s="20" t="s">
        <v>1188</v>
      </c>
      <c r="B333" s="21" t="s">
        <v>2268</v>
      </c>
      <c r="C333" s="21" t="s">
        <v>1646</v>
      </c>
      <c r="D333" s="21" t="s">
        <v>1776</v>
      </c>
      <c r="E333" s="21" t="s">
        <v>1663</v>
      </c>
      <c r="F333" s="21" t="s">
        <v>2198</v>
      </c>
      <c r="G333" s="21" t="s">
        <v>1617</v>
      </c>
      <c r="H333" s="26"/>
    </row>
    <row r="334">
      <c r="A334" s="29"/>
      <c r="B334" s="21" t="s">
        <v>1987</v>
      </c>
      <c r="C334" s="21" t="s">
        <v>1830</v>
      </c>
      <c r="D334" s="21" t="s">
        <v>1577</v>
      </c>
      <c r="E334" s="21" t="s">
        <v>1723</v>
      </c>
      <c r="F334" s="21" t="s">
        <v>1619</v>
      </c>
      <c r="G334" s="21" t="s">
        <v>1468</v>
      </c>
      <c r="H334" s="26"/>
    </row>
    <row r="335">
      <c r="A335" s="29"/>
      <c r="B335" s="21" t="s">
        <v>1891</v>
      </c>
      <c r="C335" s="21" t="s">
        <v>1307</v>
      </c>
      <c r="D335" s="21" t="s">
        <v>1472</v>
      </c>
      <c r="E335" s="21" t="s">
        <v>1470</v>
      </c>
      <c r="F335" s="21" t="s">
        <v>1285</v>
      </c>
      <c r="G335" s="21" t="s">
        <v>1731</v>
      </c>
      <c r="H335" s="26"/>
    </row>
    <row r="336">
      <c r="A336" s="24"/>
      <c r="B336" s="21" t="s">
        <v>1600</v>
      </c>
      <c r="C336" s="21" t="s">
        <v>1759</v>
      </c>
      <c r="D336" s="21" t="s">
        <v>1959</v>
      </c>
      <c r="E336" s="21" t="s">
        <v>2095</v>
      </c>
      <c r="F336" s="21" t="s">
        <v>1771</v>
      </c>
      <c r="G336" s="21" t="s">
        <v>2019</v>
      </c>
      <c r="H336" s="30"/>
      <c r="I336" s="14"/>
    </row>
    <row r="337">
      <c r="A337" s="16" t="s">
        <v>1174</v>
      </c>
      <c r="B337" s="17" t="s">
        <v>2580</v>
      </c>
      <c r="C337" s="18"/>
      <c r="D337" s="18"/>
      <c r="E337" s="18"/>
      <c r="F337" s="18"/>
      <c r="G337" s="18"/>
      <c r="H337" s="18"/>
      <c r="I337" s="16"/>
    </row>
    <row r="338" ht="60.0" customHeight="1">
      <c r="A338" s="20" t="s">
        <v>1176</v>
      </c>
      <c r="B338" s="21" t="str">
        <f t="array" ref="B338">iferror(VLOOKUP(INDIRECT(ADDRESS(ROW()+1,COLUMN(), 4)),Dex!$A$2:$C893,3,false),"")</f>
        <v/>
      </c>
      <c r="C338" s="21" t="str">
        <f t="array" ref="C338">iferror(VLOOKUP(INDIRECT(ADDRESS(ROW()+1,COLUMN(), 4)),Dex!$A$2:$C893,3,false),"")</f>
        <v/>
      </c>
      <c r="D338" s="21" t="str">
        <f t="array" ref="D338">iferror(VLOOKUP(INDIRECT(ADDRESS(ROW()+1,COLUMN(), 4)),Dex!$A$2:$C893,3,false),"")</f>
        <v/>
      </c>
      <c r="E338" s="21" t="str">
        <f t="array" ref="E338">iferror(VLOOKUP(INDIRECT(ADDRESS(ROW()+1,COLUMN(), 4)),Dex!$A$2:$C893,3,false),"")</f>
        <v/>
      </c>
      <c r="F338" s="21" t="str">
        <f t="array" ref="F338">iferror(VLOOKUP(INDIRECT(ADDRESS(ROW()+1,COLUMN(), 4)),Dex!$A$2:$C893,3,false),"")</f>
        <v/>
      </c>
      <c r="G338" s="21" t="str">
        <f t="array" ref="G338">iferror(VLOOKUP(INDIRECT(ADDRESS(ROW()+1,COLUMN(), 4)),Dex!$A$2:$C893,3,false),"")</f>
        <v/>
      </c>
      <c r="H338" s="22" t="str">
        <f t="array" ref="H338">iferror(VLOOKUP("TRAINER_PIC_AQUA_GRUNT_M",Sprites!$A$1:$B893,2,false),"")</f>
        <v/>
      </c>
      <c r="I338" s="23"/>
    </row>
    <row r="339">
      <c r="A339" s="24"/>
      <c r="B339" s="25" t="s">
        <v>350</v>
      </c>
      <c r="C339" s="25" t="s">
        <v>193</v>
      </c>
      <c r="D339" s="25" t="s">
        <v>771</v>
      </c>
      <c r="E339" s="25" t="s">
        <v>136</v>
      </c>
      <c r="F339" s="25" t="s">
        <v>522</v>
      </c>
      <c r="G339" s="25" t="s">
        <v>994</v>
      </c>
      <c r="H339" s="26"/>
    </row>
    <row r="340">
      <c r="A340" s="16" t="s">
        <v>1178</v>
      </c>
      <c r="B340" s="27" t="s">
        <v>2532</v>
      </c>
      <c r="C340" s="27" t="s">
        <v>2497</v>
      </c>
      <c r="D340" s="27" t="s">
        <v>2517</v>
      </c>
      <c r="E340" s="27" t="s">
        <v>2517</v>
      </c>
      <c r="F340" s="27" t="s">
        <v>2517</v>
      </c>
      <c r="G340" s="27" t="s">
        <v>2538</v>
      </c>
      <c r="H340" s="26"/>
    </row>
    <row r="341">
      <c r="A341" s="16" t="s">
        <v>1181</v>
      </c>
      <c r="B341" s="28" t="s">
        <v>1333</v>
      </c>
      <c r="C341" s="28" t="s">
        <v>2201</v>
      </c>
      <c r="D341" s="28" t="s">
        <v>1209</v>
      </c>
      <c r="E341" s="28" t="s">
        <v>1582</v>
      </c>
      <c r="F341" s="28" t="s">
        <v>1582</v>
      </c>
      <c r="G341" s="28" t="s">
        <v>1882</v>
      </c>
      <c r="H341" s="26"/>
    </row>
    <row r="342">
      <c r="A342" s="16" t="s">
        <v>1182</v>
      </c>
      <c r="B342" s="21" t="s">
        <v>1648</v>
      </c>
      <c r="C342" s="21" t="s">
        <v>1298</v>
      </c>
      <c r="D342" s="21" t="s">
        <v>1690</v>
      </c>
      <c r="E342" s="21" t="s">
        <v>1267</v>
      </c>
      <c r="F342" s="21" t="s">
        <v>1461</v>
      </c>
      <c r="G342" s="21" t="s">
        <v>2070</v>
      </c>
      <c r="H342" s="26"/>
    </row>
    <row r="343">
      <c r="A343" s="16" t="s">
        <v>1186</v>
      </c>
      <c r="B343" s="28" t="s">
        <v>1248</v>
      </c>
      <c r="C343" s="28" t="s">
        <v>1235</v>
      </c>
      <c r="D343" s="28" t="s">
        <v>1235</v>
      </c>
      <c r="E343" s="28" t="s">
        <v>1248</v>
      </c>
      <c r="F343" s="28" t="s">
        <v>1284</v>
      </c>
      <c r="G343" s="28" t="s">
        <v>1235</v>
      </c>
      <c r="H343" s="26"/>
    </row>
    <row r="344">
      <c r="A344" s="20" t="s">
        <v>1188</v>
      </c>
      <c r="B344" s="21" t="s">
        <v>1677</v>
      </c>
      <c r="C344" s="21" t="s">
        <v>1834</v>
      </c>
      <c r="D344" s="21" t="s">
        <v>1408</v>
      </c>
      <c r="E344" s="21" t="s">
        <v>1749</v>
      </c>
      <c r="F344" s="21" t="s">
        <v>1371</v>
      </c>
      <c r="G344" s="21" t="s">
        <v>1817</v>
      </c>
      <c r="H344" s="26"/>
    </row>
    <row r="345">
      <c r="A345" s="29"/>
      <c r="B345" s="21" t="s">
        <v>1760</v>
      </c>
      <c r="C345" s="21" t="s">
        <v>1677</v>
      </c>
      <c r="D345" s="21" t="s">
        <v>1662</v>
      </c>
      <c r="E345" s="21" t="s">
        <v>1307</v>
      </c>
      <c r="F345" s="21" t="s">
        <v>1373</v>
      </c>
      <c r="G345" s="21" t="s">
        <v>1741</v>
      </c>
      <c r="H345" s="26"/>
    </row>
    <row r="346">
      <c r="A346" s="29"/>
      <c r="B346" s="21" t="s">
        <v>1923</v>
      </c>
      <c r="C346" s="21" t="s">
        <v>1330</v>
      </c>
      <c r="D346" s="21" t="s">
        <v>1817</v>
      </c>
      <c r="E346" s="21" t="s">
        <v>1830</v>
      </c>
      <c r="F346" s="21" t="s">
        <v>2021</v>
      </c>
      <c r="G346" s="21" t="s">
        <v>1236</v>
      </c>
      <c r="H346" s="26"/>
    </row>
    <row r="347">
      <c r="A347" s="24"/>
      <c r="B347" s="21" t="s">
        <v>1705</v>
      </c>
      <c r="C347" s="21" t="s">
        <v>1915</v>
      </c>
      <c r="D347" s="21" t="s">
        <v>1915</v>
      </c>
      <c r="E347" s="21" t="s">
        <v>2037</v>
      </c>
      <c r="F347" s="21" t="s">
        <v>1622</v>
      </c>
      <c r="G347" s="21" t="s">
        <v>1594</v>
      </c>
      <c r="H347" s="30"/>
      <c r="I347" s="14"/>
    </row>
    <row r="348">
      <c r="A348" s="16" t="s">
        <v>1174</v>
      </c>
      <c r="B348" s="17" t="s">
        <v>2581</v>
      </c>
      <c r="C348" s="18"/>
      <c r="D348" s="18"/>
      <c r="E348" s="18"/>
      <c r="F348" s="18"/>
      <c r="G348" s="18"/>
      <c r="H348" s="18"/>
      <c r="I348" s="19"/>
    </row>
    <row r="349" ht="60.0" customHeight="1">
      <c r="A349" s="20" t="s">
        <v>1176</v>
      </c>
      <c r="B349" s="21" t="str">
        <f t="array" ref="B349">iferror(VLOOKUP(INDIRECT(ADDRESS(ROW()+1,COLUMN(), 4)),Dex!$A$2:$C893,3,false),"")</f>
        <v/>
      </c>
      <c r="C349" s="21" t="str">
        <f t="array" ref="C349">iferror(VLOOKUP(INDIRECT(ADDRESS(ROW()+1,COLUMN(), 4)),Dex!$A$2:$C893,3,false),"")</f>
        <v/>
      </c>
      <c r="D349" s="21" t="str">
        <f t="array" ref="D349">iferror(VLOOKUP(INDIRECT(ADDRESS(ROW()+1,COLUMN(), 4)),Dex!$A$2:$C893,3,false),"")</f>
        <v/>
      </c>
      <c r="E349" s="21" t="str">
        <f t="array" ref="E349">iferror(VLOOKUP(INDIRECT(ADDRESS(ROW()+1,COLUMN(), 4)),Dex!$A$2:$C893,3,false),"")</f>
        <v/>
      </c>
      <c r="F349" s="21" t="str">
        <f t="array" ref="F349">iferror(VLOOKUP(INDIRECT(ADDRESS(ROW()+1,COLUMN(), 4)),Dex!$A$2:$C893,3,false),"")</f>
        <v/>
      </c>
      <c r="G349" s="21" t="s">
        <v>1177</v>
      </c>
      <c r="H349" s="22" t="str">
        <f t="array" ref="H349">iferror(VLOOKUP("TRAINER_PIC_AQUA_GRUNT_M",Sprites!$A$1:$B893,2,false),"")</f>
        <v/>
      </c>
      <c r="I349" s="23"/>
    </row>
    <row r="350">
      <c r="A350" s="24"/>
      <c r="B350" s="25" t="s">
        <v>138</v>
      </c>
      <c r="C350" s="25" t="s">
        <v>861</v>
      </c>
      <c r="D350" s="25" t="s">
        <v>208</v>
      </c>
      <c r="E350" s="25" t="s">
        <v>602</v>
      </c>
      <c r="F350" s="25" t="s">
        <v>444</v>
      </c>
      <c r="G350" s="25" t="s">
        <v>1177</v>
      </c>
      <c r="H350" s="26"/>
    </row>
    <row r="351">
      <c r="A351" s="16" t="s">
        <v>1178</v>
      </c>
      <c r="B351" s="27" t="s">
        <v>2532</v>
      </c>
      <c r="C351" s="27" t="s">
        <v>2517</v>
      </c>
      <c r="D351" s="27" t="s">
        <v>2517</v>
      </c>
      <c r="E351" s="27" t="s">
        <v>2517</v>
      </c>
      <c r="F351" s="27" t="s">
        <v>2532</v>
      </c>
      <c r="G351" s="21" t="s">
        <v>1177</v>
      </c>
      <c r="H351" s="26"/>
    </row>
    <row r="352">
      <c r="A352" s="16" t="s">
        <v>1181</v>
      </c>
      <c r="B352" s="28" t="s">
        <v>1582</v>
      </c>
      <c r="C352" s="28" t="s">
        <v>1838</v>
      </c>
      <c r="D352" s="28" t="s">
        <v>1246</v>
      </c>
      <c r="E352" s="28" t="s">
        <v>1582</v>
      </c>
      <c r="F352" s="28" t="s">
        <v>1882</v>
      </c>
      <c r="G352" s="28" t="s">
        <v>1177</v>
      </c>
      <c r="H352" s="26"/>
    </row>
    <row r="353">
      <c r="A353" s="16" t="s">
        <v>1182</v>
      </c>
      <c r="B353" s="21" t="s">
        <v>1445</v>
      </c>
      <c r="C353" s="21" t="s">
        <v>1950</v>
      </c>
      <c r="D353" s="21" t="s">
        <v>1211</v>
      </c>
      <c r="E353" s="21" t="s">
        <v>1393</v>
      </c>
      <c r="F353" s="21" t="s">
        <v>2082</v>
      </c>
      <c r="G353" s="21" t="s">
        <v>1177</v>
      </c>
      <c r="H353" s="26"/>
    </row>
    <row r="354">
      <c r="A354" s="16" t="s">
        <v>1186</v>
      </c>
      <c r="B354" s="28" t="s">
        <v>1383</v>
      </c>
      <c r="C354" s="28" t="s">
        <v>1406</v>
      </c>
      <c r="D354" s="28" t="s">
        <v>1235</v>
      </c>
      <c r="E354" s="28" t="s">
        <v>1284</v>
      </c>
      <c r="F354" s="28" t="s">
        <v>1235</v>
      </c>
      <c r="G354" s="28" t="s">
        <v>1177</v>
      </c>
      <c r="H354" s="26"/>
    </row>
    <row r="355">
      <c r="A355" s="20" t="s">
        <v>1188</v>
      </c>
      <c r="B355" s="21" t="s">
        <v>1251</v>
      </c>
      <c r="C355" s="21" t="s">
        <v>1577</v>
      </c>
      <c r="D355" s="21" t="s">
        <v>1678</v>
      </c>
      <c r="E355" s="21" t="s">
        <v>1835</v>
      </c>
      <c r="F355" s="21" t="s">
        <v>1943</v>
      </c>
      <c r="G355" s="21" t="s">
        <v>1177</v>
      </c>
      <c r="H355" s="26"/>
    </row>
    <row r="356">
      <c r="A356" s="29"/>
      <c r="B356" s="21" t="s">
        <v>1830</v>
      </c>
      <c r="C356" s="21" t="s">
        <v>1714</v>
      </c>
      <c r="D356" s="21" t="s">
        <v>1415</v>
      </c>
      <c r="E356" s="21" t="s">
        <v>1395</v>
      </c>
      <c r="F356" s="21" t="s">
        <v>1307</v>
      </c>
      <c r="G356" s="21" t="s">
        <v>1177</v>
      </c>
      <c r="H356" s="26"/>
    </row>
    <row r="357">
      <c r="A357" s="29"/>
      <c r="B357" s="21" t="s">
        <v>1854</v>
      </c>
      <c r="C357" s="21" t="s">
        <v>1472</v>
      </c>
      <c r="D357" s="21" t="s">
        <v>1817</v>
      </c>
      <c r="E357" s="21" t="s">
        <v>1771</v>
      </c>
      <c r="F357" s="21" t="s">
        <v>1236</v>
      </c>
      <c r="G357" s="21" t="s">
        <v>1177</v>
      </c>
      <c r="H357" s="26"/>
    </row>
    <row r="358">
      <c r="A358" s="24"/>
      <c r="B358" s="21" t="s">
        <v>2019</v>
      </c>
      <c r="C358" s="21" t="s">
        <v>1432</v>
      </c>
      <c r="D358" s="21" t="s">
        <v>1336</v>
      </c>
      <c r="E358" s="21" t="s">
        <v>1780</v>
      </c>
      <c r="F358" s="21" t="s">
        <v>1641</v>
      </c>
      <c r="G358" s="21" t="s">
        <v>1177</v>
      </c>
      <c r="H358" s="30"/>
      <c r="I358" s="14"/>
    </row>
    <row r="359">
      <c r="A359" s="16" t="s">
        <v>1174</v>
      </c>
      <c r="B359" s="17" t="s">
        <v>2582</v>
      </c>
      <c r="C359" s="18"/>
      <c r="D359" s="18"/>
      <c r="E359" s="18"/>
      <c r="F359" s="18"/>
      <c r="G359" s="18"/>
      <c r="H359" s="18"/>
      <c r="I359" s="16"/>
    </row>
    <row r="360" ht="60.0" customHeight="1">
      <c r="A360" s="20" t="s">
        <v>1176</v>
      </c>
      <c r="B360" s="21" t="str">
        <f t="array" ref="B360">iferror(VLOOKUP(INDIRECT(ADDRESS(ROW()+1,COLUMN(), 4)),Dex!$A$2:$C893,3,false),"")</f>
        <v/>
      </c>
      <c r="C360" s="21" t="str">
        <f t="array" ref="C360">iferror(VLOOKUP(INDIRECT(ADDRESS(ROW()+1,COLUMN(), 4)),Dex!$A$2:$C893,3,false),"")</f>
        <v/>
      </c>
      <c r="D360" s="21" t="str">
        <f t="array" ref="D360">iferror(VLOOKUP(INDIRECT(ADDRESS(ROW()+1,COLUMN(), 4)),Dex!$A$2:$C893,3,false),"")</f>
        <v/>
      </c>
      <c r="E360" s="21" t="str">
        <f t="array" ref="E360">iferror(VLOOKUP(INDIRECT(ADDRESS(ROW()+1,COLUMN(), 4)),Dex!$A$2:$C893,3,false),"")</f>
        <v/>
      </c>
      <c r="F360" s="21" t="s">
        <v>1177</v>
      </c>
      <c r="G360" s="21" t="s">
        <v>1177</v>
      </c>
      <c r="H360" s="22" t="str">
        <f t="array" ref="H360">iferror(VLOOKUP("TRAINER_PIC_AQUA_GRUNT_F",Sprites!$A$1:$B893,2,false),"")</f>
        <v/>
      </c>
      <c r="I360" s="23"/>
    </row>
    <row r="361">
      <c r="A361" s="24"/>
      <c r="B361" s="25" t="s">
        <v>697</v>
      </c>
      <c r="C361" s="25" t="s">
        <v>1067</v>
      </c>
      <c r="D361" s="25" t="s">
        <v>996</v>
      </c>
      <c r="E361" s="25" t="s">
        <v>472</v>
      </c>
      <c r="F361" s="25" t="s">
        <v>1177</v>
      </c>
      <c r="G361" s="25" t="s">
        <v>1177</v>
      </c>
      <c r="H361" s="26"/>
    </row>
    <row r="362">
      <c r="A362" s="16" t="s">
        <v>1178</v>
      </c>
      <c r="B362" s="27" t="s">
        <v>2532</v>
      </c>
      <c r="C362" s="27" t="s">
        <v>2517</v>
      </c>
      <c r="D362" s="27" t="s">
        <v>2532</v>
      </c>
      <c r="E362" s="27" t="s">
        <v>2532</v>
      </c>
      <c r="F362" s="21" t="s">
        <v>1177</v>
      </c>
      <c r="G362" s="21" t="s">
        <v>1177</v>
      </c>
      <c r="H362" s="26"/>
    </row>
    <row r="363">
      <c r="A363" s="16" t="s">
        <v>1181</v>
      </c>
      <c r="B363" s="28" t="s">
        <v>1209</v>
      </c>
      <c r="C363" s="28" t="s">
        <v>1295</v>
      </c>
      <c r="D363" s="28" t="s">
        <v>1796</v>
      </c>
      <c r="E363" s="28" t="s">
        <v>1572</v>
      </c>
      <c r="F363" s="28" t="s">
        <v>1177</v>
      </c>
      <c r="G363" s="28" t="s">
        <v>1177</v>
      </c>
      <c r="H363" s="26"/>
    </row>
    <row r="364">
      <c r="A364" s="16" t="s">
        <v>1182</v>
      </c>
      <c r="B364" s="21" t="s">
        <v>1233</v>
      </c>
      <c r="C364" s="21" t="s">
        <v>1681</v>
      </c>
      <c r="D364" s="21" t="s">
        <v>1964</v>
      </c>
      <c r="E364" s="21" t="s">
        <v>1614</v>
      </c>
      <c r="F364" s="21" t="s">
        <v>1177</v>
      </c>
      <c r="G364" s="21" t="s">
        <v>1177</v>
      </c>
      <c r="H364" s="26"/>
    </row>
    <row r="365">
      <c r="A365" s="16" t="s">
        <v>1186</v>
      </c>
      <c r="B365" s="28" t="s">
        <v>1235</v>
      </c>
      <c r="C365" s="28" t="s">
        <v>1235</v>
      </c>
      <c r="D365" s="28" t="s">
        <v>1248</v>
      </c>
      <c r="E365" s="28" t="s">
        <v>1235</v>
      </c>
      <c r="F365" s="28" t="s">
        <v>1177</v>
      </c>
      <c r="G365" s="28" t="s">
        <v>1177</v>
      </c>
      <c r="H365" s="26"/>
    </row>
    <row r="366">
      <c r="A366" s="20" t="s">
        <v>1188</v>
      </c>
      <c r="B366" s="21" t="s">
        <v>1777</v>
      </c>
      <c r="C366" s="21" t="s">
        <v>1760</v>
      </c>
      <c r="D366" s="21" t="s">
        <v>1983</v>
      </c>
      <c r="E366" s="21" t="s">
        <v>1760</v>
      </c>
      <c r="F366" s="21" t="s">
        <v>1177</v>
      </c>
      <c r="G366" s="21" t="s">
        <v>1177</v>
      </c>
      <c r="H366" s="26"/>
    </row>
    <row r="367">
      <c r="A367" s="29"/>
      <c r="B367" s="21" t="s">
        <v>1817</v>
      </c>
      <c r="C367" s="21" t="s">
        <v>1678</v>
      </c>
      <c r="D367" s="21" t="s">
        <v>2192</v>
      </c>
      <c r="E367" s="21" t="s">
        <v>1594</v>
      </c>
      <c r="F367" s="21" t="s">
        <v>1177</v>
      </c>
      <c r="G367" s="21" t="s">
        <v>1177</v>
      </c>
      <c r="H367" s="26"/>
    </row>
    <row r="368">
      <c r="A368" s="29"/>
      <c r="B368" s="21" t="s">
        <v>1856</v>
      </c>
      <c r="C368" s="21" t="s">
        <v>2583</v>
      </c>
      <c r="D368" s="21" t="s">
        <v>2444</v>
      </c>
      <c r="E368" s="21" t="s">
        <v>1330</v>
      </c>
      <c r="F368" s="21" t="s">
        <v>1177</v>
      </c>
      <c r="G368" s="21" t="s">
        <v>1177</v>
      </c>
      <c r="H368" s="26"/>
    </row>
    <row r="369">
      <c r="A369" s="24"/>
      <c r="B369" s="21" t="s">
        <v>1641</v>
      </c>
      <c r="C369" s="21" t="s">
        <v>1705</v>
      </c>
      <c r="D369" s="21" t="s">
        <v>1217</v>
      </c>
      <c r="E369" s="21" t="s">
        <v>2019</v>
      </c>
      <c r="F369" s="21" t="s">
        <v>1177</v>
      </c>
      <c r="G369" s="21" t="s">
        <v>1177</v>
      </c>
      <c r="H369" s="30"/>
      <c r="I369" s="14"/>
    </row>
    <row r="370">
      <c r="A370" s="16" t="s">
        <v>1174</v>
      </c>
      <c r="B370" s="17" t="s">
        <v>2584</v>
      </c>
      <c r="C370" s="18"/>
      <c r="D370" s="18"/>
      <c r="E370" s="18"/>
      <c r="F370" s="18"/>
      <c r="G370" s="18"/>
      <c r="H370" s="18"/>
      <c r="I370" s="16"/>
    </row>
    <row r="371" ht="60.0" customHeight="1">
      <c r="A371" s="20" t="s">
        <v>1176</v>
      </c>
      <c r="B371" s="39" t="str">
        <f t="array" ref="B371">iferror(VLOOKUP(INDIRECT(ADDRESS(ROW()+1,COLUMN(), 4)),Dex!$A$2:$C893,3,false),"")</f>
        <v/>
      </c>
      <c r="C371" s="21" t="str">
        <f t="array" ref="C371">iferror(VLOOKUP(INDIRECT(ADDRESS(ROW()+1,COLUMN(), 4)),Dex!$A$2:$C893,3,false),"")</f>
        <v/>
      </c>
      <c r="D371" s="21" t="str">
        <f t="array" ref="D371">iferror(VLOOKUP(INDIRECT(ADDRESS(ROW()+1,COLUMN(), 4)),Dex!$A$2:$C893,3,false),"")</f>
        <v/>
      </c>
      <c r="E371" s="21" t="str">
        <f t="array" ref="E371">iferror(VLOOKUP(INDIRECT(ADDRESS(ROW()+1,COLUMN(), 4)),Dex!$A$2:$C893,3,false),"")</f>
        <v/>
      </c>
      <c r="F371" s="21" t="str">
        <f t="array" ref="F371">iferror(VLOOKUP(INDIRECT(ADDRESS(ROW()+1,COLUMN(), 4)),Dex!$A$2:$C893,3,false),"")</f>
        <v/>
      </c>
      <c r="G371" s="21" t="str">
        <f t="array" ref="G371">iferror(VLOOKUP(INDIRECT(ADDRESS(ROW()+1,COLUMN(), 4)),Dex!$A$2:$C893,3,false),"")</f>
        <v/>
      </c>
      <c r="H371" s="22" t="str">
        <f t="array" ref="H371">iferror(VLOOKUP("TRAINER_PIC_AQUA_GRUNT_M",Sprites!$A$1:$B893,2,false),"")</f>
        <v/>
      </c>
      <c r="I371" s="23"/>
    </row>
    <row r="372">
      <c r="A372" s="24"/>
      <c r="B372" s="25" t="s">
        <v>757</v>
      </c>
      <c r="C372" s="25" t="s">
        <v>418</v>
      </c>
      <c r="D372" s="25" t="s">
        <v>482</v>
      </c>
      <c r="E372" s="25" t="s">
        <v>730</v>
      </c>
      <c r="F372" s="25" t="s">
        <v>478</v>
      </c>
      <c r="G372" s="25" t="s">
        <v>575</v>
      </c>
      <c r="H372" s="26"/>
    </row>
    <row r="373">
      <c r="A373" s="16" t="s">
        <v>1178</v>
      </c>
      <c r="B373" s="27" t="s">
        <v>2532</v>
      </c>
      <c r="C373" s="27" t="s">
        <v>2538</v>
      </c>
      <c r="D373" s="27" t="s">
        <v>2532</v>
      </c>
      <c r="E373" s="27" t="s">
        <v>2532</v>
      </c>
      <c r="F373" s="27" t="s">
        <v>2532</v>
      </c>
      <c r="G373" s="27" t="s">
        <v>2532</v>
      </c>
      <c r="H373" s="26"/>
    </row>
    <row r="374">
      <c r="A374" s="16" t="s">
        <v>1181</v>
      </c>
      <c r="B374" s="28" t="s">
        <v>1796</v>
      </c>
      <c r="C374" s="28" t="s">
        <v>1582</v>
      </c>
      <c r="D374" s="28" t="s">
        <v>1701</v>
      </c>
      <c r="E374" s="28" t="s">
        <v>1209</v>
      </c>
      <c r="F374" s="28" t="s">
        <v>1882</v>
      </c>
      <c r="G374" s="28" t="s">
        <v>1247</v>
      </c>
      <c r="H374" s="26"/>
    </row>
    <row r="375">
      <c r="A375" s="16" t="s">
        <v>1182</v>
      </c>
      <c r="B375" s="21" t="s">
        <v>1946</v>
      </c>
      <c r="C375" s="21" t="s">
        <v>1233</v>
      </c>
      <c r="D375" s="21" t="s">
        <v>1783</v>
      </c>
      <c r="E375" s="21" t="s">
        <v>1906</v>
      </c>
      <c r="F375" s="21" t="s">
        <v>1298</v>
      </c>
      <c r="G375" s="21" t="s">
        <v>1931</v>
      </c>
      <c r="H375" s="26"/>
    </row>
    <row r="376">
      <c r="A376" s="16" t="s">
        <v>1186</v>
      </c>
      <c r="B376" s="28" t="s">
        <v>1754</v>
      </c>
      <c r="C376" s="28" t="s">
        <v>1334</v>
      </c>
      <c r="D376" s="28" t="s">
        <v>1406</v>
      </c>
      <c r="E376" s="28" t="s">
        <v>1284</v>
      </c>
      <c r="F376" s="28" t="s">
        <v>1269</v>
      </c>
      <c r="G376" s="28" t="s">
        <v>1284</v>
      </c>
      <c r="H376" s="26"/>
    </row>
    <row r="377">
      <c r="A377" s="20" t="s">
        <v>1188</v>
      </c>
      <c r="B377" s="21" t="s">
        <v>2110</v>
      </c>
      <c r="C377" s="21" t="s">
        <v>1251</v>
      </c>
      <c r="D377" s="21" t="s">
        <v>2317</v>
      </c>
      <c r="E377" s="21" t="s">
        <v>1908</v>
      </c>
      <c r="F377" s="21" t="s">
        <v>2268</v>
      </c>
      <c r="G377" s="21" t="s">
        <v>1373</v>
      </c>
      <c r="H377" s="26"/>
    </row>
    <row r="378">
      <c r="A378" s="29"/>
      <c r="B378" s="21" t="s">
        <v>1830</v>
      </c>
      <c r="C378" s="21" t="s">
        <v>1890</v>
      </c>
      <c r="D378" s="21" t="s">
        <v>1677</v>
      </c>
      <c r="E378" s="21" t="s">
        <v>1739</v>
      </c>
      <c r="F378" s="21" t="s">
        <v>1415</v>
      </c>
      <c r="G378" s="21" t="s">
        <v>1992</v>
      </c>
      <c r="H378" s="26"/>
    </row>
    <row r="379">
      <c r="A379" s="29"/>
      <c r="B379" s="21" t="s">
        <v>2026</v>
      </c>
      <c r="C379" s="21" t="s">
        <v>1741</v>
      </c>
      <c r="D379" s="21" t="s">
        <v>1425</v>
      </c>
      <c r="E379" s="21" t="s">
        <v>1786</v>
      </c>
      <c r="F379" s="21" t="s">
        <v>1677</v>
      </c>
      <c r="G379" s="21" t="s">
        <v>1890</v>
      </c>
      <c r="H379" s="26"/>
    </row>
    <row r="380">
      <c r="A380" s="24"/>
      <c r="B380" s="21" t="s">
        <v>1705</v>
      </c>
      <c r="C380" s="21" t="s">
        <v>1389</v>
      </c>
      <c r="D380" s="21" t="s">
        <v>1891</v>
      </c>
      <c r="E380" s="21" t="s">
        <v>1771</v>
      </c>
      <c r="F380" s="21" t="s">
        <v>1915</v>
      </c>
      <c r="G380" s="21" t="s">
        <v>1771</v>
      </c>
      <c r="H380" s="30"/>
      <c r="I380" s="14"/>
    </row>
    <row r="381">
      <c r="A381" s="16" t="s">
        <v>1174</v>
      </c>
      <c r="B381" s="17" t="s">
        <v>2585</v>
      </c>
      <c r="C381" s="18"/>
      <c r="D381" s="18"/>
      <c r="E381" s="18"/>
      <c r="F381" s="18"/>
      <c r="G381" s="18"/>
      <c r="H381" s="18"/>
      <c r="I381" s="16"/>
    </row>
    <row r="382" ht="60.0" customHeight="1">
      <c r="A382" s="20" t="s">
        <v>1176</v>
      </c>
      <c r="B382" s="21" t="str">
        <f t="array" ref="B382">iferror(VLOOKUP(INDIRECT(ADDRESS(ROW()+1,COLUMN(), 4)),Dex!$A$2:$C893,3,false),"")</f>
        <v/>
      </c>
      <c r="C382" s="21" t="str">
        <f t="array" ref="C382">iferror(VLOOKUP(INDIRECT(ADDRESS(ROW()+1,COLUMN(), 4)),Dex!$A$2:$C893,3,false),"")</f>
        <v/>
      </c>
      <c r="D382" s="21" t="str">
        <f t="array" ref="D382">iferror(VLOOKUP(INDIRECT(ADDRESS(ROW()+1,COLUMN(), 4)),Dex!$A$2:$C893,3,false),"")</f>
        <v/>
      </c>
      <c r="E382" s="21" t="str">
        <f t="array" ref="E382">iferror(VLOOKUP(INDIRECT(ADDRESS(ROW()+1,COLUMN(), 4)),Dex!$A$2:$C893,3,false),"")</f>
        <v/>
      </c>
      <c r="F382" s="21" t="str">
        <f t="array" ref="F382">iferror(VLOOKUP(INDIRECT(ADDRESS(ROW()+1,COLUMN(), 4)),Dex!$A$2:$C893,3,false),"")</f>
        <v/>
      </c>
      <c r="G382" s="21" t="str">
        <f t="array" ref="G382">iferror(VLOOKUP(INDIRECT(ADDRESS(ROW()+1,COLUMN(), 4)),Dex!$A$2:$C893,3,false),"")</f>
        <v/>
      </c>
      <c r="H382" s="22" t="str">
        <f t="array" ref="H382">iferror(VLOOKUP("TRAINER_PIC_AQUA_ADMIN_F",Sprites!$A$1:$B893,2,false),"")</f>
        <v/>
      </c>
      <c r="I382" s="23"/>
    </row>
    <row r="383">
      <c r="A383" s="24"/>
      <c r="B383" s="25" t="s">
        <v>1009</v>
      </c>
      <c r="C383" s="25" t="s">
        <v>875</v>
      </c>
      <c r="D383" s="25" t="s">
        <v>141</v>
      </c>
      <c r="E383" s="25" t="s">
        <v>710</v>
      </c>
      <c r="F383" s="25" t="s">
        <v>813</v>
      </c>
      <c r="G383" s="25" t="s">
        <v>122</v>
      </c>
      <c r="H383" s="26"/>
    </row>
    <row r="384">
      <c r="A384" s="16" t="s">
        <v>1178</v>
      </c>
      <c r="B384" s="27" t="s">
        <v>2539</v>
      </c>
      <c r="C384" s="27" t="s">
        <v>2538</v>
      </c>
      <c r="D384" s="27" t="s">
        <v>2538</v>
      </c>
      <c r="E384" s="27" t="s">
        <v>2538</v>
      </c>
      <c r="F384" s="27" t="s">
        <v>2539</v>
      </c>
      <c r="G384" s="27" t="s">
        <v>2265</v>
      </c>
      <c r="H384" s="26"/>
    </row>
    <row r="385">
      <c r="A385" s="16" t="s">
        <v>1181</v>
      </c>
      <c r="B385" s="28" t="s">
        <v>1295</v>
      </c>
      <c r="C385" s="28" t="s">
        <v>2449</v>
      </c>
      <c r="D385" s="28" t="s">
        <v>1247</v>
      </c>
      <c r="E385" s="28" t="s">
        <v>1246</v>
      </c>
      <c r="F385" s="28" t="s">
        <v>1295</v>
      </c>
      <c r="G385" s="28" t="s">
        <v>2586</v>
      </c>
      <c r="H385" s="26"/>
    </row>
    <row r="386">
      <c r="A386" s="16" t="s">
        <v>1182</v>
      </c>
      <c r="B386" s="21" t="s">
        <v>2450</v>
      </c>
      <c r="C386" s="21" t="s">
        <v>1222</v>
      </c>
      <c r="D386" s="21" t="s">
        <v>1368</v>
      </c>
      <c r="E386" s="21" t="s">
        <v>2587</v>
      </c>
      <c r="F386" s="21" t="s">
        <v>1798</v>
      </c>
      <c r="G386" s="21" t="s">
        <v>1231</v>
      </c>
      <c r="H386" s="26"/>
    </row>
    <row r="387">
      <c r="A387" s="16" t="s">
        <v>1186</v>
      </c>
      <c r="B387" s="28" t="s">
        <v>1284</v>
      </c>
      <c r="C387" s="28" t="s">
        <v>1248</v>
      </c>
      <c r="D387" s="28" t="s">
        <v>1284</v>
      </c>
      <c r="E387" s="28" t="s">
        <v>1235</v>
      </c>
      <c r="F387" s="28" t="s">
        <v>1284</v>
      </c>
      <c r="G387" s="28" t="s">
        <v>1394</v>
      </c>
      <c r="H387" s="26"/>
    </row>
    <row r="388">
      <c r="A388" s="20" t="s">
        <v>1188</v>
      </c>
      <c r="B388" s="21" t="s">
        <v>1617</v>
      </c>
      <c r="C388" s="21" t="s">
        <v>1874</v>
      </c>
      <c r="D388" s="21" t="s">
        <v>2198</v>
      </c>
      <c r="E388" s="21" t="s">
        <v>2068</v>
      </c>
      <c r="F388" s="21" t="s">
        <v>1468</v>
      </c>
      <c r="G388" s="21" t="s">
        <v>1731</v>
      </c>
      <c r="H388" s="26"/>
    </row>
    <row r="389">
      <c r="A389" s="29"/>
      <c r="B389" s="21" t="s">
        <v>1815</v>
      </c>
      <c r="C389" s="21" t="s">
        <v>1238</v>
      </c>
      <c r="D389" s="21" t="s">
        <v>1742</v>
      </c>
      <c r="E389" s="21" t="s">
        <v>1886</v>
      </c>
      <c r="F389" s="21" t="s">
        <v>1835</v>
      </c>
      <c r="G389" s="21" t="s">
        <v>1617</v>
      </c>
      <c r="H389" s="26"/>
    </row>
    <row r="390">
      <c r="A390" s="29"/>
      <c r="B390" s="21" t="s">
        <v>2525</v>
      </c>
      <c r="C390" s="21" t="s">
        <v>1678</v>
      </c>
      <c r="D390" s="21" t="s">
        <v>1924</v>
      </c>
      <c r="E390" s="21" t="s">
        <v>1177</v>
      </c>
      <c r="F390" s="21" t="s">
        <v>1618</v>
      </c>
      <c r="G390" s="21" t="s">
        <v>1698</v>
      </c>
      <c r="H390" s="26"/>
    </row>
    <row r="391">
      <c r="A391" s="24"/>
      <c r="B391" s="21" t="s">
        <v>2543</v>
      </c>
      <c r="C391" s="21" t="s">
        <v>1641</v>
      </c>
      <c r="D391" s="21" t="s">
        <v>2588</v>
      </c>
      <c r="E391" s="21" t="s">
        <v>1177</v>
      </c>
      <c r="F391" s="21" t="s">
        <v>1377</v>
      </c>
      <c r="G391" s="21" t="s">
        <v>1806</v>
      </c>
      <c r="H391" s="30"/>
      <c r="I391" s="14"/>
    </row>
    <row r="392">
      <c r="A392" s="16" t="s">
        <v>1174</v>
      </c>
      <c r="B392" s="17" t="s">
        <v>2589</v>
      </c>
      <c r="C392" s="18"/>
      <c r="D392" s="18"/>
      <c r="E392" s="18"/>
      <c r="F392" s="18"/>
      <c r="G392" s="18"/>
      <c r="H392" s="18"/>
      <c r="I392" s="42"/>
    </row>
    <row r="393" ht="60.0" customHeight="1">
      <c r="A393" s="20" t="s">
        <v>1176</v>
      </c>
      <c r="B393" s="21" t="str">
        <f t="array" ref="B393">iferror(VLOOKUP(INDIRECT(ADDRESS(ROW()+1,COLUMN(), 4)),Dex!$A$2:$C893,3,false),"")</f>
        <v/>
      </c>
      <c r="C393" s="21" t="str">
        <f t="array" ref="C393">iferror(VLOOKUP(INDIRECT(ADDRESS(ROW()+1,COLUMN(), 4)),Dex!$A$2:$C893,3,false),"")</f>
        <v/>
      </c>
      <c r="D393" s="21" t="str">
        <f t="array" ref="D393">iferror(VLOOKUP(INDIRECT(ADDRESS(ROW()+1,COLUMN(), 4)),Dex!$A$2:$C893,3,false),"")</f>
        <v/>
      </c>
      <c r="E393" s="21" t="str">
        <f t="array" ref="E393">iferror(VLOOKUP(INDIRECT(ADDRESS(ROW()+1,COLUMN(), 4)),Dex!$A$2:$C893,3,false),"")</f>
        <v/>
      </c>
      <c r="F393" s="21" t="str">
        <f t="array" ref="F393">iferror(VLOOKUP(INDIRECT(ADDRESS(ROW()+1,COLUMN(), 4)),Dex!$A$2:$C893,3,false),"")</f>
        <v/>
      </c>
      <c r="G393" s="21" t="str">
        <f t="array" ref="G393">iferror(VLOOKUP(INDIRECT(ADDRESS(ROW()+1,COLUMN(), 4)),Dex!$A$2:$C893,3,false),"")</f>
        <v/>
      </c>
      <c r="H393" s="22" t="str">
        <f t="array" ref="H393">iferror(VLOOKUP("TRAINER_PIC_AQUA_LEADER_ARCHIE",Sprites!$A$1:$B893,2,false),"")</f>
        <v/>
      </c>
      <c r="I393" s="23"/>
    </row>
    <row r="394">
      <c r="A394" s="24"/>
      <c r="B394" s="25" t="s">
        <v>491</v>
      </c>
      <c r="C394" s="25" t="s">
        <v>1169</v>
      </c>
      <c r="D394" s="25" t="s">
        <v>647</v>
      </c>
      <c r="E394" s="25" t="s">
        <v>854</v>
      </c>
      <c r="F394" s="25" t="s">
        <v>214</v>
      </c>
      <c r="G394" s="25" t="s">
        <v>351</v>
      </c>
      <c r="H394" s="26"/>
    </row>
    <row r="395">
      <c r="A395" s="16" t="s">
        <v>1178</v>
      </c>
      <c r="B395" s="27" t="s">
        <v>2265</v>
      </c>
      <c r="C395" s="27" t="s">
        <v>2539</v>
      </c>
      <c r="D395" s="27" t="s">
        <v>2539</v>
      </c>
      <c r="E395" s="27" t="s">
        <v>2539</v>
      </c>
      <c r="F395" s="27" t="s">
        <v>2265</v>
      </c>
      <c r="G395" s="27" t="s">
        <v>2265</v>
      </c>
      <c r="H395" s="26"/>
    </row>
    <row r="396">
      <c r="A396" s="16" t="s">
        <v>1181</v>
      </c>
      <c r="B396" s="28" t="s">
        <v>1703</v>
      </c>
      <c r="C396" s="28" t="s">
        <v>1882</v>
      </c>
      <c r="D396" s="28" t="s">
        <v>1295</v>
      </c>
      <c r="E396" s="28" t="s">
        <v>1701</v>
      </c>
      <c r="F396" s="28" t="s">
        <v>1457</v>
      </c>
      <c r="G396" s="28" t="s">
        <v>2319</v>
      </c>
      <c r="H396" s="26"/>
    </row>
    <row r="397">
      <c r="A397" s="16" t="s">
        <v>1182</v>
      </c>
      <c r="B397" s="21" t="s">
        <v>2097</v>
      </c>
      <c r="C397" s="21" t="s">
        <v>1212</v>
      </c>
      <c r="D397" s="21" t="s">
        <v>1950</v>
      </c>
      <c r="E397" s="21" t="s">
        <v>2590</v>
      </c>
      <c r="F397" s="21" t="s">
        <v>1357</v>
      </c>
      <c r="G397" s="21" t="s">
        <v>1212</v>
      </c>
      <c r="H397" s="26"/>
    </row>
    <row r="398">
      <c r="A398" s="16" t="s">
        <v>1186</v>
      </c>
      <c r="B398" s="28" t="s">
        <v>1249</v>
      </c>
      <c r="C398" s="28" t="s">
        <v>1248</v>
      </c>
      <c r="D398" s="28" t="s">
        <v>1284</v>
      </c>
      <c r="E398" s="28" t="s">
        <v>1284</v>
      </c>
      <c r="F398" s="28" t="s">
        <v>1284</v>
      </c>
      <c r="G398" s="28" t="s">
        <v>1235</v>
      </c>
      <c r="H398" s="26"/>
    </row>
    <row r="399">
      <c r="A399" s="20" t="s">
        <v>1188</v>
      </c>
      <c r="B399" s="21" t="s">
        <v>2591</v>
      </c>
      <c r="C399" s="21" t="s">
        <v>1814</v>
      </c>
      <c r="D399" s="21" t="s">
        <v>1823</v>
      </c>
      <c r="E399" s="21" t="s">
        <v>1723</v>
      </c>
      <c r="F399" s="21" t="s">
        <v>1822</v>
      </c>
      <c r="G399" s="21" t="s">
        <v>1677</v>
      </c>
      <c r="H399" s="26"/>
    </row>
    <row r="400">
      <c r="A400" s="29"/>
      <c r="B400" s="21" t="s">
        <v>1760</v>
      </c>
      <c r="C400" s="21" t="s">
        <v>1967</v>
      </c>
      <c r="D400" s="21" t="s">
        <v>1725</v>
      </c>
      <c r="E400" s="21" t="s">
        <v>1742</v>
      </c>
      <c r="F400" s="21" t="s">
        <v>1663</v>
      </c>
      <c r="G400" s="21" t="s">
        <v>1760</v>
      </c>
      <c r="H400" s="26"/>
    </row>
    <row r="401">
      <c r="A401" s="29"/>
      <c r="B401" s="21" t="s">
        <v>1663</v>
      </c>
      <c r="C401" s="21" t="s">
        <v>1834</v>
      </c>
      <c r="D401" s="21" t="s">
        <v>1275</v>
      </c>
      <c r="E401" s="21" t="s">
        <v>1787</v>
      </c>
      <c r="F401" s="21" t="s">
        <v>2022</v>
      </c>
      <c r="G401" s="21" t="s">
        <v>1323</v>
      </c>
      <c r="H401" s="26"/>
    </row>
    <row r="402">
      <c r="A402" s="24"/>
      <c r="B402" s="21" t="s">
        <v>1468</v>
      </c>
      <c r="C402" s="21" t="s">
        <v>1641</v>
      </c>
      <c r="D402" s="21" t="s">
        <v>1959</v>
      </c>
      <c r="E402" s="21" t="s">
        <v>2592</v>
      </c>
      <c r="F402" s="21" t="s">
        <v>1377</v>
      </c>
      <c r="G402" s="21" t="s">
        <v>1422</v>
      </c>
      <c r="H402" s="30"/>
      <c r="I402" s="14"/>
    </row>
    <row r="403">
      <c r="A403" s="37"/>
      <c r="B403" s="38" t="s">
        <v>2593</v>
      </c>
      <c r="C403" s="14"/>
      <c r="D403" s="14"/>
      <c r="E403" s="14"/>
      <c r="F403" s="14"/>
      <c r="G403" s="14"/>
      <c r="H403" s="24"/>
      <c r="I403" s="33"/>
    </row>
    <row r="404">
      <c r="A404" s="16" t="s">
        <v>1174</v>
      </c>
      <c r="B404" s="17" t="s">
        <v>2594</v>
      </c>
      <c r="C404" s="18"/>
      <c r="D404" s="18"/>
      <c r="E404" s="18"/>
      <c r="F404" s="18"/>
      <c r="G404" s="18"/>
      <c r="H404" s="18"/>
      <c r="I404" s="19"/>
    </row>
    <row r="405" ht="60.0" customHeight="1">
      <c r="A405" s="20" t="s">
        <v>1176</v>
      </c>
      <c r="B405" s="21" t="str">
        <f t="array" ref="B405">iferror(VLOOKUP(INDIRECT(ADDRESS(ROW()+1,COLUMN(), 4)),Dex!$A$2:$C893,3,false),"")</f>
        <v/>
      </c>
      <c r="C405" s="21" t="str">
        <f t="array" ref="C405">iferror(VLOOKUP(INDIRECT(ADDRESS(ROW()+1,COLUMN(), 4)),Dex!$A$2:$C893,3,false),"")</f>
        <v/>
      </c>
      <c r="D405" s="21" t="str">
        <f t="array" ref="D405">iferror(VLOOKUP(INDIRECT(ADDRESS(ROW()+1,COLUMN(), 4)),Dex!$A$2:$C893,3,false),"")</f>
        <v/>
      </c>
      <c r="E405" s="21" t="str">
        <f t="array" ref="E405">iferror(VLOOKUP(INDIRECT(ADDRESS(ROW()+1,COLUMN(), 4)),Dex!$A$2:$C893,3,false),"")</f>
        <v/>
      </c>
      <c r="F405" s="21" t="str">
        <f t="array" ref="F405">iferror(VLOOKUP(INDIRECT(ADDRESS(ROW()+1,COLUMN(), 4)),Dex!$A$2:$C893,3,false),"")</f>
        <v/>
      </c>
      <c r="G405" s="21" t="str">
        <f t="array" ref="G405">iferror(VLOOKUP(INDIRECT(ADDRESS(ROW()+1,COLUMN(), 4)),Dex!$A$2:$C893,3,false),"")</f>
        <v/>
      </c>
      <c r="H405" s="22" t="str">
        <f t="array" ref="H405">iferror(VLOOKUP("TRAINER_PIC_SWIMMER_M",Sprites!$A$1:$B893,2,false),"")</f>
        <v/>
      </c>
      <c r="I405" s="23"/>
    </row>
    <row r="406">
      <c r="A406" s="24"/>
      <c r="B406" s="25" t="s">
        <v>777</v>
      </c>
      <c r="C406" s="25" t="s">
        <v>828</v>
      </c>
      <c r="D406" s="25" t="s">
        <v>138</v>
      </c>
      <c r="E406" s="25" t="s">
        <v>723</v>
      </c>
      <c r="F406" s="25" t="s">
        <v>90</v>
      </c>
      <c r="G406" s="25" t="s">
        <v>201</v>
      </c>
      <c r="H406" s="26"/>
    </row>
    <row r="407">
      <c r="A407" s="16" t="s">
        <v>1178</v>
      </c>
      <c r="B407" s="27" t="s">
        <v>2539</v>
      </c>
      <c r="C407" s="27" t="s">
        <v>2538</v>
      </c>
      <c r="D407" s="27" t="s">
        <v>2538</v>
      </c>
      <c r="E407" s="27" t="s">
        <v>2532</v>
      </c>
      <c r="F407" s="27" t="s">
        <v>2532</v>
      </c>
      <c r="G407" s="27" t="s">
        <v>2532</v>
      </c>
      <c r="H407" s="26"/>
    </row>
    <row r="408">
      <c r="A408" s="16" t="s">
        <v>1181</v>
      </c>
      <c r="B408" s="28" t="s">
        <v>1702</v>
      </c>
      <c r="C408" s="28" t="s">
        <v>1247</v>
      </c>
      <c r="D408" s="28" t="s">
        <v>1572</v>
      </c>
      <c r="E408" s="28" t="s">
        <v>1901</v>
      </c>
      <c r="F408" s="28" t="s">
        <v>1295</v>
      </c>
      <c r="G408" s="28" t="s">
        <v>1882</v>
      </c>
      <c r="H408" s="26"/>
    </row>
    <row r="409">
      <c r="A409" s="16" t="s">
        <v>1182</v>
      </c>
      <c r="B409" s="21" t="s">
        <v>1357</v>
      </c>
      <c r="C409" s="21" t="s">
        <v>1443</v>
      </c>
      <c r="D409" s="21" t="s">
        <v>1774</v>
      </c>
      <c r="E409" s="21" t="s">
        <v>1689</v>
      </c>
      <c r="F409" s="21" t="s">
        <v>1298</v>
      </c>
      <c r="G409" s="21" t="s">
        <v>1791</v>
      </c>
      <c r="H409" s="26"/>
    </row>
    <row r="410">
      <c r="A410" s="16" t="s">
        <v>1186</v>
      </c>
      <c r="B410" s="28" t="s">
        <v>1256</v>
      </c>
      <c r="C410" s="28" t="s">
        <v>1269</v>
      </c>
      <c r="D410" s="28" t="s">
        <v>1269</v>
      </c>
      <c r="E410" s="28" t="s">
        <v>1284</v>
      </c>
      <c r="F410" s="28" t="s">
        <v>1284</v>
      </c>
      <c r="G410" s="28" t="s">
        <v>1284</v>
      </c>
      <c r="H410" s="26"/>
    </row>
    <row r="411">
      <c r="A411" s="20" t="s">
        <v>1188</v>
      </c>
      <c r="B411" s="21" t="s">
        <v>1618</v>
      </c>
      <c r="C411" s="21" t="s">
        <v>1890</v>
      </c>
      <c r="D411" s="21" t="s">
        <v>1920</v>
      </c>
      <c r="E411" s="21" t="s">
        <v>2214</v>
      </c>
      <c r="F411" s="21" t="s">
        <v>1740</v>
      </c>
      <c r="G411" s="21" t="s">
        <v>1724</v>
      </c>
      <c r="H411" s="26"/>
    </row>
    <row r="412">
      <c r="A412" s="29"/>
      <c r="B412" s="21" t="s">
        <v>1670</v>
      </c>
      <c r="C412" s="21" t="s">
        <v>1814</v>
      </c>
      <c r="D412" s="21" t="s">
        <v>2022</v>
      </c>
      <c r="E412" s="21" t="s">
        <v>1619</v>
      </c>
      <c r="F412" s="21" t="s">
        <v>1914</v>
      </c>
      <c r="G412" s="21" t="s">
        <v>2295</v>
      </c>
      <c r="H412" s="26"/>
    </row>
    <row r="413">
      <c r="A413" s="29"/>
      <c r="B413" s="21" t="s">
        <v>1732</v>
      </c>
      <c r="C413" s="21" t="s">
        <v>2021</v>
      </c>
      <c r="D413" s="21" t="s">
        <v>1303</v>
      </c>
      <c r="E413" s="21" t="s">
        <v>1629</v>
      </c>
      <c r="F413" s="21" t="s">
        <v>1697</v>
      </c>
      <c r="G413" s="21" t="s">
        <v>1470</v>
      </c>
      <c r="H413" s="26"/>
    </row>
    <row r="414">
      <c r="A414" s="24"/>
      <c r="B414" s="21" t="s">
        <v>1705</v>
      </c>
      <c r="C414" s="21" t="s">
        <v>2026</v>
      </c>
      <c r="D414" s="21" t="s">
        <v>2019</v>
      </c>
      <c r="E414" s="21" t="s">
        <v>1836</v>
      </c>
      <c r="F414" s="21" t="s">
        <v>2142</v>
      </c>
      <c r="G414" s="21" t="s">
        <v>2022</v>
      </c>
      <c r="H414" s="30"/>
      <c r="I414" s="14"/>
    </row>
    <row r="415">
      <c r="A415" s="16" t="s">
        <v>1174</v>
      </c>
      <c r="B415" s="17" t="s">
        <v>2595</v>
      </c>
      <c r="C415" s="18"/>
      <c r="D415" s="18"/>
      <c r="E415" s="18"/>
      <c r="F415" s="18"/>
      <c r="G415" s="18"/>
      <c r="H415" s="18"/>
      <c r="I415" s="19"/>
    </row>
    <row r="416" ht="60.0" customHeight="1">
      <c r="A416" s="20" t="s">
        <v>1176</v>
      </c>
      <c r="B416" s="21" t="str">
        <f t="array" ref="B416">iferror(VLOOKUP(INDIRECT(ADDRESS(ROW()+1,COLUMN(), 4)),Dex!$A$2:$C893,3,false),"")</f>
        <v/>
      </c>
      <c r="C416" s="21" t="str">
        <f t="array" ref="C416">iferror(VLOOKUP(INDIRECT(ADDRESS(ROW()+1,COLUMN(), 4)),Dex!$A$2:$C893,3,false),"")</f>
        <v/>
      </c>
      <c r="D416" s="21" t="str">
        <f t="array" ref="D416">iferror(VLOOKUP(INDIRECT(ADDRESS(ROW()+1,COLUMN(), 4)),Dex!$A$2:$C893,3,false),"")</f>
        <v/>
      </c>
      <c r="E416" s="21" t="str">
        <f t="array" ref="E416">iferror(VLOOKUP(INDIRECT(ADDRESS(ROW()+1,COLUMN(), 4)),Dex!$A$2:$C893,3,false),"")</f>
        <v/>
      </c>
      <c r="F416" s="21" t="str">
        <f t="array" ref="F416">iferror(VLOOKUP(INDIRECT(ADDRESS(ROW()+1,COLUMN(), 4)),Dex!$A$2:$C893,3,false),"")</f>
        <v/>
      </c>
      <c r="G416" s="21" t="str">
        <f t="array" ref="G416">iferror(VLOOKUP(INDIRECT(ADDRESS(ROW()+1,COLUMN(), 4)),Dex!$A$2:$C893,3,false),"")</f>
        <v/>
      </c>
      <c r="H416" s="22" t="str">
        <f t="array" ref="H416">iferror(VLOOKUP("TRAINER_PIC_SWIMMING_TRIATHLETE_F",Sprites!$A$1:$B893,2,false),"")</f>
        <v/>
      </c>
      <c r="I416" s="23"/>
    </row>
    <row r="417">
      <c r="A417" s="24"/>
      <c r="B417" s="25" t="s">
        <v>1073</v>
      </c>
      <c r="C417" s="25" t="s">
        <v>869</v>
      </c>
      <c r="D417" s="25" t="s">
        <v>195</v>
      </c>
      <c r="E417" s="25" t="s">
        <v>994</v>
      </c>
      <c r="F417" s="25" t="s">
        <v>920</v>
      </c>
      <c r="G417" s="25" t="s">
        <v>56</v>
      </c>
      <c r="H417" s="26"/>
    </row>
    <row r="418">
      <c r="A418" s="16" t="s">
        <v>1178</v>
      </c>
      <c r="B418" s="27" t="s">
        <v>2538</v>
      </c>
      <c r="C418" s="27" t="s">
        <v>2532</v>
      </c>
      <c r="D418" s="27" t="s">
        <v>2538</v>
      </c>
      <c r="E418" s="27" t="s">
        <v>2538</v>
      </c>
      <c r="F418" s="27" t="s">
        <v>2538</v>
      </c>
      <c r="G418" s="27" t="s">
        <v>2538</v>
      </c>
      <c r="H418" s="26"/>
    </row>
    <row r="419">
      <c r="A419" s="16" t="s">
        <v>1181</v>
      </c>
      <c r="B419" s="28" t="s">
        <v>1701</v>
      </c>
      <c r="C419" s="28" t="s">
        <v>1882</v>
      </c>
      <c r="D419" s="28" t="s">
        <v>1961</v>
      </c>
      <c r="E419" s="28" t="s">
        <v>1898</v>
      </c>
      <c r="F419" s="28" t="s">
        <v>1882</v>
      </c>
      <c r="G419" s="28" t="s">
        <v>1247</v>
      </c>
      <c r="H419" s="26"/>
    </row>
    <row r="420">
      <c r="A420" s="16" t="s">
        <v>1182</v>
      </c>
      <c r="B420" s="21" t="s">
        <v>1693</v>
      </c>
      <c r="C420" s="21" t="s">
        <v>2136</v>
      </c>
      <c r="D420" s="21" t="s">
        <v>1231</v>
      </c>
      <c r="E420" s="21" t="s">
        <v>2070</v>
      </c>
      <c r="F420" s="21" t="s">
        <v>1938</v>
      </c>
      <c r="G420" s="21" t="s">
        <v>1938</v>
      </c>
      <c r="H420" s="26"/>
    </row>
    <row r="421">
      <c r="A421" s="16" t="s">
        <v>1186</v>
      </c>
      <c r="B421" s="28" t="s">
        <v>1334</v>
      </c>
      <c r="C421" s="28" t="s">
        <v>1284</v>
      </c>
      <c r="D421" s="28" t="s">
        <v>1284</v>
      </c>
      <c r="E421" s="28" t="s">
        <v>1235</v>
      </c>
      <c r="F421" s="28" t="s">
        <v>1249</v>
      </c>
      <c r="G421" s="28" t="s">
        <v>1284</v>
      </c>
      <c r="H421" s="26"/>
    </row>
    <row r="422">
      <c r="A422" s="20" t="s">
        <v>1188</v>
      </c>
      <c r="B422" s="21" t="s">
        <v>2185</v>
      </c>
      <c r="C422" s="21" t="s">
        <v>1724</v>
      </c>
      <c r="D422" s="21" t="s">
        <v>1468</v>
      </c>
      <c r="E422" s="21" t="s">
        <v>1741</v>
      </c>
      <c r="F422" s="21" t="s">
        <v>1776</v>
      </c>
      <c r="G422" s="21" t="s">
        <v>1373</v>
      </c>
      <c r="H422" s="26"/>
    </row>
    <row r="423">
      <c r="A423" s="29"/>
      <c r="B423" s="21" t="s">
        <v>1678</v>
      </c>
      <c r="C423" s="21" t="s">
        <v>1828</v>
      </c>
      <c r="D423" s="21" t="s">
        <v>1835</v>
      </c>
      <c r="E423" s="21" t="s">
        <v>1236</v>
      </c>
      <c r="F423" s="21" t="s">
        <v>1629</v>
      </c>
      <c r="G423" s="21" t="s">
        <v>1618</v>
      </c>
      <c r="H423" s="26"/>
    </row>
    <row r="424">
      <c r="A424" s="29"/>
      <c r="B424" s="21" t="s">
        <v>1629</v>
      </c>
      <c r="C424" s="21" t="s">
        <v>2022</v>
      </c>
      <c r="D424" s="21" t="s">
        <v>1914</v>
      </c>
      <c r="E424" s="21" t="s">
        <v>1879</v>
      </c>
      <c r="F424" s="21" t="s">
        <v>1273</v>
      </c>
      <c r="G424" s="21" t="s">
        <v>1740</v>
      </c>
      <c r="H424" s="26"/>
    </row>
    <row r="425">
      <c r="A425" s="24"/>
      <c r="B425" s="21" t="s">
        <v>1914</v>
      </c>
      <c r="C425" s="21" t="s">
        <v>1652</v>
      </c>
      <c r="D425" s="21" t="s">
        <v>2022</v>
      </c>
      <c r="E425" s="21" t="s">
        <v>1880</v>
      </c>
      <c r="F425" s="21" t="s">
        <v>1944</v>
      </c>
      <c r="G425" s="21" t="s">
        <v>1724</v>
      </c>
      <c r="H425" s="30"/>
      <c r="I425" s="14"/>
    </row>
    <row r="426">
      <c r="A426" s="16" t="s">
        <v>1174</v>
      </c>
      <c r="B426" s="17" t="s">
        <v>2596</v>
      </c>
      <c r="C426" s="18"/>
      <c r="D426" s="18"/>
      <c r="E426" s="18"/>
      <c r="F426" s="18"/>
      <c r="G426" s="18"/>
      <c r="H426" s="18"/>
      <c r="I426" s="19"/>
    </row>
    <row r="427" ht="60.0" customHeight="1">
      <c r="A427" s="20" t="s">
        <v>1176</v>
      </c>
      <c r="B427" s="21" t="str">
        <f t="array" ref="B427">iferror(VLOOKUP(INDIRECT(ADDRESS(ROW()+1,COLUMN(), 4)),Dex!$A$2:$C893,3,false),"")</f>
        <v/>
      </c>
      <c r="C427" s="21" t="str">
        <f t="array" ref="C427">iferror(VLOOKUP(INDIRECT(ADDRESS(ROW()+1,COLUMN(), 4)),Dex!$A$2:$C893,3,false),"")</f>
        <v/>
      </c>
      <c r="D427" s="21" t="str">
        <f t="array" ref="D427">iferror(VLOOKUP(INDIRECT(ADDRESS(ROW()+1,COLUMN(), 4)),Dex!$A$2:$C893,3,false),"")</f>
        <v/>
      </c>
      <c r="E427" s="21" t="str">
        <f t="array" ref="E427">iferror(VLOOKUP(INDIRECT(ADDRESS(ROW()+1,COLUMN(), 4)),Dex!$A$2:$C893,3,false),"")</f>
        <v/>
      </c>
      <c r="F427" s="21" t="str">
        <f t="array" ref="F427">iferror(VLOOKUP(INDIRECT(ADDRESS(ROW()+1,COLUMN(), 4)),Dex!$A$2:$C893,3,false),"")</f>
        <v/>
      </c>
      <c r="G427" s="21" t="str">
        <f t="array" ref="G427">iferror(VLOOKUP(INDIRECT(ADDRESS(ROW()+1,COLUMN(), 4)),Dex!$A$2:$C893,3,false),"")</f>
        <v/>
      </c>
      <c r="H427" s="22" t="str">
        <f t="array" ref="H427">iferror(VLOOKUP("TRAINER_PIC_SWIMMER_F",Sprites!$A$1:$B893,2,false),"")</f>
        <v/>
      </c>
      <c r="I427" s="23"/>
    </row>
    <row r="428">
      <c r="A428" s="24"/>
      <c r="B428" s="25" t="s">
        <v>1126</v>
      </c>
      <c r="C428" s="25" t="s">
        <v>200</v>
      </c>
      <c r="D428" s="25" t="s">
        <v>959</v>
      </c>
      <c r="E428" s="25" t="s">
        <v>1115</v>
      </c>
      <c r="F428" s="25" t="s">
        <v>773</v>
      </c>
      <c r="G428" s="25" t="s">
        <v>94</v>
      </c>
      <c r="H428" s="26"/>
    </row>
    <row r="429">
      <c r="A429" s="16" t="s">
        <v>1178</v>
      </c>
      <c r="B429" s="27" t="s">
        <v>2532</v>
      </c>
      <c r="C429" s="27" t="s">
        <v>2538</v>
      </c>
      <c r="D429" s="27" t="s">
        <v>2538</v>
      </c>
      <c r="E429" s="27" t="s">
        <v>2538</v>
      </c>
      <c r="F429" s="27" t="s">
        <v>2532</v>
      </c>
      <c r="G429" s="27" t="s">
        <v>2538</v>
      </c>
      <c r="H429" s="26"/>
    </row>
    <row r="430">
      <c r="A430" s="16" t="s">
        <v>1181</v>
      </c>
      <c r="B430" s="28" t="s">
        <v>1247</v>
      </c>
      <c r="C430" s="28" t="s">
        <v>1295</v>
      </c>
      <c r="D430" s="28" t="s">
        <v>1719</v>
      </c>
      <c r="E430" s="28" t="s">
        <v>1209</v>
      </c>
      <c r="F430" s="28" t="s">
        <v>1882</v>
      </c>
      <c r="G430" s="28" t="s">
        <v>1366</v>
      </c>
      <c r="H430" s="26"/>
    </row>
    <row r="431">
      <c r="A431" s="16" t="s">
        <v>1182</v>
      </c>
      <c r="B431" s="21" t="s">
        <v>2030</v>
      </c>
      <c r="C431" s="21" t="s">
        <v>1317</v>
      </c>
      <c r="D431" s="21" t="s">
        <v>2597</v>
      </c>
      <c r="E431" s="21" t="s">
        <v>1405</v>
      </c>
      <c r="F431" s="21" t="s">
        <v>1212</v>
      </c>
      <c r="G431" s="21" t="s">
        <v>1212</v>
      </c>
      <c r="H431" s="26"/>
    </row>
    <row r="432">
      <c r="A432" s="16" t="s">
        <v>1186</v>
      </c>
      <c r="B432" s="28" t="s">
        <v>1248</v>
      </c>
      <c r="C432" s="28" t="s">
        <v>1284</v>
      </c>
      <c r="D432" s="28" t="s">
        <v>1256</v>
      </c>
      <c r="E432" s="28" t="s">
        <v>1235</v>
      </c>
      <c r="F432" s="28" t="s">
        <v>1235</v>
      </c>
      <c r="G432" s="28" t="s">
        <v>1235</v>
      </c>
      <c r="H432" s="26"/>
    </row>
    <row r="433">
      <c r="A433" s="20" t="s">
        <v>1188</v>
      </c>
      <c r="B433" s="21" t="s">
        <v>1758</v>
      </c>
      <c r="C433" s="21" t="s">
        <v>1695</v>
      </c>
      <c r="D433" s="21" t="s">
        <v>1605</v>
      </c>
      <c r="E433" s="21" t="s">
        <v>1874</v>
      </c>
      <c r="F433" s="21" t="s">
        <v>2068</v>
      </c>
      <c r="G433" s="21" t="s">
        <v>1760</v>
      </c>
      <c r="H433" s="26"/>
    </row>
    <row r="434">
      <c r="A434" s="29"/>
      <c r="B434" s="21" t="s">
        <v>1983</v>
      </c>
      <c r="C434" s="21" t="s">
        <v>1921</v>
      </c>
      <c r="D434" s="21" t="s">
        <v>1261</v>
      </c>
      <c r="E434" s="21" t="s">
        <v>1749</v>
      </c>
      <c r="F434" s="21" t="s">
        <v>1760</v>
      </c>
      <c r="G434" s="21" t="s">
        <v>1423</v>
      </c>
      <c r="H434" s="26"/>
    </row>
    <row r="435">
      <c r="A435" s="29"/>
      <c r="B435" s="21" t="s">
        <v>1677</v>
      </c>
      <c r="C435" s="21" t="s">
        <v>1856</v>
      </c>
      <c r="D435" s="21" t="s">
        <v>1698</v>
      </c>
      <c r="E435" s="21" t="s">
        <v>1967</v>
      </c>
      <c r="F435" s="21" t="s">
        <v>1804</v>
      </c>
      <c r="G435" s="21" t="s">
        <v>1306</v>
      </c>
      <c r="H435" s="26"/>
    </row>
    <row r="436">
      <c r="A436" s="24"/>
      <c r="B436" s="21" t="s">
        <v>1705</v>
      </c>
      <c r="C436" s="21" t="s">
        <v>1473</v>
      </c>
      <c r="D436" s="21" t="s">
        <v>1275</v>
      </c>
      <c r="E436" s="21" t="s">
        <v>2598</v>
      </c>
      <c r="F436" s="21" t="s">
        <v>1967</v>
      </c>
      <c r="G436" s="21" t="s">
        <v>1311</v>
      </c>
      <c r="H436" s="30"/>
      <c r="I436" s="14"/>
    </row>
    <row r="437">
      <c r="A437" s="16" t="s">
        <v>1174</v>
      </c>
      <c r="B437" s="17" t="s">
        <v>2599</v>
      </c>
      <c r="C437" s="18"/>
      <c r="D437" s="18"/>
      <c r="E437" s="18"/>
      <c r="F437" s="18"/>
      <c r="G437" s="18"/>
      <c r="H437" s="18"/>
      <c r="I437" s="19"/>
    </row>
    <row r="438" ht="60.0" customHeight="1">
      <c r="A438" s="20" t="s">
        <v>1176</v>
      </c>
      <c r="B438" s="21" t="str">
        <f t="array" ref="B438">iferror(VLOOKUP(INDIRECT(ADDRESS(ROW()+1,COLUMN(), 4)),Dex!$A$2:$C893,3,false),"")</f>
        <v/>
      </c>
      <c r="C438" s="21" t="str">
        <f t="array" ref="C438">iferror(VLOOKUP(INDIRECT(ADDRESS(ROW()+1,COLUMN(), 4)),Dex!$A$2:$C893,3,false),"")</f>
        <v/>
      </c>
      <c r="D438" s="21" t="str">
        <f t="array" ref="D438">iferror(VLOOKUP(INDIRECT(ADDRESS(ROW()+1,COLUMN(), 4)),Dex!$A$2:$C893,3,false),"")</f>
        <v/>
      </c>
      <c r="E438" s="21" t="str">
        <f t="array" ref="E438">iferror(VLOOKUP(INDIRECT(ADDRESS(ROW()+1,COLUMN(), 4)),Dex!$A$2:$C893,3,false),"")</f>
        <v/>
      </c>
      <c r="F438" s="21" t="str">
        <f t="array" ref="F438">iferror(VLOOKUP(INDIRECT(ADDRESS(ROW()+1,COLUMN(), 4)),Dex!$A$2:$C893,3,false),"")</f>
        <v/>
      </c>
      <c r="G438" s="21" t="str">
        <f t="array" ref="G438">iferror(VLOOKUP(INDIRECT(ADDRESS(ROW()+1,COLUMN(), 4)),Dex!$A$2:$C893,3,false),"")</f>
        <v/>
      </c>
      <c r="H438" s="22" t="str">
        <f t="array" ref="H438">iferror(VLOOKUP("TRAINER_PIC_SWIMMER_M",Sprites!$A$1:$B893,2,false),"")</f>
        <v/>
      </c>
      <c r="I438" s="23"/>
    </row>
    <row r="439">
      <c r="A439" s="24"/>
      <c r="B439" s="25" t="s">
        <v>220</v>
      </c>
      <c r="C439" s="25" t="s">
        <v>584</v>
      </c>
      <c r="D439" s="25" t="s">
        <v>183</v>
      </c>
      <c r="E439" s="25" t="s">
        <v>450</v>
      </c>
      <c r="F439" s="25" t="s">
        <v>107</v>
      </c>
      <c r="G439" s="25" t="s">
        <v>689</v>
      </c>
      <c r="H439" s="26"/>
    </row>
    <row r="440">
      <c r="A440" s="16" t="s">
        <v>1178</v>
      </c>
      <c r="B440" s="27" t="s">
        <v>2538</v>
      </c>
      <c r="C440" s="27" t="s">
        <v>2532</v>
      </c>
      <c r="D440" s="27" t="s">
        <v>2532</v>
      </c>
      <c r="E440" s="27" t="s">
        <v>2532</v>
      </c>
      <c r="F440" s="27" t="s">
        <v>2538</v>
      </c>
      <c r="G440" s="27" t="s">
        <v>2538</v>
      </c>
      <c r="H440" s="26"/>
    </row>
    <row r="441">
      <c r="A441" s="16" t="s">
        <v>1181</v>
      </c>
      <c r="B441" s="28" t="s">
        <v>1581</v>
      </c>
      <c r="C441" s="28" t="s">
        <v>1703</v>
      </c>
      <c r="D441" s="28" t="s">
        <v>1247</v>
      </c>
      <c r="E441" s="28" t="s">
        <v>1209</v>
      </c>
      <c r="F441" s="28" t="s">
        <v>1346</v>
      </c>
      <c r="G441" s="28" t="s">
        <v>1882</v>
      </c>
      <c r="H441" s="26"/>
    </row>
    <row r="442">
      <c r="A442" s="16" t="s">
        <v>1182</v>
      </c>
      <c r="B442" s="21" t="s">
        <v>1356</v>
      </c>
      <c r="C442" s="21" t="s">
        <v>1199</v>
      </c>
      <c r="D442" s="21" t="s">
        <v>1931</v>
      </c>
      <c r="E442" s="21" t="s">
        <v>1212</v>
      </c>
      <c r="F442" s="21" t="s">
        <v>2260</v>
      </c>
      <c r="G442" s="21" t="s">
        <v>1212</v>
      </c>
      <c r="H442" s="26"/>
    </row>
    <row r="443">
      <c r="A443" s="16" t="s">
        <v>1186</v>
      </c>
      <c r="B443" s="28" t="s">
        <v>1269</v>
      </c>
      <c r="C443" s="28" t="s">
        <v>1447</v>
      </c>
      <c r="D443" s="28" t="s">
        <v>1284</v>
      </c>
      <c r="E443" s="28" t="s">
        <v>1235</v>
      </c>
      <c r="F443" s="28" t="s">
        <v>1284</v>
      </c>
      <c r="G443" s="28" t="s">
        <v>1269</v>
      </c>
      <c r="H443" s="26"/>
    </row>
    <row r="444">
      <c r="A444" s="20" t="s">
        <v>1188</v>
      </c>
      <c r="B444" s="21" t="s">
        <v>1712</v>
      </c>
      <c r="C444" s="21" t="s">
        <v>1663</v>
      </c>
      <c r="D444" s="21" t="s">
        <v>1731</v>
      </c>
      <c r="E444" s="21" t="s">
        <v>1678</v>
      </c>
      <c r="F444" s="21" t="s">
        <v>1695</v>
      </c>
      <c r="G444" s="21" t="s">
        <v>1618</v>
      </c>
      <c r="H444" s="26"/>
    </row>
    <row r="445">
      <c r="A445" s="29"/>
      <c r="B445" s="21" t="s">
        <v>1822</v>
      </c>
      <c r="C445" s="21" t="s">
        <v>1723</v>
      </c>
      <c r="D445" s="21" t="s">
        <v>1835</v>
      </c>
      <c r="E445" s="21" t="s">
        <v>1575</v>
      </c>
      <c r="F445" s="21" t="s">
        <v>1389</v>
      </c>
      <c r="G445" s="21" t="s">
        <v>1983</v>
      </c>
      <c r="H445" s="26"/>
    </row>
    <row r="446">
      <c r="A446" s="29"/>
      <c r="B446" s="21" t="s">
        <v>1251</v>
      </c>
      <c r="C446" s="21" t="s">
        <v>1830</v>
      </c>
      <c r="D446" s="21" t="s">
        <v>1739</v>
      </c>
      <c r="E446" s="21" t="s">
        <v>1677</v>
      </c>
      <c r="F446" s="21" t="s">
        <v>1959</v>
      </c>
      <c r="G446" s="21" t="s">
        <v>1373</v>
      </c>
      <c r="H446" s="26"/>
    </row>
    <row r="447">
      <c r="A447" s="24"/>
      <c r="B447" s="21" t="s">
        <v>1663</v>
      </c>
      <c r="C447" s="21" t="s">
        <v>1470</v>
      </c>
      <c r="D447" s="21" t="s">
        <v>1771</v>
      </c>
      <c r="E447" s="21" t="s">
        <v>1641</v>
      </c>
      <c r="F447" s="21" t="s">
        <v>1362</v>
      </c>
      <c r="G447" s="21" t="s">
        <v>2022</v>
      </c>
      <c r="H447" s="30"/>
      <c r="I447" s="14"/>
    </row>
    <row r="448">
      <c r="A448" s="37"/>
      <c r="B448" s="38" t="s">
        <v>2600</v>
      </c>
      <c r="C448" s="14"/>
      <c r="D448" s="14"/>
      <c r="E448" s="14"/>
      <c r="F448" s="14"/>
      <c r="G448" s="14"/>
      <c r="H448" s="24"/>
      <c r="I448" s="33"/>
    </row>
    <row r="449">
      <c r="A449" s="16" t="s">
        <v>1174</v>
      </c>
      <c r="B449" s="17" t="s">
        <v>2601</v>
      </c>
      <c r="C449" s="18"/>
      <c r="D449" s="18"/>
      <c r="E449" s="18"/>
      <c r="F449" s="18"/>
      <c r="G449" s="18"/>
      <c r="H449" s="18"/>
      <c r="I449" s="19"/>
    </row>
    <row r="450" ht="60.0" customHeight="1">
      <c r="A450" s="20" t="s">
        <v>1176</v>
      </c>
      <c r="B450" s="21" t="str">
        <f t="array" ref="B450">iferror(VLOOKUP(INDIRECT(ADDRESS(ROW()+1,COLUMN(), 4)),Dex!$A$2:$C893,3,false),"")</f>
        <v/>
      </c>
      <c r="C450" s="21" t="str">
        <f t="array" ref="C450">iferror(VLOOKUP(INDIRECT(ADDRESS(ROW()+1,COLUMN(), 4)),Dex!$A$2:$C893,3,false),"")</f>
        <v/>
      </c>
      <c r="D450" s="21" t="str">
        <f t="array" ref="D450">iferror(VLOOKUP(INDIRECT(ADDRESS(ROW()+1,COLUMN(), 4)),Dex!$A$2:$C893,3,false),"")</f>
        <v/>
      </c>
      <c r="E450" s="21" t="str">
        <f t="array" ref="E450">iferror(VLOOKUP(INDIRECT(ADDRESS(ROW()+1,COLUMN(), 4)),Dex!$A$2:$C893,3,false),"")</f>
        <v/>
      </c>
      <c r="F450" s="21" t="str">
        <f t="array" ref="F450">iferror(VLOOKUP(INDIRECT(ADDRESS(ROW()+1,COLUMN(), 4)),Dex!$A$2:$C893,3,false),"")</f>
        <v/>
      </c>
      <c r="G450" s="21" t="str">
        <f t="array" ref="G450">iferror(VLOOKUP(INDIRECT(ADDRESS(ROW()+1,COLUMN(), 4)),Dex!$A$2:$C893,3,false),"")</f>
        <v/>
      </c>
      <c r="H450" s="22" t="str">
        <f t="array" ref="H450">iferror(VLOOKUP("TRAINER_PIC_SWIMMER_M",Sprites!$A$1:$B893,2,false),"")</f>
        <v/>
      </c>
      <c r="I450" s="23"/>
    </row>
    <row r="451">
      <c r="A451" s="24"/>
      <c r="B451" s="25" t="s">
        <v>311</v>
      </c>
      <c r="C451" s="25" t="s">
        <v>887</v>
      </c>
      <c r="D451" s="25" t="s">
        <v>543</v>
      </c>
      <c r="E451" s="25" t="s">
        <v>378</v>
      </c>
      <c r="F451" s="25" t="s">
        <v>18</v>
      </c>
      <c r="G451" s="25" t="s">
        <v>966</v>
      </c>
      <c r="H451" s="26"/>
    </row>
    <row r="452">
      <c r="A452" s="16" t="s">
        <v>1178</v>
      </c>
      <c r="B452" s="27" t="s">
        <v>2539</v>
      </c>
      <c r="C452" s="27" t="s">
        <v>2538</v>
      </c>
      <c r="D452" s="27" t="s">
        <v>2538</v>
      </c>
      <c r="E452" s="27" t="s">
        <v>2538</v>
      </c>
      <c r="F452" s="27" t="s">
        <v>2539</v>
      </c>
      <c r="G452" s="27" t="s">
        <v>2265</v>
      </c>
      <c r="H452" s="26"/>
    </row>
    <row r="453">
      <c r="A453" s="16" t="s">
        <v>1181</v>
      </c>
      <c r="B453" s="28" t="s">
        <v>1962</v>
      </c>
      <c r="C453" s="28" t="s">
        <v>1209</v>
      </c>
      <c r="D453" s="28" t="s">
        <v>1247</v>
      </c>
      <c r="E453" s="28" t="s">
        <v>1882</v>
      </c>
      <c r="F453" s="28" t="s">
        <v>1295</v>
      </c>
      <c r="G453" s="28" t="s">
        <v>1295</v>
      </c>
      <c r="H453" s="26"/>
    </row>
    <row r="454">
      <c r="A454" s="16" t="s">
        <v>1182</v>
      </c>
      <c r="B454" s="21" t="s">
        <v>1212</v>
      </c>
      <c r="C454" s="21" t="s">
        <v>1381</v>
      </c>
      <c r="D454" s="21" t="s">
        <v>2103</v>
      </c>
      <c r="E454" s="21" t="s">
        <v>1298</v>
      </c>
      <c r="F454" s="21" t="s">
        <v>2260</v>
      </c>
      <c r="G454" s="21" t="s">
        <v>2602</v>
      </c>
      <c r="H454" s="26"/>
    </row>
    <row r="455">
      <c r="A455" s="16" t="s">
        <v>1186</v>
      </c>
      <c r="B455" s="28" t="s">
        <v>1256</v>
      </c>
      <c r="C455" s="28" t="s">
        <v>1235</v>
      </c>
      <c r="D455" s="28" t="s">
        <v>1269</v>
      </c>
      <c r="E455" s="28" t="s">
        <v>1284</v>
      </c>
      <c r="F455" s="28" t="s">
        <v>1394</v>
      </c>
      <c r="G455" s="28" t="s">
        <v>1394</v>
      </c>
      <c r="H455" s="26"/>
    </row>
    <row r="456">
      <c r="A456" s="20" t="s">
        <v>1188</v>
      </c>
      <c r="B456" s="21" t="s">
        <v>1251</v>
      </c>
      <c r="C456" s="21" t="s">
        <v>1983</v>
      </c>
      <c r="D456" s="21" t="s">
        <v>1742</v>
      </c>
      <c r="E456" s="21" t="s">
        <v>1650</v>
      </c>
      <c r="F456" s="21" t="s">
        <v>1695</v>
      </c>
      <c r="G456" s="21" t="s">
        <v>1679</v>
      </c>
      <c r="H456" s="26"/>
    </row>
    <row r="457">
      <c r="A457" s="29"/>
      <c r="B457" s="21" t="s">
        <v>1822</v>
      </c>
      <c r="C457" s="21" t="s">
        <v>2192</v>
      </c>
      <c r="D457" s="21" t="s">
        <v>1830</v>
      </c>
      <c r="E457" s="21" t="s">
        <v>1619</v>
      </c>
      <c r="F457" s="21" t="s">
        <v>1804</v>
      </c>
      <c r="G457" s="21" t="s">
        <v>1398</v>
      </c>
      <c r="H457" s="26"/>
    </row>
    <row r="458">
      <c r="A458" s="29"/>
      <c r="B458" s="21" t="s">
        <v>1468</v>
      </c>
      <c r="C458" s="21" t="s">
        <v>1578</v>
      </c>
      <c r="D458" s="21" t="s">
        <v>2022</v>
      </c>
      <c r="E458" s="21" t="s">
        <v>1251</v>
      </c>
      <c r="F458" s="21" t="s">
        <v>1204</v>
      </c>
      <c r="G458" s="21" t="s">
        <v>1397</v>
      </c>
      <c r="H458" s="26"/>
    </row>
    <row r="459">
      <c r="A459" s="24"/>
      <c r="B459" s="21" t="s">
        <v>1377</v>
      </c>
      <c r="C459" s="21" t="s">
        <v>1830</v>
      </c>
      <c r="D459" s="21" t="s">
        <v>1262</v>
      </c>
      <c r="E459" s="21" t="s">
        <v>1277</v>
      </c>
      <c r="F459" s="21" t="s">
        <v>1389</v>
      </c>
      <c r="G459" s="21" t="s">
        <v>1362</v>
      </c>
      <c r="H459" s="30"/>
      <c r="I459" s="14"/>
    </row>
    <row r="460">
      <c r="A460" s="16" t="s">
        <v>1174</v>
      </c>
      <c r="B460" s="17" t="s">
        <v>2603</v>
      </c>
      <c r="C460" s="18"/>
      <c r="D460" s="18"/>
      <c r="E460" s="18"/>
      <c r="F460" s="18"/>
      <c r="G460" s="18"/>
      <c r="H460" s="18"/>
      <c r="I460" s="19"/>
    </row>
    <row r="461" ht="60.0" customHeight="1">
      <c r="A461" s="20" t="s">
        <v>1176</v>
      </c>
      <c r="B461" s="21" t="str">
        <f t="array" ref="B461">iferror(VLOOKUP(INDIRECT(ADDRESS(ROW()+1,COLUMN(), 4)),Dex!$A$2:$C893,3,false),"")</f>
        <v/>
      </c>
      <c r="C461" s="21" t="str">
        <f t="array" ref="C461">iferror(VLOOKUP(INDIRECT(ADDRESS(ROW()+1,COLUMN(), 4)),Dex!$A$2:$C893,3,false),"")</f>
        <v/>
      </c>
      <c r="D461" s="21" t="str">
        <f t="array" ref="D461">iferror(VLOOKUP(INDIRECT(ADDRESS(ROW()+1,COLUMN(), 4)),Dex!$A$2:$C893,3,false),"")</f>
        <v/>
      </c>
      <c r="E461" s="21" t="str">
        <f t="array" ref="E461">iferror(VLOOKUP(INDIRECT(ADDRESS(ROW()+1,COLUMN(), 4)),Dex!$A$2:$C893,3,false),"")</f>
        <v/>
      </c>
      <c r="F461" s="21" t="str">
        <f t="array" ref="F461">iferror(VLOOKUP(INDIRECT(ADDRESS(ROW()+1,COLUMN(), 4)),Dex!$A$2:$C893,3,false),"")</f>
        <v/>
      </c>
      <c r="G461" s="21" t="str">
        <f t="array" ref="G461">iferror(VLOOKUP(INDIRECT(ADDRESS(ROW()+1,COLUMN(), 4)),Dex!$A$2:$C893,3,false),"")</f>
        <v/>
      </c>
      <c r="H461" s="22" t="str">
        <f t="array" ref="H461">iferror(VLOOKUP("TRAINER_PIC_SWIMMER_F",Sprites!$A$1:$B893,2,false),"")</f>
        <v/>
      </c>
      <c r="I461" s="23"/>
    </row>
    <row r="462">
      <c r="A462" s="24"/>
      <c r="B462" s="25" t="s">
        <v>316</v>
      </c>
      <c r="C462" s="25" t="s">
        <v>606</v>
      </c>
      <c r="D462" s="25" t="s">
        <v>575</v>
      </c>
      <c r="E462" s="25" t="s">
        <v>881</v>
      </c>
      <c r="F462" s="25" t="s">
        <v>793</v>
      </c>
      <c r="G462" s="25" t="s">
        <v>1067</v>
      </c>
      <c r="H462" s="26"/>
    </row>
    <row r="463">
      <c r="A463" s="16" t="s">
        <v>1178</v>
      </c>
      <c r="B463" s="27" t="s">
        <v>2539</v>
      </c>
      <c r="C463" s="27" t="s">
        <v>2538</v>
      </c>
      <c r="D463" s="27" t="s">
        <v>2538</v>
      </c>
      <c r="E463" s="27" t="s">
        <v>2538</v>
      </c>
      <c r="F463" s="27" t="s">
        <v>2538</v>
      </c>
      <c r="G463" s="27" t="s">
        <v>2539</v>
      </c>
      <c r="H463" s="26"/>
    </row>
    <row r="464">
      <c r="A464" s="16" t="s">
        <v>1181</v>
      </c>
      <c r="B464" s="28" t="s">
        <v>2276</v>
      </c>
      <c r="C464" s="28" t="s">
        <v>1457</v>
      </c>
      <c r="D464" s="28" t="s">
        <v>1882</v>
      </c>
      <c r="E464" s="28" t="s">
        <v>1295</v>
      </c>
      <c r="F464" s="28" t="s">
        <v>1832</v>
      </c>
      <c r="G464" s="28" t="s">
        <v>1246</v>
      </c>
      <c r="H464" s="26"/>
    </row>
    <row r="465">
      <c r="A465" s="16" t="s">
        <v>1182</v>
      </c>
      <c r="B465" s="21" t="s">
        <v>1212</v>
      </c>
      <c r="C465" s="21" t="s">
        <v>1368</v>
      </c>
      <c r="D465" s="21" t="s">
        <v>1931</v>
      </c>
      <c r="E465" s="21" t="s">
        <v>1317</v>
      </c>
      <c r="F465" s="21" t="s">
        <v>2131</v>
      </c>
      <c r="G465" s="21" t="s">
        <v>1212</v>
      </c>
      <c r="H465" s="26"/>
    </row>
    <row r="466">
      <c r="A466" s="16" t="s">
        <v>1186</v>
      </c>
      <c r="B466" s="28" t="s">
        <v>1256</v>
      </c>
      <c r="C466" s="28" t="s">
        <v>1269</v>
      </c>
      <c r="D466" s="28" t="s">
        <v>1235</v>
      </c>
      <c r="E466" s="28" t="s">
        <v>1446</v>
      </c>
      <c r="F466" s="28" t="s">
        <v>1235</v>
      </c>
      <c r="G466" s="28" t="s">
        <v>1235</v>
      </c>
      <c r="H466" s="26"/>
    </row>
    <row r="467">
      <c r="A467" s="20" t="s">
        <v>1188</v>
      </c>
      <c r="B467" s="21" t="s">
        <v>1251</v>
      </c>
      <c r="C467" s="21" t="s">
        <v>1663</v>
      </c>
      <c r="D467" s="21" t="s">
        <v>1814</v>
      </c>
      <c r="E467" s="21" t="s">
        <v>1588</v>
      </c>
      <c r="F467" s="21" t="s">
        <v>1655</v>
      </c>
      <c r="G467" s="21" t="s">
        <v>1974</v>
      </c>
      <c r="H467" s="26"/>
    </row>
    <row r="468">
      <c r="A468" s="29"/>
      <c r="B468" s="21" t="s">
        <v>1828</v>
      </c>
      <c r="C468" s="21" t="s">
        <v>1823</v>
      </c>
      <c r="D468" s="21" t="s">
        <v>1682</v>
      </c>
      <c r="E468" s="21" t="s">
        <v>1817</v>
      </c>
      <c r="F468" s="21" t="s">
        <v>1607</v>
      </c>
      <c r="G468" s="21" t="s">
        <v>1760</v>
      </c>
      <c r="H468" s="26"/>
    </row>
    <row r="469">
      <c r="A469" s="29"/>
      <c r="B469" s="21" t="s">
        <v>1822</v>
      </c>
      <c r="C469" s="21" t="s">
        <v>1587</v>
      </c>
      <c r="D469" s="21" t="s">
        <v>1471</v>
      </c>
      <c r="E469" s="21" t="s">
        <v>1761</v>
      </c>
      <c r="F469" s="21" t="s">
        <v>1575</v>
      </c>
      <c r="G469" s="21" t="s">
        <v>1177</v>
      </c>
      <c r="H469" s="26"/>
    </row>
    <row r="470">
      <c r="A470" s="24"/>
      <c r="B470" s="21" t="s">
        <v>1468</v>
      </c>
      <c r="C470" s="21" t="s">
        <v>1771</v>
      </c>
      <c r="D470" s="21" t="s">
        <v>1641</v>
      </c>
      <c r="E470" s="21" t="s">
        <v>1473</v>
      </c>
      <c r="F470" s="21" t="s">
        <v>1438</v>
      </c>
      <c r="G470" s="21" t="s">
        <v>1177</v>
      </c>
      <c r="H470" s="30"/>
      <c r="I470" s="14"/>
    </row>
    <row r="471">
      <c r="A471" s="16" t="s">
        <v>1174</v>
      </c>
      <c r="B471" s="17" t="s">
        <v>2604</v>
      </c>
      <c r="C471" s="18"/>
      <c r="D471" s="18"/>
      <c r="E471" s="18"/>
      <c r="F471" s="18"/>
      <c r="G471" s="18"/>
      <c r="H471" s="18"/>
      <c r="I471" s="16"/>
    </row>
    <row r="472" ht="60.0" customHeight="1">
      <c r="A472" s="20" t="s">
        <v>1176</v>
      </c>
      <c r="B472" s="21" t="str">
        <f t="array" ref="B472">iferror(VLOOKUP(INDIRECT(ADDRESS(ROW()+1,COLUMN(), 4)),Dex!$A$2:$C893,3,false),"")</f>
        <v/>
      </c>
      <c r="C472" s="21" t="str">
        <f t="array" ref="C472">iferror(VLOOKUP(INDIRECT(ADDRESS(ROW()+1,COLUMN(), 4)),Dex!$A$2:$C893,3,false),"")</f>
        <v/>
      </c>
      <c r="D472" s="21" t="str">
        <f t="array" ref="D472">iferror(VLOOKUP(INDIRECT(ADDRESS(ROW()+1,COLUMN(), 4)),Dex!$A$2:$C893,3,false),"")</f>
        <v/>
      </c>
      <c r="E472" s="21" t="s">
        <v>1177</v>
      </c>
      <c r="F472" s="21" t="s">
        <v>1177</v>
      </c>
      <c r="G472" s="21" t="s">
        <v>1177</v>
      </c>
      <c r="H472" s="22" t="str">
        <f t="array" ref="H472">iferror(VLOOKUP("TRAINER_PIC_SWIMMER_M",Sprites!$A$1:$B893,2,false),"")</f>
        <v/>
      </c>
      <c r="I472" s="23"/>
    </row>
    <row r="473">
      <c r="A473" s="24"/>
      <c r="B473" s="25" t="s">
        <v>729</v>
      </c>
      <c r="C473" s="25" t="s">
        <v>177</v>
      </c>
      <c r="D473" s="25" t="s">
        <v>220</v>
      </c>
      <c r="E473" s="25" t="s">
        <v>1177</v>
      </c>
      <c r="F473" s="25" t="s">
        <v>1177</v>
      </c>
      <c r="G473" s="25" t="s">
        <v>1177</v>
      </c>
      <c r="H473" s="26"/>
    </row>
    <row r="474">
      <c r="A474" s="16" t="s">
        <v>1178</v>
      </c>
      <c r="B474" s="27" t="s">
        <v>2264</v>
      </c>
      <c r="C474" s="27" t="s">
        <v>2264</v>
      </c>
      <c r="D474" s="27" t="s">
        <v>2264</v>
      </c>
      <c r="E474" s="21" t="s">
        <v>1177</v>
      </c>
      <c r="F474" s="21" t="s">
        <v>1177</v>
      </c>
      <c r="G474" s="21" t="s">
        <v>1177</v>
      </c>
      <c r="H474" s="26"/>
    </row>
    <row r="475">
      <c r="A475" s="16" t="s">
        <v>1181</v>
      </c>
      <c r="B475" s="28" t="s">
        <v>1177</v>
      </c>
      <c r="C475" s="28" t="s">
        <v>1177</v>
      </c>
      <c r="D475" s="28" t="s">
        <v>1177</v>
      </c>
      <c r="E475" s="28" t="s">
        <v>1177</v>
      </c>
      <c r="F475" s="28" t="s">
        <v>1177</v>
      </c>
      <c r="G475" s="28" t="s">
        <v>1177</v>
      </c>
      <c r="H475" s="26"/>
    </row>
    <row r="476">
      <c r="A476" s="16" t="s">
        <v>1182</v>
      </c>
      <c r="B476" s="21" t="s">
        <v>1906</v>
      </c>
      <c r="C476" s="21" t="s">
        <v>1283</v>
      </c>
      <c r="D476" s="21" t="s">
        <v>1356</v>
      </c>
      <c r="E476" s="21" t="s">
        <v>1177</v>
      </c>
      <c r="F476" s="21" t="s">
        <v>1177</v>
      </c>
      <c r="G476" s="21" t="s">
        <v>1177</v>
      </c>
      <c r="H476" s="26"/>
    </row>
    <row r="477">
      <c r="A477" s="16" t="s">
        <v>1186</v>
      </c>
      <c r="B477" s="28" t="s">
        <v>1187</v>
      </c>
      <c r="C477" s="28" t="s">
        <v>1187</v>
      </c>
      <c r="D477" s="28" t="s">
        <v>1187</v>
      </c>
      <c r="E477" s="28" t="s">
        <v>1177</v>
      </c>
      <c r="F477" s="28" t="s">
        <v>1177</v>
      </c>
      <c r="G477" s="28" t="s">
        <v>1177</v>
      </c>
      <c r="H477" s="26"/>
    </row>
    <row r="478">
      <c r="A478" s="20" t="s">
        <v>1188</v>
      </c>
      <c r="B478" s="21" t="s">
        <v>1177</v>
      </c>
      <c r="C478" s="21" t="s">
        <v>1177</v>
      </c>
      <c r="D478" s="21" t="s">
        <v>1177</v>
      </c>
      <c r="E478" s="21" t="s">
        <v>1177</v>
      </c>
      <c r="F478" s="21" t="s">
        <v>1177</v>
      </c>
      <c r="G478" s="21" t="s">
        <v>1177</v>
      </c>
      <c r="H478" s="26"/>
    </row>
    <row r="479">
      <c r="A479" s="29"/>
      <c r="B479" s="21" t="s">
        <v>1177</v>
      </c>
      <c r="C479" s="21" t="s">
        <v>1177</v>
      </c>
      <c r="D479" s="21" t="s">
        <v>1177</v>
      </c>
      <c r="E479" s="21" t="s">
        <v>1177</v>
      </c>
      <c r="F479" s="21" t="s">
        <v>1177</v>
      </c>
      <c r="G479" s="21" t="s">
        <v>1177</v>
      </c>
      <c r="H479" s="26"/>
    </row>
    <row r="480">
      <c r="A480" s="29"/>
      <c r="B480" s="21" t="s">
        <v>1177</v>
      </c>
      <c r="C480" s="21" t="s">
        <v>1177</v>
      </c>
      <c r="D480" s="21" t="s">
        <v>1177</v>
      </c>
      <c r="E480" s="21" t="s">
        <v>1177</v>
      </c>
      <c r="F480" s="21" t="s">
        <v>1177</v>
      </c>
      <c r="G480" s="21" t="s">
        <v>1177</v>
      </c>
      <c r="H480" s="26"/>
    </row>
    <row r="481">
      <c r="A481" s="24"/>
      <c r="B481" s="21" t="s">
        <v>1177</v>
      </c>
      <c r="C481" s="21" t="s">
        <v>1177</v>
      </c>
      <c r="D481" s="21" t="s">
        <v>1177</v>
      </c>
      <c r="E481" s="21" t="s">
        <v>1177</v>
      </c>
      <c r="F481" s="21" t="s">
        <v>1177</v>
      </c>
      <c r="G481" s="21" t="s">
        <v>1177</v>
      </c>
      <c r="H481" s="30"/>
      <c r="I481" s="14"/>
    </row>
    <row r="482">
      <c r="A482" s="37"/>
      <c r="B482" s="38" t="s">
        <v>2605</v>
      </c>
      <c r="C482" s="14"/>
      <c r="D482" s="14"/>
      <c r="E482" s="14"/>
      <c r="F482" s="14"/>
      <c r="G482" s="14"/>
      <c r="H482" s="24"/>
      <c r="I482" s="33"/>
    </row>
    <row r="483">
      <c r="A483" s="16" t="s">
        <v>1174</v>
      </c>
      <c r="B483" s="17" t="s">
        <v>2606</v>
      </c>
      <c r="C483" s="18"/>
      <c r="D483" s="18"/>
      <c r="E483" s="18"/>
      <c r="F483" s="18"/>
      <c r="G483" s="18"/>
      <c r="H483" s="18"/>
      <c r="I483" s="19"/>
    </row>
    <row r="484" ht="60.0" customHeight="1">
      <c r="A484" s="20" t="s">
        <v>1176</v>
      </c>
      <c r="B484" s="21" t="str">
        <f t="array" ref="B484">iferror(VLOOKUP(INDIRECT(ADDRESS(ROW()+1,COLUMN(), 4)),Dex!$A$2:$C893,3,false),"")</f>
        <v/>
      </c>
      <c r="C484" s="21" t="str">
        <f t="array" ref="C484">iferror(VLOOKUP(INDIRECT(ADDRESS(ROW()+1,COLUMN(), 4)),Dex!$A$2:$C893,3,false),"")</f>
        <v/>
      </c>
      <c r="D484" s="21" t="str">
        <f t="array" ref="D484">iferror(VLOOKUP(INDIRECT(ADDRESS(ROW()+1,COLUMN(), 4)),Dex!$A$2:$C893,3,false),"")</f>
        <v/>
      </c>
      <c r="E484" s="21" t="str">
        <f t="array" ref="E484">iferror(VLOOKUP(INDIRECT(ADDRESS(ROW()+1,COLUMN(), 4)),Dex!$A$2:$C893,3,false),"")</f>
        <v/>
      </c>
      <c r="F484" s="21" t="str">
        <f t="array" ref="F484">iferror(VLOOKUP(INDIRECT(ADDRESS(ROW()+1,COLUMN(), 4)),Dex!$A$2:$C893,3,false),"")</f>
        <v/>
      </c>
      <c r="G484" s="21" t="str">
        <f t="array" ref="G484">iferror(VLOOKUP(INDIRECT(ADDRESS(ROW()+1,COLUMN(), 4)),Dex!$A$2:$C893,3,false),"")</f>
        <v/>
      </c>
      <c r="H484" s="22" t="str">
        <f t="array" ref="H484">iferror(VLOOKUP("TRAINER_PIC_SWIMMER_M",Sprites!$A$1:$B893,2,false),"")</f>
        <v/>
      </c>
      <c r="I484" s="23"/>
    </row>
    <row r="485">
      <c r="A485" s="24"/>
      <c r="B485" s="25" t="s">
        <v>1169</v>
      </c>
      <c r="C485" s="25" t="s">
        <v>834</v>
      </c>
      <c r="D485" s="25" t="s">
        <v>859</v>
      </c>
      <c r="E485" s="25" t="s">
        <v>5</v>
      </c>
      <c r="F485" s="25" t="s">
        <v>588</v>
      </c>
      <c r="G485" s="25" t="s">
        <v>277</v>
      </c>
      <c r="H485" s="26"/>
    </row>
    <row r="486">
      <c r="A486" s="16" t="s">
        <v>1178</v>
      </c>
      <c r="B486" s="27" t="s">
        <v>2265</v>
      </c>
      <c r="C486" s="27" t="s">
        <v>2539</v>
      </c>
      <c r="D486" s="27" t="s">
        <v>2539</v>
      </c>
      <c r="E486" s="27" t="s">
        <v>2538</v>
      </c>
      <c r="F486" s="27" t="s">
        <v>2265</v>
      </c>
      <c r="G486" s="27" t="s">
        <v>2265</v>
      </c>
      <c r="H486" s="26"/>
    </row>
    <row r="487">
      <c r="A487" s="16" t="s">
        <v>1181</v>
      </c>
      <c r="B487" s="28" t="s">
        <v>1209</v>
      </c>
      <c r="C487" s="28" t="s">
        <v>1282</v>
      </c>
      <c r="D487" s="28" t="s">
        <v>2151</v>
      </c>
      <c r="E487" s="28" t="s">
        <v>1247</v>
      </c>
      <c r="F487" s="28" t="s">
        <v>1882</v>
      </c>
      <c r="G487" s="28" t="s">
        <v>2145</v>
      </c>
      <c r="H487" s="26"/>
    </row>
    <row r="488">
      <c r="A488" s="16" t="s">
        <v>1182</v>
      </c>
      <c r="B488" s="21" t="s">
        <v>1298</v>
      </c>
      <c r="C488" s="21" t="s">
        <v>1318</v>
      </c>
      <c r="D488" s="21" t="s">
        <v>1222</v>
      </c>
      <c r="E488" s="21" t="s">
        <v>1369</v>
      </c>
      <c r="F488" s="21" t="s">
        <v>1184</v>
      </c>
      <c r="G488" s="21" t="s">
        <v>1667</v>
      </c>
      <c r="H488" s="26"/>
    </row>
    <row r="489">
      <c r="A489" s="16" t="s">
        <v>1186</v>
      </c>
      <c r="B489" s="28" t="s">
        <v>1235</v>
      </c>
      <c r="C489" s="28" t="s">
        <v>1269</v>
      </c>
      <c r="D489" s="28" t="s">
        <v>1284</v>
      </c>
      <c r="E489" s="28" t="s">
        <v>1256</v>
      </c>
      <c r="F489" s="28" t="s">
        <v>1249</v>
      </c>
      <c r="G489" s="28" t="s">
        <v>1256</v>
      </c>
      <c r="H489" s="26"/>
    </row>
    <row r="490">
      <c r="A490" s="20" t="s">
        <v>1188</v>
      </c>
      <c r="B490" s="21" t="s">
        <v>1967</v>
      </c>
      <c r="C490" s="21" t="s">
        <v>1737</v>
      </c>
      <c r="D490" s="21" t="s">
        <v>1605</v>
      </c>
      <c r="E490" s="21" t="s">
        <v>1914</v>
      </c>
      <c r="F490" s="21" t="s">
        <v>1704</v>
      </c>
      <c r="G490" s="21" t="s">
        <v>1731</v>
      </c>
      <c r="H490" s="26"/>
    </row>
    <row r="491">
      <c r="A491" s="29"/>
      <c r="B491" s="21" t="s">
        <v>1830</v>
      </c>
      <c r="C491" s="21" t="s">
        <v>1238</v>
      </c>
      <c r="D491" s="21" t="s">
        <v>1740</v>
      </c>
      <c r="E491" s="21" t="s">
        <v>1618</v>
      </c>
      <c r="F491" s="21" t="s">
        <v>1677</v>
      </c>
      <c r="G491" s="21" t="s">
        <v>1740</v>
      </c>
      <c r="H491" s="26"/>
    </row>
    <row r="492">
      <c r="A492" s="29"/>
      <c r="B492" s="21" t="s">
        <v>2026</v>
      </c>
      <c r="C492" s="21" t="s">
        <v>1914</v>
      </c>
      <c r="D492" s="21" t="s">
        <v>1731</v>
      </c>
      <c r="E492" s="21" t="s">
        <v>2022</v>
      </c>
      <c r="F492" s="21" t="s">
        <v>1323</v>
      </c>
      <c r="G492" s="21" t="s">
        <v>1468</v>
      </c>
      <c r="H492" s="26"/>
    </row>
    <row r="493">
      <c r="A493" s="24"/>
      <c r="B493" s="21" t="s">
        <v>1854</v>
      </c>
      <c r="C493" s="21" t="s">
        <v>1377</v>
      </c>
      <c r="D493" s="21" t="s">
        <v>1698</v>
      </c>
      <c r="E493" s="21" t="s">
        <v>2438</v>
      </c>
      <c r="F493" s="21" t="s">
        <v>2022</v>
      </c>
      <c r="G493" s="21" t="s">
        <v>1652</v>
      </c>
      <c r="H493" s="30"/>
      <c r="I493" s="14"/>
    </row>
    <row r="494">
      <c r="A494" s="16" t="s">
        <v>1174</v>
      </c>
      <c r="B494" s="17" t="s">
        <v>2607</v>
      </c>
      <c r="C494" s="18"/>
      <c r="D494" s="18"/>
      <c r="E494" s="18"/>
      <c r="F494" s="18"/>
      <c r="G494" s="18"/>
      <c r="H494" s="18"/>
      <c r="I494" s="19"/>
    </row>
    <row r="495" ht="60.0" customHeight="1">
      <c r="A495" s="20" t="s">
        <v>1176</v>
      </c>
      <c r="B495" s="21" t="str">
        <f t="array" ref="B495">iferror(VLOOKUP(INDIRECT(ADDRESS(ROW()+1,COLUMN(), 4)),Dex!$A$2:$C893,3,false),"")</f>
        <v/>
      </c>
      <c r="C495" s="21" t="str">
        <f t="array" ref="C495">iferror(VLOOKUP(INDIRECT(ADDRESS(ROW()+1,COLUMN(), 4)),Dex!$A$2:$C893,3,false),"")</f>
        <v/>
      </c>
      <c r="D495" s="21" t="str">
        <f t="array" ref="D495">iferror(VLOOKUP(INDIRECT(ADDRESS(ROW()+1,COLUMN(), 4)),Dex!$A$2:$C893,3,false),"")</f>
        <v/>
      </c>
      <c r="E495" s="21" t="str">
        <f t="array" ref="E495">iferror(VLOOKUP(INDIRECT(ADDRESS(ROW()+1,COLUMN(), 4)),Dex!$A$2:$C893,3,false),"")</f>
        <v/>
      </c>
      <c r="F495" s="21" t="str">
        <f t="array" ref="F495">iferror(VLOOKUP(INDIRECT(ADDRESS(ROW()+1,COLUMN(), 4)),Dex!$A$2:$C893,3,false),"")</f>
        <v/>
      </c>
      <c r="G495" s="21" t="str">
        <f t="array" ref="G495">iferror(VLOOKUP(INDIRECT(ADDRESS(ROW()+1,COLUMN(), 4)),Dex!$A$2:$C893,3,false),"")</f>
        <v/>
      </c>
      <c r="H495" s="22" t="str">
        <f t="array" ref="H495">iferror(VLOOKUP("TRAINER_PIC_SWIMMING_TRIATHLETE_F",Sprites!$A$1:$B893,2,false),"")</f>
        <v/>
      </c>
      <c r="I495" s="23"/>
    </row>
    <row r="496">
      <c r="A496" s="24"/>
      <c r="B496" s="25" t="s">
        <v>990</v>
      </c>
      <c r="C496" s="25" t="s">
        <v>10</v>
      </c>
      <c r="D496" s="25" t="s">
        <v>986</v>
      </c>
      <c r="E496" s="25" t="s">
        <v>594</v>
      </c>
      <c r="F496" s="25" t="s">
        <v>540</v>
      </c>
      <c r="G496" s="25" t="s">
        <v>917</v>
      </c>
      <c r="H496" s="26"/>
    </row>
    <row r="497">
      <c r="A497" s="16" t="s">
        <v>1178</v>
      </c>
      <c r="B497" s="27" t="s">
        <v>2265</v>
      </c>
      <c r="C497" s="27" t="s">
        <v>2539</v>
      </c>
      <c r="D497" s="27" t="s">
        <v>2539</v>
      </c>
      <c r="E497" s="27" t="s">
        <v>2539</v>
      </c>
      <c r="F497" s="27" t="s">
        <v>2265</v>
      </c>
      <c r="G497" s="27" t="s">
        <v>2265</v>
      </c>
      <c r="H497" s="26"/>
    </row>
    <row r="498">
      <c r="A498" s="16" t="s">
        <v>1181</v>
      </c>
      <c r="B498" s="28" t="s">
        <v>1643</v>
      </c>
      <c r="C498" s="28" t="s">
        <v>1316</v>
      </c>
      <c r="D498" s="28" t="s">
        <v>2608</v>
      </c>
      <c r="E498" s="28" t="s">
        <v>1282</v>
      </c>
      <c r="F498" s="28" t="s">
        <v>1333</v>
      </c>
      <c r="G498" s="28" t="s">
        <v>1295</v>
      </c>
      <c r="H498" s="26"/>
    </row>
    <row r="499">
      <c r="A499" s="16" t="s">
        <v>1182</v>
      </c>
      <c r="B499" s="21" t="s">
        <v>1644</v>
      </c>
      <c r="C499" s="21" t="s">
        <v>2136</v>
      </c>
      <c r="D499" s="21" t="s">
        <v>2381</v>
      </c>
      <c r="E499" s="21" t="s">
        <v>1654</v>
      </c>
      <c r="F499" s="21" t="s">
        <v>1767</v>
      </c>
      <c r="G499" s="21" t="s">
        <v>1648</v>
      </c>
      <c r="H499" s="26"/>
    </row>
    <row r="500">
      <c r="A500" s="16" t="s">
        <v>1186</v>
      </c>
      <c r="B500" s="28" t="s">
        <v>1248</v>
      </c>
      <c r="C500" s="28" t="s">
        <v>1284</v>
      </c>
      <c r="D500" s="28" t="s">
        <v>1249</v>
      </c>
      <c r="E500" s="28" t="s">
        <v>1235</v>
      </c>
      <c r="F500" s="28" t="s">
        <v>1257</v>
      </c>
      <c r="G500" s="28" t="s">
        <v>1257</v>
      </c>
      <c r="H500" s="26"/>
    </row>
    <row r="501">
      <c r="A501" s="20" t="s">
        <v>1188</v>
      </c>
      <c r="B501" s="21" t="s">
        <v>1738</v>
      </c>
      <c r="C501" s="21" t="s">
        <v>1740</v>
      </c>
      <c r="D501" s="21" t="s">
        <v>2382</v>
      </c>
      <c r="E501" s="21" t="s">
        <v>1677</v>
      </c>
      <c r="F501" s="21" t="s">
        <v>1618</v>
      </c>
      <c r="G501" s="21" t="s">
        <v>1815</v>
      </c>
      <c r="H501" s="26"/>
    </row>
    <row r="502">
      <c r="A502" s="29"/>
      <c r="B502" s="21" t="s">
        <v>1646</v>
      </c>
      <c r="C502" s="21" t="s">
        <v>1328</v>
      </c>
      <c r="D502" s="21" t="s">
        <v>1830</v>
      </c>
      <c r="E502" s="21" t="s">
        <v>1238</v>
      </c>
      <c r="F502" s="21" t="s">
        <v>2022</v>
      </c>
      <c r="G502" s="21" t="s">
        <v>1731</v>
      </c>
      <c r="H502" s="26"/>
    </row>
    <row r="503">
      <c r="A503" s="29"/>
      <c r="B503" s="21" t="s">
        <v>1677</v>
      </c>
      <c r="C503" s="21" t="s">
        <v>1914</v>
      </c>
      <c r="D503" s="21" t="s">
        <v>1740</v>
      </c>
      <c r="E503" s="21" t="s">
        <v>1377</v>
      </c>
      <c r="F503" s="21" t="s">
        <v>1398</v>
      </c>
      <c r="G503" s="21" t="s">
        <v>2022</v>
      </c>
      <c r="H503" s="26"/>
    </row>
    <row r="504">
      <c r="A504" s="24"/>
      <c r="B504" s="21" t="s">
        <v>1372</v>
      </c>
      <c r="C504" s="21" t="s">
        <v>1377</v>
      </c>
      <c r="D504" s="21" t="s">
        <v>2447</v>
      </c>
      <c r="E504" s="21" t="s">
        <v>1641</v>
      </c>
      <c r="F504" s="21" t="s">
        <v>1362</v>
      </c>
      <c r="G504" s="21" t="s">
        <v>1698</v>
      </c>
      <c r="H504" s="30"/>
      <c r="I504" s="14"/>
    </row>
    <row r="505">
      <c r="A505" s="16" t="s">
        <v>1174</v>
      </c>
      <c r="B505" s="17" t="s">
        <v>2609</v>
      </c>
      <c r="C505" s="18"/>
      <c r="D505" s="18"/>
      <c r="E505" s="18"/>
      <c r="F505" s="18"/>
      <c r="G505" s="18"/>
      <c r="H505" s="18"/>
      <c r="I505" s="19"/>
    </row>
    <row r="506" ht="60.0" customHeight="1">
      <c r="A506" s="20" t="s">
        <v>1176</v>
      </c>
      <c r="B506" s="21" t="str">
        <f t="array" ref="B506">iferror(VLOOKUP(INDIRECT(ADDRESS(ROW()+1,COLUMN(), 4)),Dex!$A$2:$C893,3,false),"")</f>
        <v/>
      </c>
      <c r="C506" s="21" t="str">
        <f t="array" ref="C506">iferror(VLOOKUP(INDIRECT(ADDRESS(ROW()+1,COLUMN(), 4)),Dex!$A$2:$C893,3,false),"")</f>
        <v/>
      </c>
      <c r="D506" s="21" t="str">
        <f t="array" ref="D506">iferror(VLOOKUP(INDIRECT(ADDRESS(ROW()+1,COLUMN(), 4)),Dex!$A$2:$C893,3,false),"")</f>
        <v/>
      </c>
      <c r="E506" s="21" t="str">
        <f t="array" ref="E506">iferror(VLOOKUP(INDIRECT(ADDRESS(ROW()+1,COLUMN(), 4)),Dex!$A$2:$C893,3,false),"")</f>
        <v/>
      </c>
      <c r="F506" s="21" t="str">
        <f t="array" ref="F506">iferror(VLOOKUP(INDIRECT(ADDRESS(ROW()+1,COLUMN(), 4)),Dex!$A$2:$C893,3,false),"")</f>
        <v/>
      </c>
      <c r="G506" s="21" t="str">
        <f t="array" ref="G506">iferror(VLOOKUP(INDIRECT(ADDRESS(ROW()+1,COLUMN(), 4)),Dex!$A$2:$C893,3,false),"")</f>
        <v/>
      </c>
      <c r="H506" s="22" t="str">
        <f t="array" ref="H506">iferror(VLOOKUP("TRAINER_PIC_SIS_AND_BRO",Sprites!$A$1:$B893,2,false),"")</f>
        <v/>
      </c>
      <c r="I506" s="23"/>
    </row>
    <row r="507">
      <c r="A507" s="24"/>
      <c r="B507" s="25" t="s">
        <v>105</v>
      </c>
      <c r="C507" s="25" t="s">
        <v>208</v>
      </c>
      <c r="D507" s="25" t="s">
        <v>1044</v>
      </c>
      <c r="E507" s="25" t="s">
        <v>993</v>
      </c>
      <c r="F507" s="25" t="s">
        <v>1165</v>
      </c>
      <c r="G507" s="25" t="s">
        <v>418</v>
      </c>
      <c r="H507" s="26"/>
    </row>
    <row r="508">
      <c r="A508" s="16" t="s">
        <v>1178</v>
      </c>
      <c r="B508" s="27" t="s">
        <v>2265</v>
      </c>
      <c r="C508" s="27" t="s">
        <v>2265</v>
      </c>
      <c r="D508" s="27" t="s">
        <v>2265</v>
      </c>
      <c r="E508" s="27" t="s">
        <v>2539</v>
      </c>
      <c r="F508" s="27" t="s">
        <v>2539</v>
      </c>
      <c r="G508" s="27" t="s">
        <v>2570</v>
      </c>
      <c r="H508" s="26"/>
    </row>
    <row r="509">
      <c r="A509" s="16" t="s">
        <v>1181</v>
      </c>
      <c r="B509" s="28" t="s">
        <v>1247</v>
      </c>
      <c r="C509" s="28" t="s">
        <v>2036</v>
      </c>
      <c r="D509" s="28" t="s">
        <v>1457</v>
      </c>
      <c r="E509" s="28" t="s">
        <v>2151</v>
      </c>
      <c r="F509" s="28" t="s">
        <v>1838</v>
      </c>
      <c r="G509" s="28" t="s">
        <v>1882</v>
      </c>
      <c r="H509" s="26"/>
    </row>
    <row r="510">
      <c r="A510" s="16" t="s">
        <v>1182</v>
      </c>
      <c r="B510" s="21" t="s">
        <v>1369</v>
      </c>
      <c r="C510" s="21" t="s">
        <v>1211</v>
      </c>
      <c r="D510" s="21" t="s">
        <v>2172</v>
      </c>
      <c r="E510" s="21" t="s">
        <v>1947</v>
      </c>
      <c r="F510" s="21" t="s">
        <v>1211</v>
      </c>
      <c r="G510" s="21" t="s">
        <v>1233</v>
      </c>
      <c r="H510" s="26"/>
    </row>
    <row r="511">
      <c r="A511" s="16" t="s">
        <v>1186</v>
      </c>
      <c r="B511" s="28" t="s">
        <v>1300</v>
      </c>
      <c r="C511" s="28" t="s">
        <v>1248</v>
      </c>
      <c r="D511" s="28" t="s">
        <v>1235</v>
      </c>
      <c r="E511" s="28" t="s">
        <v>1235</v>
      </c>
      <c r="F511" s="28" t="s">
        <v>1383</v>
      </c>
      <c r="G511" s="28" t="s">
        <v>1235</v>
      </c>
      <c r="H511" s="26"/>
    </row>
    <row r="512">
      <c r="A512" s="20" t="s">
        <v>1188</v>
      </c>
      <c r="B512" s="21" t="s">
        <v>2067</v>
      </c>
      <c r="C512" s="21" t="s">
        <v>1678</v>
      </c>
      <c r="D512" s="21" t="s">
        <v>2173</v>
      </c>
      <c r="E512" s="21" t="s">
        <v>1372</v>
      </c>
      <c r="F512" s="21" t="s">
        <v>1738</v>
      </c>
      <c r="G512" s="21" t="s">
        <v>1594</v>
      </c>
      <c r="H512" s="26"/>
    </row>
    <row r="513">
      <c r="A513" s="29"/>
      <c r="B513" s="21" t="s">
        <v>1814</v>
      </c>
      <c r="C513" s="21" t="s">
        <v>1415</v>
      </c>
      <c r="D513" s="21" t="s">
        <v>1431</v>
      </c>
      <c r="E513" s="21" t="s">
        <v>1952</v>
      </c>
      <c r="F513" s="21" t="s">
        <v>1779</v>
      </c>
      <c r="G513" s="21" t="s">
        <v>1874</v>
      </c>
      <c r="H513" s="26"/>
    </row>
    <row r="514">
      <c r="A514" s="29"/>
      <c r="B514" s="21" t="s">
        <v>2022</v>
      </c>
      <c r="C514" s="21" t="s">
        <v>1389</v>
      </c>
      <c r="D514" s="21" t="s">
        <v>1376</v>
      </c>
      <c r="E514" s="21" t="s">
        <v>1578</v>
      </c>
      <c r="F514" s="21" t="s">
        <v>1678</v>
      </c>
      <c r="G514" s="21" t="s">
        <v>1741</v>
      </c>
      <c r="H514" s="26"/>
    </row>
    <row r="515">
      <c r="A515" s="24"/>
      <c r="B515" s="21" t="s">
        <v>1622</v>
      </c>
      <c r="C515" s="21" t="s">
        <v>1705</v>
      </c>
      <c r="D515" s="21" t="s">
        <v>2349</v>
      </c>
      <c r="E515" s="21" t="s">
        <v>1641</v>
      </c>
      <c r="F515" s="21" t="s">
        <v>1385</v>
      </c>
      <c r="G515" s="21" t="s">
        <v>1389</v>
      </c>
      <c r="H515" s="30"/>
      <c r="I515" s="14"/>
    </row>
    <row r="516">
      <c r="A516" s="16" t="s">
        <v>1174</v>
      </c>
      <c r="B516" s="17" t="s">
        <v>2610</v>
      </c>
      <c r="C516" s="18"/>
      <c r="D516" s="18"/>
      <c r="E516" s="18"/>
      <c r="F516" s="18"/>
      <c r="G516" s="18"/>
      <c r="H516" s="18"/>
      <c r="I516" s="19"/>
    </row>
    <row r="517" ht="60.0" customHeight="1">
      <c r="A517" s="20" t="s">
        <v>1176</v>
      </c>
      <c r="B517" s="21" t="str">
        <f t="array" ref="B517">iferror(VLOOKUP(INDIRECT(ADDRESS(ROW()+1,COLUMN(), 4)),Dex!$A$2:$C893,3,false),"")</f>
        <v/>
      </c>
      <c r="C517" s="21" t="str">
        <f t="array" ref="C517">iferror(VLOOKUP(INDIRECT(ADDRESS(ROW()+1,COLUMN(), 4)),Dex!$A$2:$C893,3,false),"")</f>
        <v/>
      </c>
      <c r="D517" s="21" t="str">
        <f t="array" ref="D517">iferror(VLOOKUP(INDIRECT(ADDRESS(ROW()+1,COLUMN(), 4)),Dex!$A$2:$C893,3,false),"")</f>
        <v/>
      </c>
      <c r="E517" s="21" t="str">
        <f t="array" ref="E517">iferror(VLOOKUP(INDIRECT(ADDRESS(ROW()+1,COLUMN(), 4)),Dex!$A$2:$C893,3,false),"")</f>
        <v/>
      </c>
      <c r="F517" s="21" t="str">
        <f t="array" ref="F517">iferror(VLOOKUP(INDIRECT(ADDRESS(ROW()+1,COLUMN(), 4)),Dex!$A$2:$C893,3,false),"")</f>
        <v/>
      </c>
      <c r="G517" s="21" t="str">
        <f t="array" ref="G517">iferror(VLOOKUP(INDIRECT(ADDRESS(ROW()+1,COLUMN(), 4)),Dex!$A$2:$C893,3,false),"")</f>
        <v/>
      </c>
      <c r="H517" s="22" t="str">
        <f t="array" ref="H517">iferror(VLOOKUP("TRAINER_PIC_SWIMMER_M",Sprites!$A$1:$B893,2,false),"")</f>
        <v/>
      </c>
      <c r="I517" s="23"/>
    </row>
    <row r="518">
      <c r="A518" s="24"/>
      <c r="B518" s="25" t="s">
        <v>947</v>
      </c>
      <c r="C518" s="25" t="s">
        <v>763</v>
      </c>
      <c r="D518" s="25" t="s">
        <v>715</v>
      </c>
      <c r="E518" s="25" t="s">
        <v>482</v>
      </c>
      <c r="F518" s="25" t="s">
        <v>596</v>
      </c>
      <c r="G518" s="25" t="s">
        <v>752</v>
      </c>
      <c r="H518" s="26"/>
    </row>
    <row r="519">
      <c r="A519" s="16" t="s">
        <v>1178</v>
      </c>
      <c r="B519" s="27" t="s">
        <v>2570</v>
      </c>
      <c r="C519" s="27" t="s">
        <v>2570</v>
      </c>
      <c r="D519" s="27" t="s">
        <v>2539</v>
      </c>
      <c r="E519" s="27" t="s">
        <v>2539</v>
      </c>
      <c r="F519" s="27" t="s">
        <v>2265</v>
      </c>
      <c r="G519" s="27" t="s">
        <v>2570</v>
      </c>
      <c r="H519" s="26"/>
    </row>
    <row r="520">
      <c r="A520" s="16" t="s">
        <v>1181</v>
      </c>
      <c r="B520" s="28" t="s">
        <v>1428</v>
      </c>
      <c r="C520" s="28" t="s">
        <v>1838</v>
      </c>
      <c r="D520" s="28" t="s">
        <v>1882</v>
      </c>
      <c r="E520" s="28" t="s">
        <v>1457</v>
      </c>
      <c r="F520" s="28" t="s">
        <v>1643</v>
      </c>
      <c r="G520" s="28" t="s">
        <v>1281</v>
      </c>
      <c r="H520" s="26"/>
    </row>
    <row r="521">
      <c r="A521" s="16" t="s">
        <v>1182</v>
      </c>
      <c r="B521" s="21" t="s">
        <v>2223</v>
      </c>
      <c r="C521" s="21" t="s">
        <v>1368</v>
      </c>
      <c r="D521" s="21" t="s">
        <v>2015</v>
      </c>
      <c r="E521" s="21" t="s">
        <v>1783</v>
      </c>
      <c r="F521" s="21" t="s">
        <v>1811</v>
      </c>
      <c r="G521" s="21" t="s">
        <v>1462</v>
      </c>
      <c r="H521" s="26"/>
    </row>
    <row r="522">
      <c r="A522" s="16" t="s">
        <v>1186</v>
      </c>
      <c r="B522" s="28" t="s">
        <v>1248</v>
      </c>
      <c r="C522" s="28" t="s">
        <v>1269</v>
      </c>
      <c r="D522" s="28" t="s">
        <v>1235</v>
      </c>
      <c r="E522" s="28" t="s">
        <v>1235</v>
      </c>
      <c r="F522" s="28" t="s">
        <v>1284</v>
      </c>
      <c r="G522" s="28" t="s">
        <v>1284</v>
      </c>
      <c r="H522" s="26"/>
    </row>
    <row r="523">
      <c r="A523" s="20" t="s">
        <v>1188</v>
      </c>
      <c r="B523" s="21" t="s">
        <v>1760</v>
      </c>
      <c r="C523" s="21" t="s">
        <v>1663</v>
      </c>
      <c r="D523" s="21" t="s">
        <v>1874</v>
      </c>
      <c r="E523" s="21" t="s">
        <v>2317</v>
      </c>
      <c r="F523" s="21" t="s">
        <v>1863</v>
      </c>
      <c r="G523" s="21" t="s">
        <v>2287</v>
      </c>
      <c r="H523" s="26"/>
    </row>
    <row r="524">
      <c r="A524" s="29"/>
      <c r="B524" s="21" t="s">
        <v>1575</v>
      </c>
      <c r="C524" s="21" t="s">
        <v>1817</v>
      </c>
      <c r="D524" s="21" t="s">
        <v>1594</v>
      </c>
      <c r="E524" s="21" t="s">
        <v>1677</v>
      </c>
      <c r="F524" s="21" t="s">
        <v>1663</v>
      </c>
      <c r="G524" s="21" t="s">
        <v>1695</v>
      </c>
      <c r="H524" s="26"/>
    </row>
    <row r="525">
      <c r="A525" s="29"/>
      <c r="B525" s="21" t="s">
        <v>1374</v>
      </c>
      <c r="C525" s="21" t="s">
        <v>1373</v>
      </c>
      <c r="D525" s="21" t="s">
        <v>1662</v>
      </c>
      <c r="E525" s="21" t="s">
        <v>1425</v>
      </c>
      <c r="F525" s="21" t="s">
        <v>1890</v>
      </c>
      <c r="G525" s="21" t="s">
        <v>1742</v>
      </c>
      <c r="H525" s="26"/>
    </row>
    <row r="526">
      <c r="A526" s="24"/>
      <c r="B526" s="21" t="s">
        <v>1310</v>
      </c>
      <c r="C526" s="21" t="s">
        <v>1376</v>
      </c>
      <c r="D526" s="21" t="s">
        <v>1915</v>
      </c>
      <c r="E526" s="21" t="s">
        <v>1422</v>
      </c>
      <c r="F526" s="21" t="s">
        <v>1771</v>
      </c>
      <c r="G526" s="21" t="s">
        <v>1623</v>
      </c>
      <c r="H526" s="30"/>
      <c r="I526" s="14"/>
    </row>
    <row r="527">
      <c r="A527" s="37"/>
      <c r="B527" s="38" t="s">
        <v>2611</v>
      </c>
      <c r="C527" s="14"/>
      <c r="D527" s="14"/>
      <c r="E527" s="14"/>
      <c r="F527" s="14"/>
      <c r="G527" s="14"/>
      <c r="H527" s="24"/>
      <c r="I527" s="33"/>
    </row>
    <row r="528">
      <c r="A528" s="16" t="s">
        <v>1174</v>
      </c>
      <c r="B528" s="17" t="s">
        <v>2612</v>
      </c>
      <c r="C528" s="18"/>
      <c r="D528" s="18"/>
      <c r="E528" s="18"/>
      <c r="F528" s="18"/>
      <c r="G528" s="18"/>
      <c r="H528" s="18"/>
      <c r="I528" s="16"/>
    </row>
    <row r="529" ht="60.0" customHeight="1">
      <c r="A529" s="20" t="s">
        <v>1176</v>
      </c>
      <c r="B529" s="21" t="str">
        <f t="array" ref="B529">iferror(VLOOKUP(INDIRECT(ADDRESS(ROW()+1,COLUMN(), 4)),Dex!$A$2:$C893,3,false),"")</f>
        <v/>
      </c>
      <c r="C529" s="21" t="str">
        <f t="array" ref="C529">iferror(VLOOKUP(INDIRECT(ADDRESS(ROW()+1,COLUMN(), 4)),Dex!$A$2:$C893,3,false),"")</f>
        <v/>
      </c>
      <c r="D529" s="21" t="str">
        <f t="array" ref="D529">iferror(VLOOKUP(INDIRECT(ADDRESS(ROW()+1,COLUMN(), 4)),Dex!$A$2:$C893,3,false),"")</f>
        <v/>
      </c>
      <c r="E529" s="21" t="s">
        <v>1177</v>
      </c>
      <c r="F529" s="21" t="s">
        <v>1177</v>
      </c>
      <c r="G529" s="21" t="s">
        <v>1177</v>
      </c>
      <c r="H529" s="22" t="str">
        <f t="array" ref="H529">iferror(VLOOKUP("TRAINER_PIC_SWIMMER_M",Sprites!$A$1:$B893,2,false),"")</f>
        <v/>
      </c>
      <c r="I529" s="23"/>
    </row>
    <row r="530">
      <c r="A530" s="24"/>
      <c r="B530" s="25" t="s">
        <v>309</v>
      </c>
      <c r="C530" s="25" t="s">
        <v>777</v>
      </c>
      <c r="D530" s="25" t="s">
        <v>738</v>
      </c>
      <c r="E530" s="25" t="s">
        <v>1177</v>
      </c>
      <c r="F530" s="25" t="s">
        <v>1177</v>
      </c>
      <c r="G530" s="25" t="s">
        <v>1177</v>
      </c>
      <c r="H530" s="26"/>
    </row>
    <row r="531">
      <c r="A531" s="16" t="s">
        <v>1178</v>
      </c>
      <c r="B531" s="27" t="s">
        <v>2264</v>
      </c>
      <c r="C531" s="27" t="s">
        <v>2264</v>
      </c>
      <c r="D531" s="27" t="s">
        <v>2264</v>
      </c>
      <c r="E531" s="21" t="s">
        <v>1177</v>
      </c>
      <c r="F531" s="21" t="s">
        <v>1177</v>
      </c>
      <c r="G531" s="21" t="s">
        <v>1177</v>
      </c>
      <c r="H531" s="26"/>
    </row>
    <row r="532">
      <c r="A532" s="16" t="s">
        <v>1181</v>
      </c>
      <c r="B532" s="28" t="s">
        <v>1177</v>
      </c>
      <c r="C532" s="28" t="s">
        <v>1177</v>
      </c>
      <c r="D532" s="28" t="s">
        <v>1177</v>
      </c>
      <c r="E532" s="28" t="s">
        <v>1177</v>
      </c>
      <c r="F532" s="28" t="s">
        <v>1177</v>
      </c>
      <c r="G532" s="28" t="s">
        <v>1177</v>
      </c>
      <c r="H532" s="26"/>
    </row>
    <row r="533">
      <c r="A533" s="16" t="s">
        <v>1182</v>
      </c>
      <c r="B533" s="21" t="s">
        <v>2121</v>
      </c>
      <c r="C533" s="21" t="s">
        <v>1357</v>
      </c>
      <c r="D533" s="21" t="s">
        <v>1445</v>
      </c>
      <c r="E533" s="21" t="s">
        <v>1177</v>
      </c>
      <c r="F533" s="21" t="s">
        <v>1177</v>
      </c>
      <c r="G533" s="21" t="s">
        <v>1177</v>
      </c>
      <c r="H533" s="26"/>
    </row>
    <row r="534">
      <c r="A534" s="16" t="s">
        <v>1186</v>
      </c>
      <c r="B534" s="28" t="s">
        <v>1187</v>
      </c>
      <c r="C534" s="28" t="s">
        <v>1187</v>
      </c>
      <c r="D534" s="28" t="s">
        <v>1187</v>
      </c>
      <c r="E534" s="28" t="s">
        <v>1177</v>
      </c>
      <c r="F534" s="28" t="s">
        <v>1177</v>
      </c>
      <c r="G534" s="28" t="s">
        <v>1177</v>
      </c>
      <c r="H534" s="26"/>
    </row>
    <row r="535">
      <c r="A535" s="20" t="s">
        <v>1188</v>
      </c>
      <c r="B535" s="21" t="s">
        <v>1177</v>
      </c>
      <c r="C535" s="21" t="s">
        <v>1177</v>
      </c>
      <c r="D535" s="21" t="s">
        <v>1177</v>
      </c>
      <c r="E535" s="21" t="s">
        <v>1177</v>
      </c>
      <c r="F535" s="21" t="s">
        <v>1177</v>
      </c>
      <c r="G535" s="21" t="s">
        <v>1177</v>
      </c>
      <c r="H535" s="26"/>
    </row>
    <row r="536">
      <c r="A536" s="29"/>
      <c r="B536" s="21" t="s">
        <v>1177</v>
      </c>
      <c r="C536" s="21" t="s">
        <v>1177</v>
      </c>
      <c r="D536" s="21" t="s">
        <v>1177</v>
      </c>
      <c r="E536" s="21" t="s">
        <v>1177</v>
      </c>
      <c r="F536" s="21" t="s">
        <v>1177</v>
      </c>
      <c r="G536" s="21" t="s">
        <v>1177</v>
      </c>
      <c r="H536" s="26"/>
    </row>
    <row r="537">
      <c r="A537" s="29"/>
      <c r="B537" s="21" t="s">
        <v>1177</v>
      </c>
      <c r="C537" s="21" t="s">
        <v>1177</v>
      </c>
      <c r="D537" s="21" t="s">
        <v>1177</v>
      </c>
      <c r="E537" s="21" t="s">
        <v>1177</v>
      </c>
      <c r="F537" s="21" t="s">
        <v>1177</v>
      </c>
      <c r="G537" s="21" t="s">
        <v>1177</v>
      </c>
      <c r="H537" s="26"/>
    </row>
    <row r="538">
      <c r="A538" s="24"/>
      <c r="B538" s="21" t="s">
        <v>1177</v>
      </c>
      <c r="C538" s="21" t="s">
        <v>1177</v>
      </c>
      <c r="D538" s="21" t="s">
        <v>1177</v>
      </c>
      <c r="E538" s="21" t="s">
        <v>1177</v>
      </c>
      <c r="F538" s="21" t="s">
        <v>1177</v>
      </c>
      <c r="G538" s="21" t="s">
        <v>1177</v>
      </c>
      <c r="H538" s="30"/>
      <c r="I538" s="14"/>
    </row>
    <row r="539">
      <c r="A539" s="16" t="s">
        <v>1174</v>
      </c>
      <c r="B539" s="17" t="s">
        <v>2613</v>
      </c>
      <c r="C539" s="18"/>
      <c r="D539" s="18"/>
      <c r="E539" s="18"/>
      <c r="F539" s="18"/>
      <c r="G539" s="18"/>
      <c r="H539" s="18"/>
      <c r="I539" s="16"/>
    </row>
    <row r="540" ht="60.0" customHeight="1">
      <c r="A540" s="20" t="s">
        <v>1176</v>
      </c>
      <c r="B540" s="21" t="str">
        <f t="array" ref="B540">iferror(VLOOKUP(INDIRECT(ADDRESS(ROW()+1,COLUMN(), 4)),Dex!$A$2:$C893,3,false),"")</f>
        <v/>
      </c>
      <c r="C540" s="21" t="str">
        <f t="array" ref="C540">iferror(VLOOKUP(INDIRECT(ADDRESS(ROW()+1,COLUMN(), 4)),Dex!$A$2:$C893,3,false),"")</f>
        <v/>
      </c>
      <c r="D540" s="21" t="s">
        <v>1177</v>
      </c>
      <c r="E540" s="21" t="s">
        <v>1177</v>
      </c>
      <c r="F540" s="21" t="s">
        <v>1177</v>
      </c>
      <c r="G540" s="21" t="s">
        <v>1177</v>
      </c>
      <c r="H540" s="22" t="str">
        <f t="array" ref="H540">iferror(VLOOKUP("TRAINER_PIC_SWIMMER_F",Sprites!$A$1:$B893,2,false),"")</f>
        <v/>
      </c>
      <c r="I540" s="23"/>
    </row>
    <row r="541">
      <c r="A541" s="24"/>
      <c r="B541" s="25" t="s">
        <v>141</v>
      </c>
      <c r="C541" s="25" t="s">
        <v>602</v>
      </c>
      <c r="D541" s="25" t="s">
        <v>1177</v>
      </c>
      <c r="E541" s="25" t="s">
        <v>1177</v>
      </c>
      <c r="F541" s="25" t="s">
        <v>1177</v>
      </c>
      <c r="G541" s="25" t="s">
        <v>1177</v>
      </c>
      <c r="H541" s="26"/>
    </row>
    <row r="542">
      <c r="A542" s="16" t="s">
        <v>1178</v>
      </c>
      <c r="B542" s="27" t="s">
        <v>2264</v>
      </c>
      <c r="C542" s="27" t="s">
        <v>2264</v>
      </c>
      <c r="D542" s="21" t="s">
        <v>1177</v>
      </c>
      <c r="E542" s="21" t="s">
        <v>1177</v>
      </c>
      <c r="F542" s="21" t="s">
        <v>1177</v>
      </c>
      <c r="G542" s="21" t="s">
        <v>1177</v>
      </c>
      <c r="H542" s="26"/>
    </row>
    <row r="543">
      <c r="A543" s="16" t="s">
        <v>1181</v>
      </c>
      <c r="B543" s="28" t="s">
        <v>1177</v>
      </c>
      <c r="C543" s="28" t="s">
        <v>1177</v>
      </c>
      <c r="D543" s="28" t="s">
        <v>1177</v>
      </c>
      <c r="E543" s="28" t="s">
        <v>1177</v>
      </c>
      <c r="F543" s="28" t="s">
        <v>1177</v>
      </c>
      <c r="G543" s="28" t="s">
        <v>1177</v>
      </c>
      <c r="H543" s="26"/>
    </row>
    <row r="544">
      <c r="A544" s="16" t="s">
        <v>1182</v>
      </c>
      <c r="B544" s="21" t="s">
        <v>1393</v>
      </c>
      <c r="C544" s="21" t="s">
        <v>1393</v>
      </c>
      <c r="D544" s="21" t="s">
        <v>1177</v>
      </c>
      <c r="E544" s="21" t="s">
        <v>1177</v>
      </c>
      <c r="F544" s="21" t="s">
        <v>1177</v>
      </c>
      <c r="G544" s="21" t="s">
        <v>1177</v>
      </c>
      <c r="H544" s="26"/>
    </row>
    <row r="545">
      <c r="A545" s="16" t="s">
        <v>1186</v>
      </c>
      <c r="B545" s="28" t="s">
        <v>1187</v>
      </c>
      <c r="C545" s="28" t="s">
        <v>1187</v>
      </c>
      <c r="D545" s="28" t="s">
        <v>1177</v>
      </c>
      <c r="E545" s="28" t="s">
        <v>1177</v>
      </c>
      <c r="F545" s="28" t="s">
        <v>1177</v>
      </c>
      <c r="G545" s="28" t="s">
        <v>1177</v>
      </c>
      <c r="H545" s="26"/>
    </row>
    <row r="546">
      <c r="A546" s="20" t="s">
        <v>1188</v>
      </c>
      <c r="B546" s="21" t="s">
        <v>1177</v>
      </c>
      <c r="C546" s="21" t="s">
        <v>1177</v>
      </c>
      <c r="D546" s="21" t="s">
        <v>1177</v>
      </c>
      <c r="E546" s="21" t="s">
        <v>1177</v>
      </c>
      <c r="F546" s="21" t="s">
        <v>1177</v>
      </c>
      <c r="G546" s="21" t="s">
        <v>1177</v>
      </c>
      <c r="H546" s="26"/>
    </row>
    <row r="547">
      <c r="A547" s="29"/>
      <c r="B547" s="21" t="s">
        <v>1177</v>
      </c>
      <c r="C547" s="21" t="s">
        <v>1177</v>
      </c>
      <c r="D547" s="21" t="s">
        <v>1177</v>
      </c>
      <c r="E547" s="21" t="s">
        <v>1177</v>
      </c>
      <c r="F547" s="21" t="s">
        <v>1177</v>
      </c>
      <c r="G547" s="21" t="s">
        <v>1177</v>
      </c>
      <c r="H547" s="26"/>
    </row>
    <row r="548">
      <c r="A548" s="29"/>
      <c r="B548" s="21" t="s">
        <v>1177</v>
      </c>
      <c r="C548" s="21" t="s">
        <v>1177</v>
      </c>
      <c r="D548" s="21" t="s">
        <v>1177</v>
      </c>
      <c r="E548" s="21" t="s">
        <v>1177</v>
      </c>
      <c r="F548" s="21" t="s">
        <v>1177</v>
      </c>
      <c r="G548" s="21" t="s">
        <v>1177</v>
      </c>
      <c r="H548" s="26"/>
    </row>
    <row r="549">
      <c r="A549" s="24"/>
      <c r="B549" s="21" t="s">
        <v>1177</v>
      </c>
      <c r="C549" s="21" t="s">
        <v>1177</v>
      </c>
      <c r="D549" s="21" t="s">
        <v>1177</v>
      </c>
      <c r="E549" s="21" t="s">
        <v>1177</v>
      </c>
      <c r="F549" s="21" t="s">
        <v>1177</v>
      </c>
      <c r="G549" s="21" t="s">
        <v>1177</v>
      </c>
      <c r="H549" s="30"/>
      <c r="I549" s="14"/>
    </row>
    <row r="550">
      <c r="A550" s="16" t="s">
        <v>1174</v>
      </c>
      <c r="B550" s="17" t="s">
        <v>2614</v>
      </c>
      <c r="C550" s="18"/>
      <c r="D550" s="18"/>
      <c r="E550" s="18"/>
      <c r="F550" s="18"/>
      <c r="G550" s="18"/>
      <c r="H550" s="18"/>
      <c r="I550" s="16"/>
    </row>
    <row r="551" ht="60.0" customHeight="1">
      <c r="A551" s="20" t="s">
        <v>1176</v>
      </c>
      <c r="B551" s="21" t="str">
        <f t="array" ref="B551">iferror(VLOOKUP(INDIRECT(ADDRESS(ROW()+1,COLUMN(), 4)),Dex!$A$2:$C893,3,false),"")</f>
        <v/>
      </c>
      <c r="C551" s="21" t="str">
        <f t="array" ref="C551">iferror(VLOOKUP(INDIRECT(ADDRESS(ROW()+1,COLUMN(), 4)),Dex!$A$2:$C893,3,false),"")</f>
        <v/>
      </c>
      <c r="D551" s="21" t="s">
        <v>1177</v>
      </c>
      <c r="E551" s="21" t="s">
        <v>1177</v>
      </c>
      <c r="F551" s="21" t="s">
        <v>1177</v>
      </c>
      <c r="G551" s="21" t="s">
        <v>1177</v>
      </c>
      <c r="H551" s="22" t="str">
        <f t="array" ref="H551">iferror(VLOOKUP("TRAINER_PIC_SWIMMER_F",Sprites!$A$1:$B893,2,false),"")</f>
        <v/>
      </c>
      <c r="I551" s="23"/>
    </row>
    <row r="552">
      <c r="A552" s="24"/>
      <c r="B552" s="25" t="s">
        <v>141</v>
      </c>
      <c r="C552" s="25" t="s">
        <v>456</v>
      </c>
      <c r="D552" s="25" t="s">
        <v>1177</v>
      </c>
      <c r="E552" s="25" t="s">
        <v>1177</v>
      </c>
      <c r="F552" s="25" t="s">
        <v>1177</v>
      </c>
      <c r="G552" s="25" t="s">
        <v>1177</v>
      </c>
      <c r="H552" s="26"/>
    </row>
    <row r="553">
      <c r="A553" s="16" t="s">
        <v>1178</v>
      </c>
      <c r="B553" s="27" t="s">
        <v>2264</v>
      </c>
      <c r="C553" s="27" t="s">
        <v>2264</v>
      </c>
      <c r="D553" s="21" t="s">
        <v>1177</v>
      </c>
      <c r="E553" s="21" t="s">
        <v>1177</v>
      </c>
      <c r="F553" s="21" t="s">
        <v>1177</v>
      </c>
      <c r="G553" s="21" t="s">
        <v>1177</v>
      </c>
      <c r="H553" s="26"/>
    </row>
    <row r="554">
      <c r="A554" s="16" t="s">
        <v>1181</v>
      </c>
      <c r="B554" s="28" t="s">
        <v>1177</v>
      </c>
      <c r="C554" s="28" t="s">
        <v>1177</v>
      </c>
      <c r="D554" s="28" t="s">
        <v>1177</v>
      </c>
      <c r="E554" s="28" t="s">
        <v>1177</v>
      </c>
      <c r="F554" s="28" t="s">
        <v>1177</v>
      </c>
      <c r="G554" s="28" t="s">
        <v>1177</v>
      </c>
      <c r="H554" s="26"/>
    </row>
    <row r="555">
      <c r="A555" s="16" t="s">
        <v>1182</v>
      </c>
      <c r="B555" s="21" t="s">
        <v>1393</v>
      </c>
      <c r="C555" s="21" t="s">
        <v>1381</v>
      </c>
      <c r="D555" s="21" t="s">
        <v>1177</v>
      </c>
      <c r="E555" s="21" t="s">
        <v>1177</v>
      </c>
      <c r="F555" s="21" t="s">
        <v>1177</v>
      </c>
      <c r="G555" s="21" t="s">
        <v>1177</v>
      </c>
      <c r="H555" s="26"/>
    </row>
    <row r="556">
      <c r="A556" s="16" t="s">
        <v>1186</v>
      </c>
      <c r="B556" s="28" t="s">
        <v>1187</v>
      </c>
      <c r="C556" s="28" t="s">
        <v>1187</v>
      </c>
      <c r="D556" s="28" t="s">
        <v>1177</v>
      </c>
      <c r="E556" s="28" t="s">
        <v>1177</v>
      </c>
      <c r="F556" s="28" t="s">
        <v>1177</v>
      </c>
      <c r="G556" s="28" t="s">
        <v>1177</v>
      </c>
      <c r="H556" s="26"/>
    </row>
    <row r="557">
      <c r="A557" s="20" t="s">
        <v>1188</v>
      </c>
      <c r="B557" s="21" t="s">
        <v>1177</v>
      </c>
      <c r="C557" s="21" t="s">
        <v>1177</v>
      </c>
      <c r="D557" s="21" t="s">
        <v>1177</v>
      </c>
      <c r="E557" s="21" t="s">
        <v>1177</v>
      </c>
      <c r="F557" s="21" t="s">
        <v>1177</v>
      </c>
      <c r="G557" s="21" t="s">
        <v>1177</v>
      </c>
      <c r="H557" s="26"/>
    </row>
    <row r="558">
      <c r="A558" s="29"/>
      <c r="B558" s="21" t="s">
        <v>1177</v>
      </c>
      <c r="C558" s="21" t="s">
        <v>1177</v>
      </c>
      <c r="D558" s="21" t="s">
        <v>1177</v>
      </c>
      <c r="E558" s="21" t="s">
        <v>1177</v>
      </c>
      <c r="F558" s="21" t="s">
        <v>1177</v>
      </c>
      <c r="G558" s="21" t="s">
        <v>1177</v>
      </c>
      <c r="H558" s="26"/>
    </row>
    <row r="559">
      <c r="A559" s="29"/>
      <c r="B559" s="21" t="s">
        <v>1177</v>
      </c>
      <c r="C559" s="21" t="s">
        <v>1177</v>
      </c>
      <c r="D559" s="21" t="s">
        <v>1177</v>
      </c>
      <c r="E559" s="21" t="s">
        <v>1177</v>
      </c>
      <c r="F559" s="21" t="s">
        <v>1177</v>
      </c>
      <c r="G559" s="21" t="s">
        <v>1177</v>
      </c>
      <c r="H559" s="26"/>
    </row>
    <row r="560">
      <c r="A560" s="24"/>
      <c r="B560" s="21" t="s">
        <v>1177</v>
      </c>
      <c r="C560" s="21" t="s">
        <v>1177</v>
      </c>
      <c r="D560" s="21" t="s">
        <v>1177</v>
      </c>
      <c r="E560" s="21" t="s">
        <v>1177</v>
      </c>
      <c r="F560" s="21" t="s">
        <v>1177</v>
      </c>
      <c r="G560" s="21" t="s">
        <v>1177</v>
      </c>
      <c r="H560" s="30"/>
      <c r="I560" s="14"/>
    </row>
    <row r="561">
      <c r="A561" s="16" t="s">
        <v>1174</v>
      </c>
      <c r="B561" s="17" t="s">
        <v>2615</v>
      </c>
      <c r="C561" s="18"/>
      <c r="D561" s="18"/>
      <c r="E561" s="18"/>
      <c r="F561" s="18"/>
      <c r="G561" s="18"/>
      <c r="H561" s="18"/>
      <c r="I561" s="16"/>
    </row>
    <row r="562" ht="60.0" customHeight="1">
      <c r="A562" s="20" t="s">
        <v>1176</v>
      </c>
      <c r="B562" s="21" t="str">
        <f t="array" ref="B562">iferror(VLOOKUP(INDIRECT(ADDRESS(ROW()+1,COLUMN(), 4)),Dex!$A$2:$C893,3,false),"")</f>
        <v/>
      </c>
      <c r="C562" s="21" t="str">
        <f t="array" ref="C562">iferror(VLOOKUP(INDIRECT(ADDRESS(ROW()+1,COLUMN(), 4)),Dex!$A$2:$C893,3,false),"")</f>
        <v/>
      </c>
      <c r="D562" s="21" t="str">
        <f t="array" ref="D562">iferror(VLOOKUP(INDIRECT(ADDRESS(ROW()+1,COLUMN(), 4)),Dex!$A$2:$C893,3,false),"")</f>
        <v/>
      </c>
      <c r="E562" s="21" t="str">
        <f t="array" ref="E562">iferror(VLOOKUP(INDIRECT(ADDRESS(ROW()+1,COLUMN(), 4)),Dex!$A$2:$C893,3,false),"")</f>
        <v/>
      </c>
      <c r="F562" s="21" t="str">
        <f t="array" ref="F562">iferror(VLOOKUP(INDIRECT(ADDRESS(ROW()+1,COLUMN(), 4)),Dex!$A$2:$C893,3,false),"")</f>
        <v/>
      </c>
      <c r="G562" s="21" t="s">
        <v>1177</v>
      </c>
      <c r="H562" s="22" t="str">
        <f t="array" ref="H562">iferror(VLOOKUP("TRAINER_PIC_FISHERMAN",Sprites!$A$1:$B893,2,false),"")</f>
        <v/>
      </c>
      <c r="I562" s="23"/>
    </row>
    <row r="563">
      <c r="A563" s="24"/>
      <c r="B563" s="25" t="s">
        <v>602</v>
      </c>
      <c r="C563" s="25" t="s">
        <v>738</v>
      </c>
      <c r="D563" s="25" t="s">
        <v>1085</v>
      </c>
      <c r="E563" s="25" t="s">
        <v>963</v>
      </c>
      <c r="F563" s="25" t="s">
        <v>193</v>
      </c>
      <c r="G563" s="25" t="s">
        <v>1177</v>
      </c>
      <c r="H563" s="26"/>
    </row>
    <row r="564">
      <c r="A564" s="16" t="s">
        <v>1178</v>
      </c>
      <c r="B564" s="27" t="s">
        <v>2264</v>
      </c>
      <c r="C564" s="27" t="s">
        <v>2264</v>
      </c>
      <c r="D564" s="27" t="s">
        <v>2264</v>
      </c>
      <c r="E564" s="27" t="s">
        <v>2264</v>
      </c>
      <c r="F564" s="27" t="s">
        <v>2264</v>
      </c>
      <c r="G564" s="21" t="s">
        <v>1177</v>
      </c>
      <c r="H564" s="26"/>
    </row>
    <row r="565">
      <c r="A565" s="16" t="s">
        <v>1181</v>
      </c>
      <c r="B565" s="28" t="s">
        <v>1177</v>
      </c>
      <c r="C565" s="28" t="s">
        <v>1177</v>
      </c>
      <c r="D565" s="28" t="s">
        <v>1177</v>
      </c>
      <c r="E565" s="28" t="s">
        <v>1177</v>
      </c>
      <c r="F565" s="28" t="s">
        <v>1177</v>
      </c>
      <c r="G565" s="28" t="s">
        <v>1177</v>
      </c>
      <c r="H565" s="26"/>
    </row>
    <row r="566">
      <c r="A566" s="16" t="s">
        <v>1182</v>
      </c>
      <c r="B566" s="21" t="s">
        <v>1393</v>
      </c>
      <c r="C566" s="21" t="s">
        <v>1445</v>
      </c>
      <c r="D566" s="21" t="s">
        <v>1212</v>
      </c>
      <c r="E566" s="21" t="s">
        <v>2047</v>
      </c>
      <c r="F566" s="21" t="s">
        <v>1298</v>
      </c>
      <c r="G566" s="21" t="s">
        <v>1177</v>
      </c>
      <c r="H566" s="26"/>
    </row>
    <row r="567">
      <c r="A567" s="16" t="s">
        <v>1186</v>
      </c>
      <c r="B567" s="28" t="s">
        <v>1187</v>
      </c>
      <c r="C567" s="28" t="s">
        <v>1187</v>
      </c>
      <c r="D567" s="28" t="s">
        <v>1187</v>
      </c>
      <c r="E567" s="28" t="s">
        <v>1187</v>
      </c>
      <c r="F567" s="28" t="s">
        <v>1187</v>
      </c>
      <c r="G567" s="28" t="s">
        <v>1177</v>
      </c>
      <c r="H567" s="26"/>
    </row>
    <row r="568">
      <c r="A568" s="20" t="s">
        <v>1188</v>
      </c>
      <c r="B568" s="21" t="s">
        <v>1177</v>
      </c>
      <c r="C568" s="21" t="s">
        <v>1177</v>
      </c>
      <c r="D568" s="21" t="s">
        <v>1177</v>
      </c>
      <c r="E568" s="21" t="s">
        <v>1177</v>
      </c>
      <c r="F568" s="21" t="s">
        <v>1177</v>
      </c>
      <c r="G568" s="21" t="s">
        <v>1177</v>
      </c>
      <c r="H568" s="26"/>
    </row>
    <row r="569">
      <c r="A569" s="29"/>
      <c r="B569" s="21" t="s">
        <v>1177</v>
      </c>
      <c r="C569" s="21" t="s">
        <v>1177</v>
      </c>
      <c r="D569" s="21" t="s">
        <v>1177</v>
      </c>
      <c r="E569" s="21" t="s">
        <v>1177</v>
      </c>
      <c r="F569" s="21" t="s">
        <v>1177</v>
      </c>
      <c r="G569" s="21" t="s">
        <v>1177</v>
      </c>
      <c r="H569" s="26"/>
    </row>
    <row r="570">
      <c r="A570" s="29"/>
      <c r="B570" s="21" t="s">
        <v>1177</v>
      </c>
      <c r="C570" s="21" t="s">
        <v>1177</v>
      </c>
      <c r="D570" s="21" t="s">
        <v>1177</v>
      </c>
      <c r="E570" s="21" t="s">
        <v>1177</v>
      </c>
      <c r="F570" s="21" t="s">
        <v>1177</v>
      </c>
      <c r="G570" s="21" t="s">
        <v>1177</v>
      </c>
      <c r="H570" s="26"/>
    </row>
    <row r="571">
      <c r="A571" s="24"/>
      <c r="B571" s="21" t="s">
        <v>1177</v>
      </c>
      <c r="C571" s="21" t="s">
        <v>1177</v>
      </c>
      <c r="D571" s="21" t="s">
        <v>1177</v>
      </c>
      <c r="E571" s="21" t="s">
        <v>1177</v>
      </c>
      <c r="F571" s="21" t="s">
        <v>1177</v>
      </c>
      <c r="G571" s="21" t="s">
        <v>1177</v>
      </c>
      <c r="H571" s="30"/>
      <c r="I571" s="14"/>
    </row>
    <row r="572">
      <c r="A572" s="16" t="s">
        <v>1174</v>
      </c>
      <c r="B572" s="17" t="s">
        <v>2616</v>
      </c>
      <c r="C572" s="18"/>
      <c r="D572" s="18"/>
      <c r="E572" s="18"/>
      <c r="F572" s="18"/>
      <c r="G572" s="18"/>
      <c r="H572" s="18"/>
      <c r="I572" s="16"/>
    </row>
    <row r="573" ht="60.0" customHeight="1">
      <c r="A573" s="20" t="s">
        <v>1176</v>
      </c>
      <c r="B573" s="21" t="str">
        <f t="array" ref="B573">iferror(VLOOKUP(INDIRECT(ADDRESS(ROW()+1,COLUMN(), 4)),Dex!$A$2:$C893,3,false),"")</f>
        <v/>
      </c>
      <c r="C573" s="21" t="str">
        <f t="array" ref="C573">iferror(VLOOKUP(INDIRECT(ADDRESS(ROW()+1,COLUMN(), 4)),Dex!$A$2:$C893,3,false),"")</f>
        <v/>
      </c>
      <c r="D573" s="21" t="str">
        <f t="array" ref="D573">iferror(VLOOKUP(INDIRECT(ADDRESS(ROW()+1,COLUMN(), 4)),Dex!$A$2:$C893,3,false),"")</f>
        <v/>
      </c>
      <c r="E573" s="21" t="s">
        <v>1177</v>
      </c>
      <c r="F573" s="21" t="s">
        <v>1177</v>
      </c>
      <c r="G573" s="21" t="s">
        <v>1177</v>
      </c>
      <c r="H573" s="22" t="str">
        <f t="array" ref="H573">iferror(VLOOKUP("TRAINER_PIC_EXPERT_M",Sprites!$A$1:$B893,2,false),"")</f>
        <v/>
      </c>
      <c r="I573" s="23"/>
    </row>
    <row r="574">
      <c r="A574" s="24"/>
      <c r="B574" s="25" t="s">
        <v>513</v>
      </c>
      <c r="C574" s="25" t="s">
        <v>380</v>
      </c>
      <c r="D574" s="25" t="s">
        <v>875</v>
      </c>
      <c r="E574" s="25" t="s">
        <v>1177</v>
      </c>
      <c r="F574" s="25" t="s">
        <v>1177</v>
      </c>
      <c r="G574" s="25" t="s">
        <v>1177</v>
      </c>
      <c r="H574" s="26"/>
    </row>
    <row r="575">
      <c r="A575" s="16" t="s">
        <v>1178</v>
      </c>
      <c r="B575" s="27" t="s">
        <v>2264</v>
      </c>
      <c r="C575" s="27" t="s">
        <v>2264</v>
      </c>
      <c r="D575" s="27" t="s">
        <v>2264</v>
      </c>
      <c r="E575" s="21" t="s">
        <v>1177</v>
      </c>
      <c r="F575" s="21" t="s">
        <v>1177</v>
      </c>
      <c r="G575" s="21" t="s">
        <v>1177</v>
      </c>
      <c r="H575" s="26"/>
    </row>
    <row r="576">
      <c r="A576" s="16" t="s">
        <v>1181</v>
      </c>
      <c r="B576" s="28" t="s">
        <v>1177</v>
      </c>
      <c r="C576" s="28" t="s">
        <v>1177</v>
      </c>
      <c r="D576" s="28" t="s">
        <v>1177</v>
      </c>
      <c r="E576" s="28" t="s">
        <v>1177</v>
      </c>
      <c r="F576" s="28" t="s">
        <v>1177</v>
      </c>
      <c r="G576" s="28" t="s">
        <v>1177</v>
      </c>
      <c r="H576" s="26"/>
    </row>
    <row r="577">
      <c r="A577" s="16" t="s">
        <v>1182</v>
      </c>
      <c r="B577" s="21" t="s">
        <v>1298</v>
      </c>
      <c r="C577" s="21" t="s">
        <v>1813</v>
      </c>
      <c r="D577" s="21" t="s">
        <v>1232</v>
      </c>
      <c r="E577" s="21" t="s">
        <v>1177</v>
      </c>
      <c r="F577" s="21" t="s">
        <v>1177</v>
      </c>
      <c r="G577" s="21" t="s">
        <v>1177</v>
      </c>
      <c r="H577" s="26"/>
    </row>
    <row r="578">
      <c r="A578" s="16" t="s">
        <v>1186</v>
      </c>
      <c r="B578" s="28" t="s">
        <v>1187</v>
      </c>
      <c r="C578" s="28" t="s">
        <v>1187</v>
      </c>
      <c r="D578" s="28" t="s">
        <v>1187</v>
      </c>
      <c r="E578" s="28" t="s">
        <v>1177</v>
      </c>
      <c r="F578" s="28" t="s">
        <v>1177</v>
      </c>
      <c r="G578" s="28" t="s">
        <v>1177</v>
      </c>
      <c r="H578" s="26"/>
    </row>
    <row r="579">
      <c r="A579" s="20" t="s">
        <v>1188</v>
      </c>
      <c r="B579" s="21" t="s">
        <v>1177</v>
      </c>
      <c r="C579" s="21" t="s">
        <v>1177</v>
      </c>
      <c r="D579" s="21" t="s">
        <v>1177</v>
      </c>
      <c r="E579" s="21" t="s">
        <v>1177</v>
      </c>
      <c r="F579" s="21" t="s">
        <v>1177</v>
      </c>
      <c r="G579" s="21" t="s">
        <v>1177</v>
      </c>
      <c r="H579" s="26"/>
    </row>
    <row r="580">
      <c r="A580" s="29"/>
      <c r="B580" s="21" t="s">
        <v>1177</v>
      </c>
      <c r="C580" s="21" t="s">
        <v>1177</v>
      </c>
      <c r="D580" s="21" t="s">
        <v>1177</v>
      </c>
      <c r="E580" s="21" t="s">
        <v>1177</v>
      </c>
      <c r="F580" s="21" t="s">
        <v>1177</v>
      </c>
      <c r="G580" s="21" t="s">
        <v>1177</v>
      </c>
      <c r="H580" s="26"/>
    </row>
    <row r="581">
      <c r="A581" s="29"/>
      <c r="B581" s="21" t="s">
        <v>1177</v>
      </c>
      <c r="C581" s="21" t="s">
        <v>1177</v>
      </c>
      <c r="D581" s="21" t="s">
        <v>1177</v>
      </c>
      <c r="E581" s="21" t="s">
        <v>1177</v>
      </c>
      <c r="F581" s="21" t="s">
        <v>1177</v>
      </c>
      <c r="G581" s="21" t="s">
        <v>1177</v>
      </c>
      <c r="H581" s="26"/>
    </row>
    <row r="582">
      <c r="A582" s="24"/>
      <c r="B582" s="21" t="s">
        <v>1177</v>
      </c>
      <c r="C582" s="21" t="s">
        <v>1177</v>
      </c>
      <c r="D582" s="21" t="s">
        <v>1177</v>
      </c>
      <c r="E582" s="21" t="s">
        <v>1177</v>
      </c>
      <c r="F582" s="21" t="s">
        <v>1177</v>
      </c>
      <c r="G582" s="21" t="s">
        <v>1177</v>
      </c>
      <c r="H582" s="30"/>
      <c r="I582" s="14"/>
    </row>
    <row r="583">
      <c r="A583" s="16" t="s">
        <v>1174</v>
      </c>
      <c r="B583" s="17" t="s">
        <v>2617</v>
      </c>
      <c r="C583" s="18"/>
      <c r="D583" s="18"/>
      <c r="E583" s="18"/>
      <c r="F583" s="18"/>
      <c r="G583" s="18"/>
      <c r="H583" s="18"/>
      <c r="I583" s="16"/>
    </row>
    <row r="584" ht="60.0" customHeight="1">
      <c r="A584" s="20" t="s">
        <v>1176</v>
      </c>
      <c r="B584" s="21" t="str">
        <f t="array" ref="B584">iferror(VLOOKUP(INDIRECT(ADDRESS(ROW()+1,COLUMN(), 4)),Dex!$A$2:$C893,3,false),"")</f>
        <v/>
      </c>
      <c r="C584" s="21" t="str">
        <f t="array" ref="C584">iferror(VLOOKUP(INDIRECT(ADDRESS(ROW()+1,COLUMN(), 4)),Dex!$A$2:$C893,3,false),"")</f>
        <v/>
      </c>
      <c r="D584" s="21" t="str">
        <f t="array" ref="D584">iferror(VLOOKUP(INDIRECT(ADDRESS(ROW()+1,COLUMN(), 4)),Dex!$A$2:$C893,3,false),"")</f>
        <v/>
      </c>
      <c r="E584" s="21" t="s">
        <v>1177</v>
      </c>
      <c r="F584" s="21" t="s">
        <v>1177</v>
      </c>
      <c r="G584" s="21" t="s">
        <v>1177</v>
      </c>
      <c r="H584" s="22" t="str">
        <f t="array" ref="H584">iferror(VLOOKUP("TRAINER_PIC_COOLTRAINER_F",Sprites!$A$1:$B893,2,false),"")</f>
        <v/>
      </c>
      <c r="I584" s="23"/>
    </row>
    <row r="585">
      <c r="A585" s="24"/>
      <c r="B585" s="25" t="s">
        <v>991</v>
      </c>
      <c r="C585" s="25" t="s">
        <v>193</v>
      </c>
      <c r="D585" s="25" t="s">
        <v>763</v>
      </c>
      <c r="E585" s="25" t="s">
        <v>1177</v>
      </c>
      <c r="F585" s="25" t="s">
        <v>1177</v>
      </c>
      <c r="G585" s="25" t="s">
        <v>1177</v>
      </c>
      <c r="H585" s="26"/>
    </row>
    <row r="586">
      <c r="A586" s="16" t="s">
        <v>1178</v>
      </c>
      <c r="B586" s="27" t="s">
        <v>2264</v>
      </c>
      <c r="C586" s="27" t="s">
        <v>2264</v>
      </c>
      <c r="D586" s="27" t="s">
        <v>2264</v>
      </c>
      <c r="E586" s="21" t="s">
        <v>1177</v>
      </c>
      <c r="F586" s="21" t="s">
        <v>1177</v>
      </c>
      <c r="G586" s="21" t="s">
        <v>1177</v>
      </c>
      <c r="H586" s="26"/>
    </row>
    <row r="587">
      <c r="A587" s="16" t="s">
        <v>1181</v>
      </c>
      <c r="B587" s="28" t="s">
        <v>1177</v>
      </c>
      <c r="C587" s="28" t="s">
        <v>1177</v>
      </c>
      <c r="D587" s="28" t="s">
        <v>1177</v>
      </c>
      <c r="E587" s="28" t="s">
        <v>1177</v>
      </c>
      <c r="F587" s="28" t="s">
        <v>1177</v>
      </c>
      <c r="G587" s="28" t="s">
        <v>1177</v>
      </c>
      <c r="H587" s="26"/>
    </row>
    <row r="588">
      <c r="A588" s="16" t="s">
        <v>1182</v>
      </c>
      <c r="B588" s="21" t="s">
        <v>1231</v>
      </c>
      <c r="C588" s="21" t="s">
        <v>1298</v>
      </c>
      <c r="D588" s="21" t="s">
        <v>1368</v>
      </c>
      <c r="E588" s="21" t="s">
        <v>1177</v>
      </c>
      <c r="F588" s="21" t="s">
        <v>1177</v>
      </c>
      <c r="G588" s="21" t="s">
        <v>1177</v>
      </c>
      <c r="H588" s="26"/>
    </row>
    <row r="589">
      <c r="A589" s="16" t="s">
        <v>1186</v>
      </c>
      <c r="B589" s="28" t="s">
        <v>1187</v>
      </c>
      <c r="C589" s="28" t="s">
        <v>1187</v>
      </c>
      <c r="D589" s="28" t="s">
        <v>1187</v>
      </c>
      <c r="E589" s="28" t="s">
        <v>1177</v>
      </c>
      <c r="F589" s="28" t="s">
        <v>1177</v>
      </c>
      <c r="G589" s="28" t="s">
        <v>1177</v>
      </c>
      <c r="H589" s="26"/>
    </row>
    <row r="590">
      <c r="A590" s="20" t="s">
        <v>1188</v>
      </c>
      <c r="B590" s="21" t="s">
        <v>1177</v>
      </c>
      <c r="C590" s="21" t="s">
        <v>1177</v>
      </c>
      <c r="D590" s="21" t="s">
        <v>1177</v>
      </c>
      <c r="E590" s="21" t="s">
        <v>1177</v>
      </c>
      <c r="F590" s="21" t="s">
        <v>1177</v>
      </c>
      <c r="G590" s="21" t="s">
        <v>1177</v>
      </c>
      <c r="H590" s="26"/>
    </row>
    <row r="591">
      <c r="A591" s="29"/>
      <c r="B591" s="21" t="s">
        <v>1177</v>
      </c>
      <c r="C591" s="21" t="s">
        <v>1177</v>
      </c>
      <c r="D591" s="21" t="s">
        <v>1177</v>
      </c>
      <c r="E591" s="21" t="s">
        <v>1177</v>
      </c>
      <c r="F591" s="21" t="s">
        <v>1177</v>
      </c>
      <c r="G591" s="21" t="s">
        <v>1177</v>
      </c>
      <c r="H591" s="26"/>
    </row>
    <row r="592">
      <c r="A592" s="29"/>
      <c r="B592" s="21" t="s">
        <v>1177</v>
      </c>
      <c r="C592" s="21" t="s">
        <v>1177</v>
      </c>
      <c r="D592" s="21" t="s">
        <v>1177</v>
      </c>
      <c r="E592" s="21" t="s">
        <v>1177</v>
      </c>
      <c r="F592" s="21" t="s">
        <v>1177</v>
      </c>
      <c r="G592" s="21" t="s">
        <v>1177</v>
      </c>
      <c r="H592" s="26"/>
    </row>
    <row r="593">
      <c r="A593" s="24"/>
      <c r="B593" s="21" t="s">
        <v>1177</v>
      </c>
      <c r="C593" s="21" t="s">
        <v>1177</v>
      </c>
      <c r="D593" s="21" t="s">
        <v>1177</v>
      </c>
      <c r="E593" s="21" t="s">
        <v>1177</v>
      </c>
      <c r="F593" s="21" t="s">
        <v>1177</v>
      </c>
      <c r="G593" s="21" t="s">
        <v>1177</v>
      </c>
      <c r="H593" s="30"/>
      <c r="I593" s="14"/>
    </row>
    <row r="594">
      <c r="A594" s="16" t="s">
        <v>1174</v>
      </c>
      <c r="B594" s="17" t="s">
        <v>2618</v>
      </c>
      <c r="C594" s="18"/>
      <c r="D594" s="18"/>
      <c r="E594" s="18"/>
      <c r="F594" s="18"/>
      <c r="G594" s="18"/>
      <c r="H594" s="18"/>
      <c r="I594" s="16"/>
    </row>
    <row r="595" ht="60.0" customHeight="1">
      <c r="A595" s="20" t="s">
        <v>1176</v>
      </c>
      <c r="B595" s="21" t="str">
        <f t="array" ref="B595">iferror(VLOOKUP(INDIRECT(ADDRESS(ROW()+1,COLUMN(), 4)),Dex!$A$2:$C893,3,false),"")</f>
        <v/>
      </c>
      <c r="C595" s="21" t="str">
        <f t="array" ref="C595">iferror(VLOOKUP(INDIRECT(ADDRESS(ROW()+1,COLUMN(), 4)),Dex!$A$2:$C893,3,false),"")</f>
        <v/>
      </c>
      <c r="D595" s="21" t="str">
        <f t="array" ref="D595">iferror(VLOOKUP(INDIRECT(ADDRESS(ROW()+1,COLUMN(), 4)),Dex!$A$2:$C893,3,false),"")</f>
        <v/>
      </c>
      <c r="E595" s="21" t="s">
        <v>1177</v>
      </c>
      <c r="F595" s="21" t="s">
        <v>1177</v>
      </c>
      <c r="G595" s="21" t="s">
        <v>1177</v>
      </c>
      <c r="H595" s="22" t="str">
        <f t="array" ref="H595">iferror(VLOOKUP("TRAINER_PIC_EXPERT_F",Sprites!$A$1:$B893,2,false),"")</f>
        <v/>
      </c>
      <c r="I595" s="23"/>
    </row>
    <row r="596">
      <c r="A596" s="24"/>
      <c r="B596" s="25" t="s">
        <v>454</v>
      </c>
      <c r="C596" s="25" t="s">
        <v>686</v>
      </c>
      <c r="D596" s="25" t="s">
        <v>752</v>
      </c>
      <c r="E596" s="25" t="s">
        <v>1177</v>
      </c>
      <c r="F596" s="25" t="s">
        <v>1177</v>
      </c>
      <c r="G596" s="25" t="s">
        <v>1177</v>
      </c>
      <c r="H596" s="26"/>
    </row>
    <row r="597">
      <c r="A597" s="16" t="s">
        <v>1178</v>
      </c>
      <c r="B597" s="27" t="s">
        <v>2264</v>
      </c>
      <c r="C597" s="27" t="s">
        <v>2264</v>
      </c>
      <c r="D597" s="27" t="s">
        <v>2264</v>
      </c>
      <c r="E597" s="21" t="s">
        <v>1177</v>
      </c>
      <c r="F597" s="21" t="s">
        <v>1177</v>
      </c>
      <c r="G597" s="21" t="s">
        <v>1177</v>
      </c>
      <c r="H597" s="26"/>
    </row>
    <row r="598">
      <c r="A598" s="16" t="s">
        <v>1181</v>
      </c>
      <c r="B598" s="28" t="s">
        <v>1177</v>
      </c>
      <c r="C598" s="28" t="s">
        <v>1177</v>
      </c>
      <c r="D598" s="28" t="s">
        <v>1177</v>
      </c>
      <c r="E598" s="28" t="s">
        <v>1177</v>
      </c>
      <c r="F598" s="28" t="s">
        <v>1177</v>
      </c>
      <c r="G598" s="28" t="s">
        <v>1177</v>
      </c>
      <c r="H598" s="26"/>
    </row>
    <row r="599">
      <c r="A599" s="16" t="s">
        <v>1182</v>
      </c>
      <c r="B599" s="21" t="s">
        <v>1443</v>
      </c>
      <c r="C599" s="21" t="s">
        <v>1419</v>
      </c>
      <c r="D599" s="21" t="s">
        <v>1393</v>
      </c>
      <c r="E599" s="21" t="s">
        <v>1177</v>
      </c>
      <c r="F599" s="21" t="s">
        <v>1177</v>
      </c>
      <c r="G599" s="21" t="s">
        <v>1177</v>
      </c>
      <c r="H599" s="26"/>
    </row>
    <row r="600">
      <c r="A600" s="16" t="s">
        <v>1186</v>
      </c>
      <c r="B600" s="28" t="s">
        <v>1187</v>
      </c>
      <c r="C600" s="28" t="s">
        <v>1187</v>
      </c>
      <c r="D600" s="28" t="s">
        <v>1187</v>
      </c>
      <c r="E600" s="28" t="s">
        <v>1177</v>
      </c>
      <c r="F600" s="28" t="s">
        <v>1177</v>
      </c>
      <c r="G600" s="28" t="s">
        <v>1177</v>
      </c>
      <c r="H600" s="26"/>
    </row>
    <row r="601">
      <c r="A601" s="20" t="s">
        <v>1188</v>
      </c>
      <c r="B601" s="21" t="s">
        <v>1177</v>
      </c>
      <c r="C601" s="21" t="s">
        <v>1177</v>
      </c>
      <c r="D601" s="21" t="s">
        <v>1177</v>
      </c>
      <c r="E601" s="21" t="s">
        <v>1177</v>
      </c>
      <c r="F601" s="21" t="s">
        <v>1177</v>
      </c>
      <c r="G601" s="21" t="s">
        <v>1177</v>
      </c>
      <c r="H601" s="26"/>
    </row>
    <row r="602">
      <c r="A602" s="29"/>
      <c r="B602" s="21" t="s">
        <v>1177</v>
      </c>
      <c r="C602" s="21" t="s">
        <v>1177</v>
      </c>
      <c r="D602" s="21" t="s">
        <v>1177</v>
      </c>
      <c r="E602" s="21" t="s">
        <v>1177</v>
      </c>
      <c r="F602" s="21" t="s">
        <v>1177</v>
      </c>
      <c r="G602" s="21" t="s">
        <v>1177</v>
      </c>
      <c r="H602" s="26"/>
    </row>
    <row r="603">
      <c r="A603" s="29"/>
      <c r="B603" s="21" t="s">
        <v>1177</v>
      </c>
      <c r="C603" s="21" t="s">
        <v>1177</v>
      </c>
      <c r="D603" s="21" t="s">
        <v>1177</v>
      </c>
      <c r="E603" s="21" t="s">
        <v>1177</v>
      </c>
      <c r="F603" s="21" t="s">
        <v>1177</v>
      </c>
      <c r="G603" s="21" t="s">
        <v>1177</v>
      </c>
      <c r="H603" s="26"/>
    </row>
    <row r="604">
      <c r="A604" s="24"/>
      <c r="B604" s="21" t="s">
        <v>1177</v>
      </c>
      <c r="C604" s="21" t="s">
        <v>1177</v>
      </c>
      <c r="D604" s="21" t="s">
        <v>1177</v>
      </c>
      <c r="E604" s="21" t="s">
        <v>1177</v>
      </c>
      <c r="F604" s="21" t="s">
        <v>1177</v>
      </c>
      <c r="G604" s="21" t="s">
        <v>1177</v>
      </c>
      <c r="H604" s="30"/>
      <c r="I604" s="14"/>
    </row>
    <row r="605">
      <c r="A605" s="16" t="s">
        <v>1174</v>
      </c>
      <c r="B605" s="17" t="s">
        <v>2619</v>
      </c>
      <c r="C605" s="18"/>
      <c r="D605" s="18"/>
      <c r="E605" s="18"/>
      <c r="F605" s="18"/>
      <c r="G605" s="18"/>
      <c r="H605" s="18"/>
      <c r="I605" s="16"/>
    </row>
    <row r="606" ht="60.0" customHeight="1">
      <c r="A606" s="20" t="s">
        <v>1176</v>
      </c>
      <c r="B606" s="21" t="str">
        <f t="array" ref="B606">iferror(VLOOKUP(INDIRECT(ADDRESS(ROW()+1,COLUMN(), 4)),Dex!$A$2:$C893,3,false),"")</f>
        <v/>
      </c>
      <c r="C606" s="21" t="str">
        <f t="array" ref="C606">iferror(VLOOKUP(INDIRECT(ADDRESS(ROW()+1,COLUMN(), 4)),Dex!$A$2:$C893,3,false),"")</f>
        <v/>
      </c>
      <c r="D606" s="21" t="str">
        <f t="array" ref="D606">iferror(VLOOKUP(INDIRECT(ADDRESS(ROW()+1,COLUMN(), 4)),Dex!$A$2:$C893,3,false),"")</f>
        <v/>
      </c>
      <c r="E606" s="21" t="s">
        <v>1177</v>
      </c>
      <c r="F606" s="21" t="s">
        <v>1177</v>
      </c>
      <c r="G606" s="21" t="s">
        <v>1177</v>
      </c>
      <c r="H606" s="22" t="str">
        <f t="array" ref="H606">iferror(VLOOKUP("TRAINER_PIC_COOLTRAINER_M",Sprites!$A$1:$B893,2,false),"")</f>
        <v/>
      </c>
      <c r="I606" s="23"/>
    </row>
    <row r="607">
      <c r="A607" s="24"/>
      <c r="B607" s="25" t="s">
        <v>1169</v>
      </c>
      <c r="C607" s="25" t="s">
        <v>316</v>
      </c>
      <c r="D607" s="25" t="s">
        <v>865</v>
      </c>
      <c r="E607" s="25" t="s">
        <v>1177</v>
      </c>
      <c r="F607" s="25" t="s">
        <v>1177</v>
      </c>
      <c r="G607" s="25" t="s">
        <v>1177</v>
      </c>
      <c r="H607" s="26"/>
    </row>
    <row r="608">
      <c r="A608" s="16" t="s">
        <v>1178</v>
      </c>
      <c r="B608" s="27" t="s">
        <v>2264</v>
      </c>
      <c r="C608" s="27" t="s">
        <v>2264</v>
      </c>
      <c r="D608" s="27" t="s">
        <v>2264</v>
      </c>
      <c r="E608" s="21" t="s">
        <v>1177</v>
      </c>
      <c r="F608" s="21" t="s">
        <v>1177</v>
      </c>
      <c r="G608" s="21" t="s">
        <v>1177</v>
      </c>
      <c r="H608" s="26"/>
    </row>
    <row r="609">
      <c r="A609" s="16" t="s">
        <v>1181</v>
      </c>
      <c r="B609" s="28" t="s">
        <v>1177</v>
      </c>
      <c r="C609" s="28" t="s">
        <v>1177</v>
      </c>
      <c r="D609" s="28" t="s">
        <v>1177</v>
      </c>
      <c r="E609" s="28" t="s">
        <v>1177</v>
      </c>
      <c r="F609" s="28" t="s">
        <v>1177</v>
      </c>
      <c r="G609" s="28" t="s">
        <v>1177</v>
      </c>
      <c r="H609" s="26"/>
    </row>
    <row r="610">
      <c r="A610" s="16" t="s">
        <v>1182</v>
      </c>
      <c r="B610" s="21" t="s">
        <v>1298</v>
      </c>
      <c r="C610" s="21" t="s">
        <v>1212</v>
      </c>
      <c r="D610" s="21" t="s">
        <v>1348</v>
      </c>
      <c r="E610" s="21" t="s">
        <v>1177</v>
      </c>
      <c r="F610" s="21" t="s">
        <v>1177</v>
      </c>
      <c r="G610" s="21" t="s">
        <v>1177</v>
      </c>
      <c r="H610" s="26"/>
    </row>
    <row r="611">
      <c r="A611" s="16" t="s">
        <v>1186</v>
      </c>
      <c r="B611" s="28" t="s">
        <v>1187</v>
      </c>
      <c r="C611" s="28" t="s">
        <v>1187</v>
      </c>
      <c r="D611" s="28" t="s">
        <v>1187</v>
      </c>
      <c r="E611" s="28" t="s">
        <v>1177</v>
      </c>
      <c r="F611" s="28" t="s">
        <v>1177</v>
      </c>
      <c r="G611" s="28" t="s">
        <v>1177</v>
      </c>
      <c r="H611" s="26"/>
    </row>
    <row r="612">
      <c r="A612" s="20" t="s">
        <v>1188</v>
      </c>
      <c r="B612" s="21" t="s">
        <v>1177</v>
      </c>
      <c r="C612" s="21" t="s">
        <v>1177</v>
      </c>
      <c r="D612" s="21" t="s">
        <v>1177</v>
      </c>
      <c r="E612" s="21" t="s">
        <v>1177</v>
      </c>
      <c r="F612" s="21" t="s">
        <v>1177</v>
      </c>
      <c r="G612" s="21" t="s">
        <v>1177</v>
      </c>
      <c r="H612" s="26"/>
    </row>
    <row r="613">
      <c r="A613" s="29"/>
      <c r="B613" s="21" t="s">
        <v>1177</v>
      </c>
      <c r="C613" s="21" t="s">
        <v>1177</v>
      </c>
      <c r="D613" s="21" t="s">
        <v>1177</v>
      </c>
      <c r="E613" s="21" t="s">
        <v>1177</v>
      </c>
      <c r="F613" s="21" t="s">
        <v>1177</v>
      </c>
      <c r="G613" s="21" t="s">
        <v>1177</v>
      </c>
      <c r="H613" s="26"/>
    </row>
    <row r="614">
      <c r="A614" s="29"/>
      <c r="B614" s="21" t="s">
        <v>1177</v>
      </c>
      <c r="C614" s="21" t="s">
        <v>1177</v>
      </c>
      <c r="D614" s="21" t="s">
        <v>1177</v>
      </c>
      <c r="E614" s="21" t="s">
        <v>1177</v>
      </c>
      <c r="F614" s="21" t="s">
        <v>1177</v>
      </c>
      <c r="G614" s="21" t="s">
        <v>1177</v>
      </c>
      <c r="H614" s="26"/>
    </row>
    <row r="615">
      <c r="A615" s="24"/>
      <c r="B615" s="21" t="s">
        <v>1177</v>
      </c>
      <c r="C615" s="21" t="s">
        <v>1177</v>
      </c>
      <c r="D615" s="21" t="s">
        <v>1177</v>
      </c>
      <c r="E615" s="21" t="s">
        <v>1177</v>
      </c>
      <c r="F615" s="21" t="s">
        <v>1177</v>
      </c>
      <c r="G615" s="21" t="s">
        <v>1177</v>
      </c>
      <c r="H615" s="30"/>
      <c r="I615" s="14"/>
    </row>
    <row r="616">
      <c r="A616" s="16" t="s">
        <v>1174</v>
      </c>
      <c r="B616" s="17" t="s">
        <v>2620</v>
      </c>
      <c r="C616" s="18"/>
      <c r="D616" s="18"/>
      <c r="E616" s="18"/>
      <c r="F616" s="18"/>
      <c r="G616" s="18"/>
      <c r="H616" s="18"/>
      <c r="I616" s="16"/>
    </row>
    <row r="617" ht="60.0" customHeight="1">
      <c r="A617" s="20" t="s">
        <v>1176</v>
      </c>
      <c r="B617" s="21" t="str">
        <f t="array" ref="B617">iferror(VLOOKUP(INDIRECT(ADDRESS(ROW()+1,COLUMN(), 4)),Dex!$A$2:$C893,3,false),"")</f>
        <v/>
      </c>
      <c r="C617" s="21" t="str">
        <f t="array" ref="C617">iferror(VLOOKUP(INDIRECT(ADDRESS(ROW()+1,COLUMN(), 4)),Dex!$A$2:$C893,3,false),"")</f>
        <v/>
      </c>
      <c r="D617" s="21" t="str">
        <f t="array" ref="D617">iferror(VLOOKUP(INDIRECT(ADDRESS(ROW()+1,COLUMN(), 4)),Dex!$A$2:$C893,3,false),"")</f>
        <v/>
      </c>
      <c r="E617" s="21" t="str">
        <f t="array" ref="E617">iferror(VLOOKUP(INDIRECT(ADDRESS(ROW()+1,COLUMN(), 4)),Dex!$A$2:$C893,3,false),"")</f>
        <v/>
      </c>
      <c r="F617" s="21" t="str">
        <f t="array" ref="F617">iferror(VLOOKUP(INDIRECT(ADDRESS(ROW()+1,COLUMN(), 4)),Dex!$A$2:$C893,3,false),"")</f>
        <v/>
      </c>
      <c r="G617" s="21" t="str">
        <f t="array" ref="G617">iferror(VLOOKUP(INDIRECT(ADDRESS(ROW()+1,COLUMN(), 4)),Dex!$A$2:$C893,3,false),"")</f>
        <v/>
      </c>
      <c r="H617" s="22" t="str">
        <f t="array" ref="H617">iferror(VLOOKUP("TRAINER_PIC_BLACK_BELT",Sprites!$A$1:$B893,2,false),"")</f>
        <v/>
      </c>
      <c r="I617" s="23"/>
    </row>
    <row r="618">
      <c r="A618" s="24"/>
      <c r="B618" s="25" t="s">
        <v>955</v>
      </c>
      <c r="C618" s="25" t="s">
        <v>780</v>
      </c>
      <c r="D618" s="25" t="s">
        <v>1107</v>
      </c>
      <c r="E618" s="25" t="s">
        <v>161</v>
      </c>
      <c r="F618" s="25" t="s">
        <v>160</v>
      </c>
      <c r="G618" s="25" t="s">
        <v>323</v>
      </c>
      <c r="H618" s="26"/>
    </row>
    <row r="619">
      <c r="A619" s="16" t="s">
        <v>1178</v>
      </c>
      <c r="B619" s="27" t="s">
        <v>2264</v>
      </c>
      <c r="C619" s="27" t="s">
        <v>2264</v>
      </c>
      <c r="D619" s="27" t="s">
        <v>2264</v>
      </c>
      <c r="E619" s="27" t="s">
        <v>2264</v>
      </c>
      <c r="F619" s="27" t="s">
        <v>2264</v>
      </c>
      <c r="G619" s="27" t="s">
        <v>2264</v>
      </c>
      <c r="H619" s="26"/>
    </row>
    <row r="620">
      <c r="A620" s="16" t="s">
        <v>1181</v>
      </c>
      <c r="B620" s="28" t="s">
        <v>1177</v>
      </c>
      <c r="C620" s="28" t="s">
        <v>1177</v>
      </c>
      <c r="D620" s="28" t="s">
        <v>1177</v>
      </c>
      <c r="E620" s="28" t="s">
        <v>1177</v>
      </c>
      <c r="F620" s="28" t="s">
        <v>1177</v>
      </c>
      <c r="G620" s="28" t="s">
        <v>1177</v>
      </c>
      <c r="H620" s="26"/>
    </row>
    <row r="621">
      <c r="A621" s="16" t="s">
        <v>1182</v>
      </c>
      <c r="B621" s="21" t="s">
        <v>1404</v>
      </c>
      <c r="C621" s="21" t="s">
        <v>1356</v>
      </c>
      <c r="D621" s="21" t="s">
        <v>1356</v>
      </c>
      <c r="E621" s="21" t="s">
        <v>1356</v>
      </c>
      <c r="F621" s="21" t="s">
        <v>1232</v>
      </c>
      <c r="G621" s="21" t="s">
        <v>1298</v>
      </c>
      <c r="H621" s="26"/>
    </row>
    <row r="622">
      <c r="A622" s="16" t="s">
        <v>1186</v>
      </c>
      <c r="B622" s="28" t="s">
        <v>1187</v>
      </c>
      <c r="C622" s="28" t="s">
        <v>1187</v>
      </c>
      <c r="D622" s="28" t="s">
        <v>1187</v>
      </c>
      <c r="E622" s="28" t="s">
        <v>1187</v>
      </c>
      <c r="F622" s="28" t="s">
        <v>1187</v>
      </c>
      <c r="G622" s="28" t="s">
        <v>1187</v>
      </c>
      <c r="H622" s="26"/>
    </row>
    <row r="623">
      <c r="A623" s="20" t="s">
        <v>1188</v>
      </c>
      <c r="B623" s="21" t="s">
        <v>1177</v>
      </c>
      <c r="C623" s="21" t="s">
        <v>1177</v>
      </c>
      <c r="D623" s="21" t="s">
        <v>1177</v>
      </c>
      <c r="E623" s="21" t="s">
        <v>1177</v>
      </c>
      <c r="F623" s="21" t="s">
        <v>1177</v>
      </c>
      <c r="G623" s="21" t="s">
        <v>1177</v>
      </c>
      <c r="H623" s="26"/>
    </row>
    <row r="624">
      <c r="A624" s="29"/>
      <c r="B624" s="21" t="s">
        <v>1177</v>
      </c>
      <c r="C624" s="21" t="s">
        <v>1177</v>
      </c>
      <c r="D624" s="21" t="s">
        <v>1177</v>
      </c>
      <c r="E624" s="21" t="s">
        <v>1177</v>
      </c>
      <c r="F624" s="21" t="s">
        <v>1177</v>
      </c>
      <c r="G624" s="21" t="s">
        <v>1177</v>
      </c>
      <c r="H624" s="26"/>
    </row>
    <row r="625">
      <c r="A625" s="29"/>
      <c r="B625" s="21" t="s">
        <v>1177</v>
      </c>
      <c r="C625" s="21" t="s">
        <v>1177</v>
      </c>
      <c r="D625" s="21" t="s">
        <v>1177</v>
      </c>
      <c r="E625" s="21" t="s">
        <v>1177</v>
      </c>
      <c r="F625" s="21" t="s">
        <v>1177</v>
      </c>
      <c r="G625" s="21" t="s">
        <v>1177</v>
      </c>
      <c r="H625" s="26"/>
    </row>
    <row r="626">
      <c r="A626" s="24"/>
      <c r="B626" s="21" t="s">
        <v>1177</v>
      </c>
      <c r="C626" s="21" t="s">
        <v>1177</v>
      </c>
      <c r="D626" s="21" t="s">
        <v>1177</v>
      </c>
      <c r="E626" s="21" t="s">
        <v>1177</v>
      </c>
      <c r="F626" s="21" t="s">
        <v>1177</v>
      </c>
      <c r="G626" s="21" t="s">
        <v>1177</v>
      </c>
      <c r="H626" s="30"/>
      <c r="I626" s="14"/>
    </row>
    <row r="627">
      <c r="A627" s="16" t="s">
        <v>1174</v>
      </c>
      <c r="B627" s="17" t="s">
        <v>2621</v>
      </c>
      <c r="C627" s="18"/>
      <c r="D627" s="18"/>
      <c r="E627" s="18"/>
      <c r="F627" s="18"/>
      <c r="G627" s="18"/>
      <c r="H627" s="18"/>
      <c r="I627" s="16"/>
    </row>
    <row r="628" ht="60.0" customHeight="1">
      <c r="A628" s="20" t="s">
        <v>1176</v>
      </c>
      <c r="B628" s="21" t="str">
        <f t="array" ref="B628">iferror(VLOOKUP(INDIRECT(ADDRESS(ROW()+1,COLUMN(), 4)),Dex!$A$2:$C893,3,false),"")</f>
        <v/>
      </c>
      <c r="C628" s="21" t="str">
        <f t="array" ref="C628">iferror(VLOOKUP(INDIRECT(ADDRESS(ROW()+1,COLUMN(), 4)),Dex!$A$2:$C893,3,false),"")</f>
        <v/>
      </c>
      <c r="D628" s="21" t="str">
        <f t="array" ref="D628">iferror(VLOOKUP(INDIRECT(ADDRESS(ROW()+1,COLUMN(), 4)),Dex!$A$2:$C893,3,false),"")</f>
        <v/>
      </c>
      <c r="E628" s="21" t="str">
        <f t="array" ref="E628">iferror(VLOOKUP(INDIRECT(ADDRESS(ROW()+1,COLUMN(), 4)),Dex!$A$2:$C893,3,false),"")</f>
        <v/>
      </c>
      <c r="F628" s="21" t="str">
        <f t="array" ref="F628">iferror(VLOOKUP(INDIRECT(ADDRESS(ROW()+1,COLUMN(), 4)),Dex!$A$2:$C893,3,false),"")</f>
        <v/>
      </c>
      <c r="G628" s="21" t="s">
        <v>1177</v>
      </c>
      <c r="H628" s="22" t="str">
        <f t="array" ref="H628">iferror(VLOOKUP("TRAINER_PIC_SWIMMER_F",Sprites!$A$1:$B893,2,false),"")</f>
        <v/>
      </c>
      <c r="I628" s="23"/>
    </row>
    <row r="629">
      <c r="A629" s="24"/>
      <c r="B629" s="25" t="s">
        <v>590</v>
      </c>
      <c r="C629" s="25" t="s">
        <v>452</v>
      </c>
      <c r="D629" s="25" t="s">
        <v>958</v>
      </c>
      <c r="E629" s="25" t="s">
        <v>261</v>
      </c>
      <c r="F629" s="25" t="s">
        <v>408</v>
      </c>
      <c r="G629" s="25" t="s">
        <v>1177</v>
      </c>
      <c r="H629" s="26"/>
    </row>
    <row r="630">
      <c r="A630" s="16" t="s">
        <v>1178</v>
      </c>
      <c r="B630" s="27" t="s">
        <v>2264</v>
      </c>
      <c r="C630" s="27" t="s">
        <v>2264</v>
      </c>
      <c r="D630" s="27" t="s">
        <v>2264</v>
      </c>
      <c r="E630" s="27" t="s">
        <v>2264</v>
      </c>
      <c r="F630" s="27" t="s">
        <v>2264</v>
      </c>
      <c r="G630" s="21" t="s">
        <v>1177</v>
      </c>
      <c r="H630" s="26"/>
    </row>
    <row r="631">
      <c r="A631" s="16" t="s">
        <v>1181</v>
      </c>
      <c r="B631" s="28" t="s">
        <v>1177</v>
      </c>
      <c r="C631" s="28" t="s">
        <v>1177</v>
      </c>
      <c r="D631" s="28" t="s">
        <v>1177</v>
      </c>
      <c r="E631" s="28" t="s">
        <v>1177</v>
      </c>
      <c r="F631" s="28" t="s">
        <v>1177</v>
      </c>
      <c r="G631" s="28" t="s">
        <v>1177</v>
      </c>
      <c r="H631" s="26"/>
    </row>
    <row r="632">
      <c r="A632" s="16" t="s">
        <v>1182</v>
      </c>
      <c r="B632" s="21" t="s">
        <v>1797</v>
      </c>
      <c r="C632" s="21" t="s">
        <v>2094</v>
      </c>
      <c r="D632" s="21" t="s">
        <v>1917</v>
      </c>
      <c r="E632" s="21" t="s">
        <v>1748</v>
      </c>
      <c r="F632" s="21" t="s">
        <v>1357</v>
      </c>
      <c r="G632" s="21" t="s">
        <v>1177</v>
      </c>
      <c r="H632" s="26"/>
    </row>
    <row r="633">
      <c r="A633" s="16" t="s">
        <v>1186</v>
      </c>
      <c r="B633" s="28" t="s">
        <v>1187</v>
      </c>
      <c r="C633" s="28" t="s">
        <v>1187</v>
      </c>
      <c r="D633" s="28" t="s">
        <v>1187</v>
      </c>
      <c r="E633" s="28" t="s">
        <v>1187</v>
      </c>
      <c r="F633" s="28" t="s">
        <v>1187</v>
      </c>
      <c r="G633" s="28" t="s">
        <v>1177</v>
      </c>
      <c r="H633" s="26"/>
    </row>
    <row r="634">
      <c r="A634" s="20" t="s">
        <v>1188</v>
      </c>
      <c r="B634" s="21" t="s">
        <v>1177</v>
      </c>
      <c r="C634" s="21" t="s">
        <v>1177</v>
      </c>
      <c r="D634" s="21" t="s">
        <v>1177</v>
      </c>
      <c r="E634" s="21" t="s">
        <v>1177</v>
      </c>
      <c r="F634" s="21" t="s">
        <v>1177</v>
      </c>
      <c r="G634" s="21" t="s">
        <v>1177</v>
      </c>
      <c r="H634" s="26"/>
    </row>
    <row r="635">
      <c r="A635" s="29"/>
      <c r="B635" s="21" t="s">
        <v>1177</v>
      </c>
      <c r="C635" s="21" t="s">
        <v>1177</v>
      </c>
      <c r="D635" s="21" t="s">
        <v>1177</v>
      </c>
      <c r="E635" s="21" t="s">
        <v>1177</v>
      </c>
      <c r="F635" s="21" t="s">
        <v>1177</v>
      </c>
      <c r="G635" s="21" t="s">
        <v>1177</v>
      </c>
      <c r="H635" s="26"/>
    </row>
    <row r="636">
      <c r="A636" s="29"/>
      <c r="B636" s="21" t="s">
        <v>1177</v>
      </c>
      <c r="C636" s="21" t="s">
        <v>1177</v>
      </c>
      <c r="D636" s="21" t="s">
        <v>1177</v>
      </c>
      <c r="E636" s="21" t="s">
        <v>1177</v>
      </c>
      <c r="F636" s="21" t="s">
        <v>1177</v>
      </c>
      <c r="G636" s="21" t="s">
        <v>1177</v>
      </c>
      <c r="H636" s="26"/>
    </row>
    <row r="637">
      <c r="A637" s="24"/>
      <c r="B637" s="21" t="s">
        <v>1177</v>
      </c>
      <c r="C637" s="21" t="s">
        <v>1177</v>
      </c>
      <c r="D637" s="21" t="s">
        <v>1177</v>
      </c>
      <c r="E637" s="21" t="s">
        <v>1177</v>
      </c>
      <c r="F637" s="21" t="s">
        <v>1177</v>
      </c>
      <c r="G637" s="21" t="s">
        <v>1177</v>
      </c>
      <c r="H637" s="30"/>
      <c r="I637" s="14"/>
    </row>
    <row r="638">
      <c r="A638" s="37"/>
      <c r="B638" s="38" t="s">
        <v>2622</v>
      </c>
      <c r="C638" s="14"/>
      <c r="D638" s="14"/>
      <c r="E638" s="14"/>
      <c r="F638" s="14"/>
      <c r="G638" s="14"/>
      <c r="H638" s="24"/>
      <c r="I638" s="33"/>
    </row>
    <row r="639">
      <c r="A639" s="16" t="s">
        <v>1174</v>
      </c>
      <c r="B639" s="17" t="s">
        <v>2623</v>
      </c>
      <c r="C639" s="18"/>
      <c r="D639" s="18"/>
      <c r="E639" s="18"/>
      <c r="F639" s="18"/>
      <c r="G639" s="18"/>
      <c r="H639" s="18"/>
      <c r="I639" s="16"/>
    </row>
    <row r="640" ht="60.0" customHeight="1">
      <c r="A640" s="20" t="s">
        <v>1176</v>
      </c>
      <c r="B640" s="21" t="str">
        <f t="array" ref="B640">iferror(VLOOKUP(INDIRECT(ADDRESS(ROW()+1,COLUMN(), 4)),Dex!$A$2:$C893,3,false),"")</f>
        <v/>
      </c>
      <c r="C640" s="21" t="str">
        <f t="array" ref="C640">iferror(VLOOKUP(INDIRECT(ADDRESS(ROW()+1,COLUMN(), 4)),Dex!$A$2:$C893,3,false),"")</f>
        <v/>
      </c>
      <c r="D640" s="21" t="str">
        <f t="array" ref="D640">iferror(VLOOKUP(INDIRECT(ADDRESS(ROW()+1,COLUMN(), 4)),Dex!$A$2:$C893,3,false),"")</f>
        <v/>
      </c>
      <c r="E640" s="21" t="s">
        <v>1177</v>
      </c>
      <c r="F640" s="21" t="s">
        <v>1177</v>
      </c>
      <c r="G640" s="21" t="s">
        <v>1177</v>
      </c>
      <c r="H640" s="22" t="str">
        <f t="array" ref="H640">iferror(VLOOKUP("TRAINER_PIC_SWIMMER_M",Sprites!$A$1:$B893,2,false),"")</f>
        <v/>
      </c>
      <c r="I640" s="23"/>
    </row>
    <row r="641">
      <c r="A641" s="24"/>
      <c r="B641" s="25" t="s">
        <v>470</v>
      </c>
      <c r="C641" s="25" t="s">
        <v>1136</v>
      </c>
      <c r="D641" s="25" t="s">
        <v>588</v>
      </c>
      <c r="E641" s="25" t="s">
        <v>1177</v>
      </c>
      <c r="F641" s="25" t="s">
        <v>1177</v>
      </c>
      <c r="G641" s="25" t="s">
        <v>1177</v>
      </c>
      <c r="H641" s="26"/>
    </row>
    <row r="642">
      <c r="A642" s="16" t="s">
        <v>1178</v>
      </c>
      <c r="B642" s="27" t="s">
        <v>2264</v>
      </c>
      <c r="C642" s="27" t="s">
        <v>2264</v>
      </c>
      <c r="D642" s="27" t="s">
        <v>2264</v>
      </c>
      <c r="E642" s="21" t="s">
        <v>1177</v>
      </c>
      <c r="F642" s="21" t="s">
        <v>1177</v>
      </c>
      <c r="G642" s="21" t="s">
        <v>1177</v>
      </c>
      <c r="H642" s="26"/>
    </row>
    <row r="643">
      <c r="A643" s="16" t="s">
        <v>1181</v>
      </c>
      <c r="B643" s="28" t="s">
        <v>1177</v>
      </c>
      <c r="C643" s="28" t="s">
        <v>1177</v>
      </c>
      <c r="D643" s="28" t="s">
        <v>1177</v>
      </c>
      <c r="E643" s="28" t="s">
        <v>1177</v>
      </c>
      <c r="F643" s="28" t="s">
        <v>1177</v>
      </c>
      <c r="G643" s="28" t="s">
        <v>1177</v>
      </c>
      <c r="H643" s="26"/>
    </row>
    <row r="644">
      <c r="A644" s="16" t="s">
        <v>1182</v>
      </c>
      <c r="B644" s="21" t="s">
        <v>1748</v>
      </c>
      <c r="C644" s="21" t="s">
        <v>1783</v>
      </c>
      <c r="D644" s="21" t="s">
        <v>1184</v>
      </c>
      <c r="E644" s="21" t="s">
        <v>1177</v>
      </c>
      <c r="F644" s="21" t="s">
        <v>1177</v>
      </c>
      <c r="G644" s="21" t="s">
        <v>1177</v>
      </c>
      <c r="H644" s="26"/>
    </row>
    <row r="645">
      <c r="A645" s="16" t="s">
        <v>1186</v>
      </c>
      <c r="B645" s="28" t="s">
        <v>1187</v>
      </c>
      <c r="C645" s="28" t="s">
        <v>1187</v>
      </c>
      <c r="D645" s="28" t="s">
        <v>1187</v>
      </c>
      <c r="E645" s="28" t="s">
        <v>1177</v>
      </c>
      <c r="F645" s="28" t="s">
        <v>1177</v>
      </c>
      <c r="G645" s="28" t="s">
        <v>1177</v>
      </c>
      <c r="H645" s="26"/>
    </row>
    <row r="646">
      <c r="A646" s="20" t="s">
        <v>1188</v>
      </c>
      <c r="B646" s="21" t="s">
        <v>1177</v>
      </c>
      <c r="C646" s="21" t="s">
        <v>1177</v>
      </c>
      <c r="D646" s="21" t="s">
        <v>1177</v>
      </c>
      <c r="E646" s="21" t="s">
        <v>1177</v>
      </c>
      <c r="F646" s="21" t="s">
        <v>1177</v>
      </c>
      <c r="G646" s="21" t="s">
        <v>1177</v>
      </c>
      <c r="H646" s="26"/>
    </row>
    <row r="647">
      <c r="A647" s="29"/>
      <c r="B647" s="21" t="s">
        <v>1177</v>
      </c>
      <c r="C647" s="21" t="s">
        <v>1177</v>
      </c>
      <c r="D647" s="21" t="s">
        <v>1177</v>
      </c>
      <c r="E647" s="21" t="s">
        <v>1177</v>
      </c>
      <c r="F647" s="21" t="s">
        <v>1177</v>
      </c>
      <c r="G647" s="21" t="s">
        <v>1177</v>
      </c>
      <c r="H647" s="26"/>
    </row>
    <row r="648">
      <c r="A648" s="29"/>
      <c r="B648" s="21" t="s">
        <v>1177</v>
      </c>
      <c r="C648" s="21" t="s">
        <v>1177</v>
      </c>
      <c r="D648" s="21" t="s">
        <v>1177</v>
      </c>
      <c r="E648" s="21" t="s">
        <v>1177</v>
      </c>
      <c r="F648" s="21" t="s">
        <v>1177</v>
      </c>
      <c r="G648" s="21" t="s">
        <v>1177</v>
      </c>
      <c r="H648" s="26"/>
    </row>
    <row r="649">
      <c r="A649" s="24"/>
      <c r="B649" s="21" t="s">
        <v>1177</v>
      </c>
      <c r="C649" s="21" t="s">
        <v>1177</v>
      </c>
      <c r="D649" s="21" t="s">
        <v>1177</v>
      </c>
      <c r="E649" s="21" t="s">
        <v>1177</v>
      </c>
      <c r="F649" s="21" t="s">
        <v>1177</v>
      </c>
      <c r="G649" s="21" t="s">
        <v>1177</v>
      </c>
      <c r="H649" s="30"/>
      <c r="I649" s="14"/>
    </row>
    <row r="650">
      <c r="A650" s="16" t="s">
        <v>1174</v>
      </c>
      <c r="B650" s="17" t="s">
        <v>2624</v>
      </c>
      <c r="C650" s="18"/>
      <c r="D650" s="18"/>
      <c r="E650" s="18"/>
      <c r="F650" s="18"/>
      <c r="G650" s="18"/>
      <c r="H650" s="18"/>
      <c r="I650" s="16"/>
    </row>
    <row r="651" ht="60.0" customHeight="1">
      <c r="A651" s="20" t="s">
        <v>1176</v>
      </c>
      <c r="B651" s="21" t="str">
        <f t="array" ref="B651">iferror(VLOOKUP(INDIRECT(ADDRESS(ROW()+1,COLUMN(), 4)),Dex!$A$2:$C893,3,false),"")</f>
        <v/>
      </c>
      <c r="C651" s="21" t="str">
        <f t="array" ref="C651">iferror(VLOOKUP(INDIRECT(ADDRESS(ROW()+1,COLUMN(), 4)),Dex!$A$2:$C893,3,false),"")</f>
        <v/>
      </c>
      <c r="D651" s="21" t="str">
        <f t="array" ref="D651">iferror(VLOOKUP(INDIRECT(ADDRESS(ROW()+1,COLUMN(), 4)),Dex!$A$2:$C893,3,false),"")</f>
        <v/>
      </c>
      <c r="E651" s="21" t="s">
        <v>1177</v>
      </c>
      <c r="F651" s="21" t="s">
        <v>1177</v>
      </c>
      <c r="G651" s="21" t="s">
        <v>1177</v>
      </c>
      <c r="H651" s="22" t="str">
        <f t="array" ref="H651">iferror(VLOOKUP("TRAINER_PIC_SWIMMER_F",Sprites!$A$1:$B893,2,false),"")</f>
        <v/>
      </c>
      <c r="I651" s="23"/>
    </row>
    <row r="652">
      <c r="A652" s="24"/>
      <c r="B652" s="25" t="s">
        <v>893</v>
      </c>
      <c r="C652" s="25" t="s">
        <v>796</v>
      </c>
      <c r="D652" s="25" t="s">
        <v>589</v>
      </c>
      <c r="E652" s="25" t="s">
        <v>1177</v>
      </c>
      <c r="F652" s="25" t="s">
        <v>1177</v>
      </c>
      <c r="G652" s="25" t="s">
        <v>1177</v>
      </c>
      <c r="H652" s="26"/>
    </row>
    <row r="653">
      <c r="A653" s="16" t="s">
        <v>1178</v>
      </c>
      <c r="B653" s="27" t="s">
        <v>2264</v>
      </c>
      <c r="C653" s="27" t="s">
        <v>2264</v>
      </c>
      <c r="D653" s="27" t="s">
        <v>2264</v>
      </c>
      <c r="E653" s="21" t="s">
        <v>1177</v>
      </c>
      <c r="F653" s="21" t="s">
        <v>1177</v>
      </c>
      <c r="G653" s="21" t="s">
        <v>1177</v>
      </c>
      <c r="H653" s="26"/>
    </row>
    <row r="654">
      <c r="A654" s="16" t="s">
        <v>1181</v>
      </c>
      <c r="B654" s="28" t="s">
        <v>1177</v>
      </c>
      <c r="C654" s="28" t="s">
        <v>1177</v>
      </c>
      <c r="D654" s="28" t="s">
        <v>1177</v>
      </c>
      <c r="E654" s="28" t="s">
        <v>1177</v>
      </c>
      <c r="F654" s="28" t="s">
        <v>1177</v>
      </c>
      <c r="G654" s="28" t="s">
        <v>1177</v>
      </c>
      <c r="H654" s="26"/>
    </row>
    <row r="655">
      <c r="A655" s="16" t="s">
        <v>1182</v>
      </c>
      <c r="B655" s="21" t="s">
        <v>1681</v>
      </c>
      <c r="C655" s="21" t="s">
        <v>1368</v>
      </c>
      <c r="D655" s="21" t="s">
        <v>1318</v>
      </c>
      <c r="E655" s="21" t="s">
        <v>1177</v>
      </c>
      <c r="F655" s="21" t="s">
        <v>1177</v>
      </c>
      <c r="G655" s="21" t="s">
        <v>1177</v>
      </c>
      <c r="H655" s="26"/>
    </row>
    <row r="656">
      <c r="A656" s="16" t="s">
        <v>1186</v>
      </c>
      <c r="B656" s="28" t="s">
        <v>1187</v>
      </c>
      <c r="C656" s="28" t="s">
        <v>1187</v>
      </c>
      <c r="D656" s="28" t="s">
        <v>1187</v>
      </c>
      <c r="E656" s="28" t="s">
        <v>1177</v>
      </c>
      <c r="F656" s="28" t="s">
        <v>1177</v>
      </c>
      <c r="G656" s="28" t="s">
        <v>1177</v>
      </c>
      <c r="H656" s="26"/>
    </row>
    <row r="657">
      <c r="A657" s="20" t="s">
        <v>1188</v>
      </c>
      <c r="B657" s="21" t="s">
        <v>1177</v>
      </c>
      <c r="C657" s="21" t="s">
        <v>1177</v>
      </c>
      <c r="D657" s="21" t="s">
        <v>1177</v>
      </c>
      <c r="E657" s="21" t="s">
        <v>1177</v>
      </c>
      <c r="F657" s="21" t="s">
        <v>1177</v>
      </c>
      <c r="G657" s="21" t="s">
        <v>1177</v>
      </c>
      <c r="H657" s="26"/>
    </row>
    <row r="658">
      <c r="A658" s="29"/>
      <c r="B658" s="21" t="s">
        <v>1177</v>
      </c>
      <c r="C658" s="21" t="s">
        <v>1177</v>
      </c>
      <c r="D658" s="21" t="s">
        <v>1177</v>
      </c>
      <c r="E658" s="21" t="s">
        <v>1177</v>
      </c>
      <c r="F658" s="21" t="s">
        <v>1177</v>
      </c>
      <c r="G658" s="21" t="s">
        <v>1177</v>
      </c>
      <c r="H658" s="26"/>
    </row>
    <row r="659">
      <c r="A659" s="29"/>
      <c r="B659" s="21" t="s">
        <v>1177</v>
      </c>
      <c r="C659" s="21" t="s">
        <v>1177</v>
      </c>
      <c r="D659" s="21" t="s">
        <v>1177</v>
      </c>
      <c r="E659" s="21" t="s">
        <v>1177</v>
      </c>
      <c r="F659" s="21" t="s">
        <v>1177</v>
      </c>
      <c r="G659" s="21" t="s">
        <v>1177</v>
      </c>
      <c r="H659" s="26"/>
    </row>
    <row r="660">
      <c r="A660" s="24"/>
      <c r="B660" s="21" t="s">
        <v>1177</v>
      </c>
      <c r="C660" s="21" t="s">
        <v>1177</v>
      </c>
      <c r="D660" s="21" t="s">
        <v>1177</v>
      </c>
      <c r="E660" s="21" t="s">
        <v>1177</v>
      </c>
      <c r="F660" s="21" t="s">
        <v>1177</v>
      </c>
      <c r="G660" s="21" t="s">
        <v>1177</v>
      </c>
      <c r="H660" s="30"/>
      <c r="I660" s="14"/>
    </row>
    <row r="661">
      <c r="A661" s="16" t="s">
        <v>1174</v>
      </c>
      <c r="B661" s="17" t="s">
        <v>2625</v>
      </c>
      <c r="C661" s="18"/>
      <c r="D661" s="18"/>
      <c r="E661" s="18"/>
      <c r="F661" s="18"/>
      <c r="G661" s="18"/>
      <c r="H661" s="18"/>
      <c r="I661" s="16"/>
    </row>
    <row r="662" ht="60.0" customHeight="1">
      <c r="A662" s="20" t="s">
        <v>1176</v>
      </c>
      <c r="B662" s="21" t="str">
        <f t="array" ref="B662">iferror(VLOOKUP(INDIRECT(ADDRESS(ROW()+1,COLUMN(), 4)),Dex!$A$2:$C893,3,false),"")</f>
        <v/>
      </c>
      <c r="C662" s="21" t="str">
        <f t="array" ref="C662">iferror(VLOOKUP(INDIRECT(ADDRESS(ROW()+1,COLUMN(), 4)),Dex!$A$2:$C893,3,false),"")</f>
        <v/>
      </c>
      <c r="D662" s="21" t="str">
        <f t="array" ref="D662">iferror(VLOOKUP(INDIRECT(ADDRESS(ROW()+1,COLUMN(), 4)),Dex!$A$2:$C893,3,false),"")</f>
        <v/>
      </c>
      <c r="E662" s="21" t="str">
        <f t="array" ref="E662">iferror(VLOOKUP(INDIRECT(ADDRESS(ROW()+1,COLUMN(), 4)),Dex!$A$2:$C893,3,false),"")</f>
        <v/>
      </c>
      <c r="F662" s="21" t="str">
        <f t="array" ref="F662">iferror(VLOOKUP(INDIRECT(ADDRESS(ROW()+1,COLUMN(), 4)),Dex!$A$2:$C893,3,false),"")</f>
        <v/>
      </c>
      <c r="G662" s="21" t="s">
        <v>1177</v>
      </c>
      <c r="H662" s="22" t="str">
        <f t="array" ref="H662">iferror(VLOOKUP("TRAINER_PIC_COOLTRAINER_M",Sprites!$A$1:$B893,2,false),"")</f>
        <v/>
      </c>
      <c r="I662" s="23"/>
    </row>
    <row r="663">
      <c r="A663" s="24"/>
      <c r="B663" s="25" t="s">
        <v>113</v>
      </c>
      <c r="C663" s="25" t="s">
        <v>365</v>
      </c>
      <c r="D663" s="25" t="s">
        <v>586</v>
      </c>
      <c r="E663" s="25" t="s">
        <v>895</v>
      </c>
      <c r="F663" s="25" t="s">
        <v>583</v>
      </c>
      <c r="G663" s="25" t="s">
        <v>1177</v>
      </c>
      <c r="H663" s="26"/>
    </row>
    <row r="664">
      <c r="A664" s="16" t="s">
        <v>1178</v>
      </c>
      <c r="B664" s="27" t="s">
        <v>2264</v>
      </c>
      <c r="C664" s="27" t="s">
        <v>2264</v>
      </c>
      <c r="D664" s="27" t="s">
        <v>2264</v>
      </c>
      <c r="E664" s="27" t="s">
        <v>2264</v>
      </c>
      <c r="F664" s="27" t="s">
        <v>2264</v>
      </c>
      <c r="G664" s="21" t="s">
        <v>1177</v>
      </c>
      <c r="H664" s="26"/>
    </row>
    <row r="665">
      <c r="A665" s="16" t="s">
        <v>1181</v>
      </c>
      <c r="B665" s="28" t="s">
        <v>1177</v>
      </c>
      <c r="C665" s="28" t="s">
        <v>1177</v>
      </c>
      <c r="D665" s="28" t="s">
        <v>1177</v>
      </c>
      <c r="E665" s="28" t="s">
        <v>1177</v>
      </c>
      <c r="F665" s="28" t="s">
        <v>1177</v>
      </c>
      <c r="G665" s="28" t="s">
        <v>1177</v>
      </c>
      <c r="H665" s="26"/>
    </row>
    <row r="666">
      <c r="A666" s="16" t="s">
        <v>1182</v>
      </c>
      <c r="B666" s="21" t="s">
        <v>1885</v>
      </c>
      <c r="C666" s="21" t="s">
        <v>1212</v>
      </c>
      <c r="D666" s="21" t="s">
        <v>1382</v>
      </c>
      <c r="E666" s="21" t="s">
        <v>2626</v>
      </c>
      <c r="F666" s="21" t="s">
        <v>1356</v>
      </c>
      <c r="G666" s="21" t="s">
        <v>1177</v>
      </c>
      <c r="H666" s="26"/>
    </row>
    <row r="667">
      <c r="A667" s="16" t="s">
        <v>1186</v>
      </c>
      <c r="B667" s="28" t="s">
        <v>1187</v>
      </c>
      <c r="C667" s="28" t="s">
        <v>1187</v>
      </c>
      <c r="D667" s="28" t="s">
        <v>1187</v>
      </c>
      <c r="E667" s="28" t="s">
        <v>1187</v>
      </c>
      <c r="F667" s="28" t="s">
        <v>1187</v>
      </c>
      <c r="G667" s="28" t="s">
        <v>1177</v>
      </c>
      <c r="H667" s="26"/>
    </row>
    <row r="668">
      <c r="A668" s="20" t="s">
        <v>1188</v>
      </c>
      <c r="B668" s="21" t="s">
        <v>1177</v>
      </c>
      <c r="C668" s="21" t="s">
        <v>1177</v>
      </c>
      <c r="D668" s="21" t="s">
        <v>1177</v>
      </c>
      <c r="E668" s="21" t="s">
        <v>1177</v>
      </c>
      <c r="F668" s="21" t="s">
        <v>1177</v>
      </c>
      <c r="G668" s="21" t="s">
        <v>1177</v>
      </c>
      <c r="H668" s="26"/>
    </row>
    <row r="669">
      <c r="A669" s="29"/>
      <c r="B669" s="21" t="s">
        <v>1177</v>
      </c>
      <c r="C669" s="21" t="s">
        <v>1177</v>
      </c>
      <c r="D669" s="21" t="s">
        <v>1177</v>
      </c>
      <c r="E669" s="21" t="s">
        <v>1177</v>
      </c>
      <c r="F669" s="21" t="s">
        <v>1177</v>
      </c>
      <c r="G669" s="21" t="s">
        <v>1177</v>
      </c>
      <c r="H669" s="26"/>
    </row>
    <row r="670">
      <c r="A670" s="29"/>
      <c r="B670" s="21" t="s">
        <v>1177</v>
      </c>
      <c r="C670" s="21" t="s">
        <v>1177</v>
      </c>
      <c r="D670" s="21" t="s">
        <v>1177</v>
      </c>
      <c r="E670" s="21" t="s">
        <v>1177</v>
      </c>
      <c r="F670" s="21" t="s">
        <v>1177</v>
      </c>
      <c r="G670" s="21" t="s">
        <v>1177</v>
      </c>
      <c r="H670" s="26"/>
    </row>
    <row r="671">
      <c r="A671" s="24"/>
      <c r="B671" s="21" t="s">
        <v>1177</v>
      </c>
      <c r="C671" s="21" t="s">
        <v>1177</v>
      </c>
      <c r="D671" s="21" t="s">
        <v>1177</v>
      </c>
      <c r="E671" s="21" t="s">
        <v>1177</v>
      </c>
      <c r="F671" s="21" t="s">
        <v>1177</v>
      </c>
      <c r="G671" s="21" t="s">
        <v>1177</v>
      </c>
      <c r="H671" s="30"/>
      <c r="I671" s="14"/>
    </row>
    <row r="672">
      <c r="A672" s="16" t="s">
        <v>1174</v>
      </c>
      <c r="B672" s="17" t="s">
        <v>2627</v>
      </c>
      <c r="C672" s="18"/>
      <c r="D672" s="18"/>
      <c r="E672" s="18"/>
      <c r="F672" s="18"/>
      <c r="G672" s="18"/>
      <c r="H672" s="18"/>
      <c r="I672" s="16"/>
    </row>
    <row r="673" ht="60.0" customHeight="1">
      <c r="A673" s="20" t="s">
        <v>1176</v>
      </c>
      <c r="B673" s="21" t="str">
        <f t="array" ref="B673">iferror(VLOOKUP(INDIRECT(ADDRESS(ROW()+1,COLUMN(), 4)),Dex!$A$2:$C893,3,false),"")</f>
        <v/>
      </c>
      <c r="C673" s="21" t="str">
        <f t="array" ref="C673">iferror(VLOOKUP(INDIRECT(ADDRESS(ROW()+1,COLUMN(), 4)),Dex!$A$2:$C893,3,false),"")</f>
        <v/>
      </c>
      <c r="D673" s="21" t="str">
        <f t="array" ref="D673">iferror(VLOOKUP(INDIRECT(ADDRESS(ROW()+1,COLUMN(), 4)),Dex!$A$2:$C893,3,false),"")</f>
        <v/>
      </c>
      <c r="E673" s="21" t="str">
        <f t="array" ref="E673">iferror(VLOOKUP(INDIRECT(ADDRESS(ROW()+1,COLUMN(), 4)),Dex!$A$2:$C893,3,false),"")</f>
        <v/>
      </c>
      <c r="F673" s="21" t="str">
        <f t="array" ref="F673">iferror(VLOOKUP(INDIRECT(ADDRESS(ROW()+1,COLUMN(), 4)),Dex!$A$2:$C893,3,false),"")</f>
        <v/>
      </c>
      <c r="G673" s="21" t="s">
        <v>1177</v>
      </c>
      <c r="H673" s="22" t="str">
        <f t="array" ref="H673">iferror(VLOOKUP("TRAINER_PIC_BIRD_KEEPER",Sprites!$A$1:$B893,2,false),"")</f>
        <v/>
      </c>
      <c r="I673" s="23"/>
    </row>
    <row r="674">
      <c r="A674" s="24"/>
      <c r="B674" s="25" t="s">
        <v>153</v>
      </c>
      <c r="C674" s="25" t="s">
        <v>1165</v>
      </c>
      <c r="D674" s="25" t="s">
        <v>418</v>
      </c>
      <c r="E674" s="25" t="s">
        <v>31</v>
      </c>
      <c r="F674" s="25" t="s">
        <v>435</v>
      </c>
      <c r="G674" s="25" t="s">
        <v>1177</v>
      </c>
      <c r="H674" s="26"/>
    </row>
    <row r="675">
      <c r="A675" s="16" t="s">
        <v>1178</v>
      </c>
      <c r="B675" s="27" t="s">
        <v>2264</v>
      </c>
      <c r="C675" s="27" t="s">
        <v>2264</v>
      </c>
      <c r="D675" s="27" t="s">
        <v>2264</v>
      </c>
      <c r="E675" s="27" t="s">
        <v>2264</v>
      </c>
      <c r="F675" s="27" t="s">
        <v>2264</v>
      </c>
      <c r="G675" s="21" t="s">
        <v>1177</v>
      </c>
      <c r="H675" s="26"/>
    </row>
    <row r="676">
      <c r="A676" s="16" t="s">
        <v>1181</v>
      </c>
      <c r="B676" s="28" t="s">
        <v>1177</v>
      </c>
      <c r="C676" s="28" t="s">
        <v>1177</v>
      </c>
      <c r="D676" s="28" t="s">
        <v>1177</v>
      </c>
      <c r="E676" s="28" t="s">
        <v>1177</v>
      </c>
      <c r="F676" s="28" t="s">
        <v>1177</v>
      </c>
      <c r="G676" s="28" t="s">
        <v>1177</v>
      </c>
      <c r="H676" s="26"/>
    </row>
    <row r="677">
      <c r="A677" s="16" t="s">
        <v>1182</v>
      </c>
      <c r="B677" s="21" t="s">
        <v>2103</v>
      </c>
      <c r="C677" s="21" t="s">
        <v>1419</v>
      </c>
      <c r="D677" s="21" t="s">
        <v>1266</v>
      </c>
      <c r="E677" s="21" t="s">
        <v>1185</v>
      </c>
      <c r="F677" s="21" t="s">
        <v>1283</v>
      </c>
      <c r="G677" s="21" t="s">
        <v>1177</v>
      </c>
      <c r="H677" s="26"/>
    </row>
    <row r="678">
      <c r="A678" s="16" t="s">
        <v>1186</v>
      </c>
      <c r="B678" s="28" t="s">
        <v>1187</v>
      </c>
      <c r="C678" s="28" t="s">
        <v>1187</v>
      </c>
      <c r="D678" s="28" t="s">
        <v>1187</v>
      </c>
      <c r="E678" s="28" t="s">
        <v>1187</v>
      </c>
      <c r="F678" s="28" t="s">
        <v>1187</v>
      </c>
      <c r="G678" s="28" t="s">
        <v>1177</v>
      </c>
      <c r="H678" s="26"/>
    </row>
    <row r="679">
      <c r="A679" s="20" t="s">
        <v>1188</v>
      </c>
      <c r="B679" s="21" t="s">
        <v>1177</v>
      </c>
      <c r="C679" s="21" t="s">
        <v>1177</v>
      </c>
      <c r="D679" s="21" t="s">
        <v>1177</v>
      </c>
      <c r="E679" s="21" t="s">
        <v>1177</v>
      </c>
      <c r="F679" s="21" t="s">
        <v>1177</v>
      </c>
      <c r="G679" s="21" t="s">
        <v>1177</v>
      </c>
      <c r="H679" s="26"/>
    </row>
    <row r="680">
      <c r="A680" s="29"/>
      <c r="B680" s="21" t="s">
        <v>1177</v>
      </c>
      <c r="C680" s="21" t="s">
        <v>1177</v>
      </c>
      <c r="D680" s="21" t="s">
        <v>1177</v>
      </c>
      <c r="E680" s="21" t="s">
        <v>1177</v>
      </c>
      <c r="F680" s="21" t="s">
        <v>1177</v>
      </c>
      <c r="G680" s="21" t="s">
        <v>1177</v>
      </c>
      <c r="H680" s="26"/>
    </row>
    <row r="681">
      <c r="A681" s="29"/>
      <c r="B681" s="21" t="s">
        <v>1177</v>
      </c>
      <c r="C681" s="21" t="s">
        <v>1177</v>
      </c>
      <c r="D681" s="21" t="s">
        <v>1177</v>
      </c>
      <c r="E681" s="21" t="s">
        <v>1177</v>
      </c>
      <c r="F681" s="21" t="s">
        <v>1177</v>
      </c>
      <c r="G681" s="21" t="s">
        <v>1177</v>
      </c>
      <c r="H681" s="26"/>
    </row>
    <row r="682">
      <c r="A682" s="24"/>
      <c r="B682" s="21" t="s">
        <v>1177</v>
      </c>
      <c r="C682" s="21" t="s">
        <v>1177</v>
      </c>
      <c r="D682" s="21" t="s">
        <v>1177</v>
      </c>
      <c r="E682" s="21" t="s">
        <v>1177</v>
      </c>
      <c r="F682" s="21" t="s">
        <v>1177</v>
      </c>
      <c r="G682" s="21" t="s">
        <v>1177</v>
      </c>
      <c r="H682" s="30"/>
      <c r="I682" s="14"/>
    </row>
    <row r="683">
      <c r="A683" s="16" t="s">
        <v>1174</v>
      </c>
      <c r="B683" s="17" t="s">
        <v>2628</v>
      </c>
      <c r="C683" s="18"/>
      <c r="D683" s="18"/>
      <c r="E683" s="18"/>
      <c r="F683" s="18"/>
      <c r="G683" s="18"/>
      <c r="H683" s="18"/>
      <c r="I683" s="19"/>
    </row>
    <row r="684" ht="60.0" customHeight="1">
      <c r="A684" s="20" t="s">
        <v>1176</v>
      </c>
      <c r="B684" s="21" t="str">
        <f t="array" ref="B684">iferror(VLOOKUP(INDIRECT(ADDRESS(ROW()+1,COLUMN(), 4)),Dex!$A$2:$C893,3,false),"")</f>
        <v/>
      </c>
      <c r="C684" s="21" t="str">
        <f t="array" ref="C684">iferror(VLOOKUP(INDIRECT(ADDRESS(ROW()+1,COLUMN(), 4)),Dex!$A$2:$C893,3,false),"")</f>
        <v/>
      </c>
      <c r="D684" s="21" t="str">
        <f t="array" ref="D684">iferror(VLOOKUP(INDIRECT(ADDRESS(ROW()+1,COLUMN(), 4)),Dex!$A$2:$C893,3,false),"")</f>
        <v/>
      </c>
      <c r="E684" s="21" t="str">
        <f t="array" ref="E684">iferror(VLOOKUP(INDIRECT(ADDRESS(ROW()+1,COLUMN(), 4)),Dex!$A$2:$C893,3,false),"")</f>
        <v/>
      </c>
      <c r="F684" s="21" t="str">
        <f t="array" ref="F684">iferror(VLOOKUP(INDIRECT(ADDRESS(ROW()+1,COLUMN(), 4)),Dex!$A$2:$C893,3,false),"")</f>
        <v/>
      </c>
      <c r="G684" s="21" t="str">
        <f t="array" ref="G684">iferror(VLOOKUP(INDIRECT(ADDRESS(ROW()+1,COLUMN(), 4)),Dex!$A$2:$C893,3,false),"")</f>
        <v/>
      </c>
      <c r="H684" s="22" t="str">
        <f t="array" ref="H684">iferror(VLOOKUP("TRAINER_PIC_EXPERT_M",Sprites!$A$1:$B893,2,false),"")</f>
        <v/>
      </c>
      <c r="I684" s="23"/>
    </row>
    <row r="685">
      <c r="A685" s="24"/>
      <c r="B685" s="25" t="s">
        <v>193</v>
      </c>
      <c r="C685" s="25" t="s">
        <v>165</v>
      </c>
      <c r="D685" s="25" t="s">
        <v>788</v>
      </c>
      <c r="E685" s="25" t="s">
        <v>408</v>
      </c>
      <c r="F685" s="25" t="s">
        <v>76</v>
      </c>
      <c r="G685" s="25" t="s">
        <v>194</v>
      </c>
      <c r="H685" s="26"/>
    </row>
    <row r="686">
      <c r="A686" s="16" t="s">
        <v>1178</v>
      </c>
      <c r="B686" s="27" t="s">
        <v>2265</v>
      </c>
      <c r="C686" s="27" t="s">
        <v>2265</v>
      </c>
      <c r="D686" s="27" t="s">
        <v>2265</v>
      </c>
      <c r="E686" s="27" t="s">
        <v>2265</v>
      </c>
      <c r="F686" s="27" t="s">
        <v>2265</v>
      </c>
      <c r="G686" s="27" t="s">
        <v>2265</v>
      </c>
      <c r="H686" s="26"/>
    </row>
    <row r="687">
      <c r="A687" s="16" t="s">
        <v>1181</v>
      </c>
      <c r="B687" s="28" t="s">
        <v>1901</v>
      </c>
      <c r="C687" s="28" t="s">
        <v>1346</v>
      </c>
      <c r="D687" s="28" t="s">
        <v>1457</v>
      </c>
      <c r="E687" s="28" t="s">
        <v>1882</v>
      </c>
      <c r="F687" s="28" t="s">
        <v>1247</v>
      </c>
      <c r="G687" s="28" t="s">
        <v>2478</v>
      </c>
      <c r="H687" s="26"/>
    </row>
    <row r="688">
      <c r="A688" s="16" t="s">
        <v>1182</v>
      </c>
      <c r="B688" s="21" t="s">
        <v>1298</v>
      </c>
      <c r="C688" s="21" t="s">
        <v>1368</v>
      </c>
      <c r="D688" s="21" t="s">
        <v>1405</v>
      </c>
      <c r="E688" s="21" t="s">
        <v>1669</v>
      </c>
      <c r="F688" s="21" t="s">
        <v>1675</v>
      </c>
      <c r="G688" s="21" t="s">
        <v>1690</v>
      </c>
      <c r="H688" s="26"/>
    </row>
    <row r="689">
      <c r="A689" s="16" t="s">
        <v>1186</v>
      </c>
      <c r="B689" s="28" t="s">
        <v>1235</v>
      </c>
      <c r="C689" s="28" t="s">
        <v>1284</v>
      </c>
      <c r="D689" s="28" t="s">
        <v>1235</v>
      </c>
      <c r="E689" s="28" t="s">
        <v>1284</v>
      </c>
      <c r="F689" s="28" t="s">
        <v>1235</v>
      </c>
      <c r="G689" s="28" t="s">
        <v>1235</v>
      </c>
      <c r="H689" s="26"/>
    </row>
    <row r="690">
      <c r="A690" s="20" t="s">
        <v>1188</v>
      </c>
      <c r="B690" s="21" t="s">
        <v>1250</v>
      </c>
      <c r="C690" s="21" t="s">
        <v>1373</v>
      </c>
      <c r="D690" s="21" t="s">
        <v>1805</v>
      </c>
      <c r="E690" s="21" t="s">
        <v>1724</v>
      </c>
      <c r="F690" s="21" t="s">
        <v>1677</v>
      </c>
      <c r="G690" s="21" t="s">
        <v>1594</v>
      </c>
      <c r="H690" s="26"/>
    </row>
    <row r="691">
      <c r="A691" s="29"/>
      <c r="B691" s="21" t="s">
        <v>1834</v>
      </c>
      <c r="C691" s="21" t="s">
        <v>2058</v>
      </c>
      <c r="D691" s="21" t="s">
        <v>1415</v>
      </c>
      <c r="E691" s="21" t="s">
        <v>1740</v>
      </c>
      <c r="F691" s="21" t="s">
        <v>1678</v>
      </c>
      <c r="G691" s="21" t="s">
        <v>1834</v>
      </c>
      <c r="H691" s="26"/>
    </row>
    <row r="692">
      <c r="A692" s="29"/>
      <c r="B692" s="21" t="s">
        <v>1983</v>
      </c>
      <c r="C692" s="21" t="s">
        <v>2104</v>
      </c>
      <c r="D692" s="21" t="s">
        <v>1874</v>
      </c>
      <c r="E692" s="21" t="s">
        <v>1470</v>
      </c>
      <c r="F692" s="21" t="s">
        <v>1336</v>
      </c>
      <c r="G692" s="21" t="s">
        <v>1915</v>
      </c>
      <c r="H692" s="26"/>
    </row>
    <row r="693">
      <c r="A693" s="24"/>
      <c r="B693" s="21" t="s">
        <v>1621</v>
      </c>
      <c r="C693" s="21" t="s">
        <v>1590</v>
      </c>
      <c r="D693" s="21" t="s">
        <v>1944</v>
      </c>
      <c r="E693" s="21" t="s">
        <v>1389</v>
      </c>
      <c r="F693" s="21" t="s">
        <v>1359</v>
      </c>
      <c r="G693" s="21" t="s">
        <v>1389</v>
      </c>
      <c r="H693" s="30"/>
      <c r="I693" s="14"/>
    </row>
    <row r="694">
      <c r="A694" s="37"/>
      <c r="B694" s="38" t="s">
        <v>2629</v>
      </c>
      <c r="C694" s="14"/>
      <c r="D694" s="14"/>
      <c r="E694" s="14"/>
      <c r="F694" s="14"/>
      <c r="G694" s="14"/>
      <c r="H694" s="24"/>
      <c r="I694" s="33"/>
    </row>
    <row r="695">
      <c r="A695" s="16" t="s">
        <v>1174</v>
      </c>
      <c r="B695" s="17" t="s">
        <v>2630</v>
      </c>
      <c r="C695" s="18"/>
      <c r="D695" s="18"/>
      <c r="E695" s="18"/>
      <c r="F695" s="18"/>
      <c r="G695" s="18"/>
      <c r="H695" s="18"/>
      <c r="I695" s="16"/>
    </row>
    <row r="696" ht="60.0" customHeight="1">
      <c r="A696" s="20" t="s">
        <v>1176</v>
      </c>
      <c r="B696" s="21" t="str">
        <f t="array" ref="B696">iferror(VLOOKUP(INDIRECT(ADDRESS(ROW()+1,COLUMN(), 4)),Dex!$A$2:$C893,3,false),"")</f>
        <v/>
      </c>
      <c r="C696" s="21" t="str">
        <f t="array" ref="C696">iferror(VLOOKUP(INDIRECT(ADDRESS(ROW()+1,COLUMN(), 4)),Dex!$A$2:$C893,3,false),"")</f>
        <v/>
      </c>
      <c r="D696" s="21" t="str">
        <f t="array" ref="D696">iferror(VLOOKUP(INDIRECT(ADDRESS(ROW()+1,COLUMN(), 4)),Dex!$A$2:$C893,3,false),"")</f>
        <v/>
      </c>
      <c r="E696" s="21" t="str">
        <f t="array" ref="E696">iferror(VLOOKUP(INDIRECT(ADDRESS(ROW()+1,COLUMN(), 4)),Dex!$A$2:$C893,3,false),"")</f>
        <v/>
      </c>
      <c r="F696" s="21" t="s">
        <v>1177</v>
      </c>
      <c r="G696" s="21" t="s">
        <v>1177</v>
      </c>
      <c r="H696" s="22" t="str">
        <f t="array" ref="H696">iferror(VLOOKUP("TRAINER_PIC_SAILOR",Sprites!$A$1:$B893,2,false),"")</f>
        <v/>
      </c>
      <c r="I696" s="23"/>
    </row>
    <row r="697">
      <c r="A697" s="24"/>
      <c r="B697" s="25" t="s">
        <v>421</v>
      </c>
      <c r="C697" s="25" t="s">
        <v>867</v>
      </c>
      <c r="D697" s="25" t="s">
        <v>444</v>
      </c>
      <c r="E697" s="25" t="s">
        <v>247</v>
      </c>
      <c r="F697" s="25" t="s">
        <v>1177</v>
      </c>
      <c r="G697" s="25" t="s">
        <v>1177</v>
      </c>
      <c r="H697" s="26"/>
    </row>
    <row r="698">
      <c r="A698" s="16" t="s">
        <v>1178</v>
      </c>
      <c r="B698" s="27" t="s">
        <v>2264</v>
      </c>
      <c r="C698" s="27" t="s">
        <v>2264</v>
      </c>
      <c r="D698" s="27" t="s">
        <v>2264</v>
      </c>
      <c r="E698" s="27" t="s">
        <v>2264</v>
      </c>
      <c r="F698" s="21" t="s">
        <v>1177</v>
      </c>
      <c r="G698" s="21" t="s">
        <v>1177</v>
      </c>
      <c r="H698" s="26"/>
    </row>
    <row r="699">
      <c r="A699" s="16" t="s">
        <v>1181</v>
      </c>
      <c r="B699" s="28" t="s">
        <v>1177</v>
      </c>
      <c r="C699" s="28" t="s">
        <v>1177</v>
      </c>
      <c r="D699" s="28" t="s">
        <v>1177</v>
      </c>
      <c r="E699" s="28" t="s">
        <v>1177</v>
      </c>
      <c r="F699" s="28" t="s">
        <v>1177</v>
      </c>
      <c r="G699" s="28" t="s">
        <v>1177</v>
      </c>
      <c r="H699" s="26"/>
    </row>
    <row r="700">
      <c r="A700" s="16" t="s">
        <v>1182</v>
      </c>
      <c r="B700" s="21" t="s">
        <v>1614</v>
      </c>
      <c r="C700" s="21" t="s">
        <v>2100</v>
      </c>
      <c r="D700" s="21" t="s">
        <v>1654</v>
      </c>
      <c r="E700" s="21" t="s">
        <v>1791</v>
      </c>
      <c r="F700" s="21" t="s">
        <v>1177</v>
      </c>
      <c r="G700" s="21" t="s">
        <v>1177</v>
      </c>
      <c r="H700" s="26"/>
    </row>
    <row r="701">
      <c r="A701" s="16" t="s">
        <v>1186</v>
      </c>
      <c r="B701" s="28" t="s">
        <v>1187</v>
      </c>
      <c r="C701" s="28" t="s">
        <v>1187</v>
      </c>
      <c r="D701" s="28" t="s">
        <v>1187</v>
      </c>
      <c r="E701" s="28" t="s">
        <v>1187</v>
      </c>
      <c r="F701" s="28" t="s">
        <v>1177</v>
      </c>
      <c r="G701" s="28" t="s">
        <v>1177</v>
      </c>
      <c r="H701" s="26"/>
    </row>
    <row r="702">
      <c r="A702" s="20" t="s">
        <v>1188</v>
      </c>
      <c r="B702" s="21" t="s">
        <v>1177</v>
      </c>
      <c r="C702" s="21" t="s">
        <v>1177</v>
      </c>
      <c r="D702" s="21" t="s">
        <v>1177</v>
      </c>
      <c r="E702" s="21" t="s">
        <v>1177</v>
      </c>
      <c r="F702" s="21" t="s">
        <v>1177</v>
      </c>
      <c r="G702" s="21" t="s">
        <v>1177</v>
      </c>
      <c r="H702" s="26"/>
    </row>
    <row r="703">
      <c r="A703" s="29"/>
      <c r="B703" s="21" t="s">
        <v>1177</v>
      </c>
      <c r="C703" s="21" t="s">
        <v>1177</v>
      </c>
      <c r="D703" s="21" t="s">
        <v>1177</v>
      </c>
      <c r="E703" s="21" t="s">
        <v>1177</v>
      </c>
      <c r="F703" s="21" t="s">
        <v>1177</v>
      </c>
      <c r="G703" s="21" t="s">
        <v>1177</v>
      </c>
      <c r="H703" s="26"/>
    </row>
    <row r="704">
      <c r="A704" s="29"/>
      <c r="B704" s="21" t="s">
        <v>1177</v>
      </c>
      <c r="C704" s="21" t="s">
        <v>1177</v>
      </c>
      <c r="D704" s="21" t="s">
        <v>1177</v>
      </c>
      <c r="E704" s="21" t="s">
        <v>1177</v>
      </c>
      <c r="F704" s="21" t="s">
        <v>1177</v>
      </c>
      <c r="G704" s="21" t="s">
        <v>1177</v>
      </c>
      <c r="H704" s="26"/>
    </row>
    <row r="705">
      <c r="A705" s="24"/>
      <c r="B705" s="21" t="s">
        <v>1177</v>
      </c>
      <c r="C705" s="21" t="s">
        <v>1177</v>
      </c>
      <c r="D705" s="21" t="s">
        <v>1177</v>
      </c>
      <c r="E705" s="21" t="s">
        <v>1177</v>
      </c>
      <c r="F705" s="21" t="s">
        <v>1177</v>
      </c>
      <c r="G705" s="21" t="s">
        <v>1177</v>
      </c>
      <c r="H705" s="30"/>
      <c r="I705" s="14"/>
    </row>
    <row r="706">
      <c r="A706" s="16" t="s">
        <v>1174</v>
      </c>
      <c r="B706" s="17" t="s">
        <v>2631</v>
      </c>
      <c r="C706" s="18"/>
      <c r="D706" s="18"/>
      <c r="E706" s="18"/>
      <c r="F706" s="18"/>
      <c r="G706" s="18"/>
      <c r="H706" s="18"/>
      <c r="I706" s="16"/>
    </row>
    <row r="707" ht="60.0" customHeight="1">
      <c r="A707" s="20" t="s">
        <v>1176</v>
      </c>
      <c r="B707" s="21" t="str">
        <f t="array" ref="B707">iferror(VLOOKUP(INDIRECT(ADDRESS(ROW()+1,COLUMN(), 4)),Dex!$A$2:$C893,3,false),"")</f>
        <v/>
      </c>
      <c r="C707" s="21" t="str">
        <f t="array" ref="C707">iferror(VLOOKUP(INDIRECT(ADDRESS(ROW()+1,COLUMN(), 4)),Dex!$A$2:$C893,3,false),"")</f>
        <v/>
      </c>
      <c r="D707" s="21" t="str">
        <f t="array" ref="D707">iferror(VLOOKUP(INDIRECT(ADDRESS(ROW()+1,COLUMN(), 4)),Dex!$A$2:$C893,3,false),"")</f>
        <v/>
      </c>
      <c r="E707" s="21" t="str">
        <f t="array" ref="E707">iferror(VLOOKUP(INDIRECT(ADDRESS(ROW()+1,COLUMN(), 4)),Dex!$A$2:$C893,3,false),"")</f>
        <v/>
      </c>
      <c r="F707" s="21" t="s">
        <v>1177</v>
      </c>
      <c r="G707" s="21" t="s">
        <v>1177</v>
      </c>
      <c r="H707" s="22" t="str">
        <f t="array" ref="H707">iferror(VLOOKUP("TRAINER_PIC_BATTLE_GIRL",Sprites!$A$1:$B893,2,false),"")</f>
        <v/>
      </c>
      <c r="I707" s="23"/>
    </row>
    <row r="708">
      <c r="A708" s="24"/>
      <c r="B708" s="25" t="s">
        <v>405</v>
      </c>
      <c r="C708" s="25" t="s">
        <v>691</v>
      </c>
      <c r="D708" s="25" t="s">
        <v>188</v>
      </c>
      <c r="E708" s="25" t="s">
        <v>327</v>
      </c>
      <c r="F708" s="25" t="s">
        <v>1177</v>
      </c>
      <c r="G708" s="25" t="s">
        <v>1177</v>
      </c>
      <c r="H708" s="26"/>
    </row>
    <row r="709">
      <c r="A709" s="16" t="s">
        <v>1178</v>
      </c>
      <c r="B709" s="27" t="s">
        <v>2264</v>
      </c>
      <c r="C709" s="27" t="s">
        <v>2264</v>
      </c>
      <c r="D709" s="27" t="s">
        <v>2264</v>
      </c>
      <c r="E709" s="27" t="s">
        <v>2264</v>
      </c>
      <c r="F709" s="21" t="s">
        <v>1177</v>
      </c>
      <c r="G709" s="21" t="s">
        <v>1177</v>
      </c>
      <c r="H709" s="26"/>
    </row>
    <row r="710">
      <c r="A710" s="16" t="s">
        <v>1181</v>
      </c>
      <c r="B710" s="28" t="s">
        <v>1177</v>
      </c>
      <c r="C710" s="28" t="s">
        <v>1177</v>
      </c>
      <c r="D710" s="28" t="s">
        <v>1177</v>
      </c>
      <c r="E710" s="28" t="s">
        <v>1177</v>
      </c>
      <c r="F710" s="28" t="s">
        <v>1177</v>
      </c>
      <c r="G710" s="28" t="s">
        <v>1177</v>
      </c>
      <c r="H710" s="26"/>
    </row>
    <row r="711">
      <c r="A711" s="16" t="s">
        <v>1182</v>
      </c>
      <c r="B711" s="21" t="s">
        <v>1429</v>
      </c>
      <c r="C711" s="21" t="s">
        <v>1690</v>
      </c>
      <c r="D711" s="21" t="s">
        <v>1298</v>
      </c>
      <c r="E711" s="21" t="s">
        <v>1748</v>
      </c>
      <c r="F711" s="21" t="s">
        <v>1177</v>
      </c>
      <c r="G711" s="21" t="s">
        <v>1177</v>
      </c>
      <c r="H711" s="26"/>
    </row>
    <row r="712">
      <c r="A712" s="16" t="s">
        <v>1186</v>
      </c>
      <c r="B712" s="28" t="s">
        <v>1187</v>
      </c>
      <c r="C712" s="28" t="s">
        <v>1187</v>
      </c>
      <c r="D712" s="28" t="s">
        <v>1187</v>
      </c>
      <c r="E712" s="28" t="s">
        <v>1187</v>
      </c>
      <c r="F712" s="28" t="s">
        <v>1177</v>
      </c>
      <c r="G712" s="28" t="s">
        <v>1177</v>
      </c>
      <c r="H712" s="26"/>
    </row>
    <row r="713">
      <c r="A713" s="20" t="s">
        <v>1188</v>
      </c>
      <c r="B713" s="21" t="s">
        <v>1177</v>
      </c>
      <c r="C713" s="21" t="s">
        <v>1177</v>
      </c>
      <c r="D713" s="21" t="s">
        <v>1177</v>
      </c>
      <c r="E713" s="21" t="s">
        <v>1177</v>
      </c>
      <c r="F713" s="21" t="s">
        <v>1177</v>
      </c>
      <c r="G713" s="21" t="s">
        <v>1177</v>
      </c>
      <c r="H713" s="26"/>
    </row>
    <row r="714">
      <c r="A714" s="29"/>
      <c r="B714" s="21" t="s">
        <v>1177</v>
      </c>
      <c r="C714" s="21" t="s">
        <v>1177</v>
      </c>
      <c r="D714" s="21" t="s">
        <v>1177</v>
      </c>
      <c r="E714" s="21" t="s">
        <v>1177</v>
      </c>
      <c r="F714" s="21" t="s">
        <v>1177</v>
      </c>
      <c r="G714" s="21" t="s">
        <v>1177</v>
      </c>
      <c r="H714" s="26"/>
    </row>
    <row r="715">
      <c r="A715" s="29"/>
      <c r="B715" s="21" t="s">
        <v>1177</v>
      </c>
      <c r="C715" s="21" t="s">
        <v>1177</v>
      </c>
      <c r="D715" s="21" t="s">
        <v>1177</v>
      </c>
      <c r="E715" s="21" t="s">
        <v>1177</v>
      </c>
      <c r="F715" s="21" t="s">
        <v>1177</v>
      </c>
      <c r="G715" s="21" t="s">
        <v>1177</v>
      </c>
      <c r="H715" s="26"/>
    </row>
    <row r="716">
      <c r="A716" s="24"/>
      <c r="B716" s="21" t="s">
        <v>1177</v>
      </c>
      <c r="C716" s="21" t="s">
        <v>1177</v>
      </c>
      <c r="D716" s="21" t="s">
        <v>1177</v>
      </c>
      <c r="E716" s="21" t="s">
        <v>1177</v>
      </c>
      <c r="F716" s="21" t="s">
        <v>1177</v>
      </c>
      <c r="G716" s="21" t="s">
        <v>1177</v>
      </c>
      <c r="H716" s="30"/>
      <c r="I716" s="14"/>
    </row>
    <row r="717">
      <c r="A717" s="16" t="s">
        <v>1174</v>
      </c>
      <c r="B717" s="17" t="s">
        <v>2632</v>
      </c>
      <c r="C717" s="18"/>
      <c r="D717" s="18"/>
      <c r="E717" s="18"/>
      <c r="F717" s="18"/>
      <c r="G717" s="18"/>
      <c r="H717" s="18"/>
      <c r="I717" s="16"/>
    </row>
    <row r="718" ht="60.0" customHeight="1">
      <c r="A718" s="20" t="s">
        <v>1176</v>
      </c>
      <c r="B718" s="21" t="str">
        <f t="array" ref="B718">iferror(VLOOKUP(INDIRECT(ADDRESS(ROW()+1,COLUMN(), 4)),Dex!$A$2:$C893,3,false),"")</f>
        <v/>
      </c>
      <c r="C718" s="21" t="str">
        <f t="array" ref="C718">iferror(VLOOKUP(INDIRECT(ADDRESS(ROW()+1,COLUMN(), 4)),Dex!$A$2:$C893,3,false),"")</f>
        <v/>
      </c>
      <c r="D718" s="21" t="str">
        <f t="array" ref="D718">iferror(VLOOKUP(INDIRECT(ADDRESS(ROW()+1,COLUMN(), 4)),Dex!$A$2:$C893,3,false),"")</f>
        <v/>
      </c>
      <c r="E718" s="21" t="str">
        <f t="array" ref="E718">iferror(VLOOKUP(INDIRECT(ADDRESS(ROW()+1,COLUMN(), 4)),Dex!$A$2:$C893,3,false),"")</f>
        <v/>
      </c>
      <c r="F718" s="21" t="s">
        <v>1177</v>
      </c>
      <c r="G718" s="21" t="s">
        <v>1177</v>
      </c>
      <c r="H718" s="22" t="str">
        <f t="array" ref="H718">iferror(VLOOKUP("TRAINER_PIC_BLACK_BELT",Sprites!$A$1:$B893,2,false),"")</f>
        <v/>
      </c>
      <c r="I718" s="23"/>
    </row>
    <row r="719">
      <c r="A719" s="24"/>
      <c r="B719" s="25" t="s">
        <v>575</v>
      </c>
      <c r="C719" s="25" t="s">
        <v>847</v>
      </c>
      <c r="D719" s="25" t="s">
        <v>706</v>
      </c>
      <c r="E719" s="25" t="s">
        <v>594</v>
      </c>
      <c r="F719" s="25" t="s">
        <v>1177</v>
      </c>
      <c r="G719" s="25" t="s">
        <v>1177</v>
      </c>
      <c r="H719" s="26"/>
    </row>
    <row r="720">
      <c r="A720" s="16" t="s">
        <v>1178</v>
      </c>
      <c r="B720" s="27" t="s">
        <v>2264</v>
      </c>
      <c r="C720" s="27" t="s">
        <v>2264</v>
      </c>
      <c r="D720" s="27" t="s">
        <v>2264</v>
      </c>
      <c r="E720" s="27" t="s">
        <v>2264</v>
      </c>
      <c r="F720" s="21" t="s">
        <v>1177</v>
      </c>
      <c r="G720" s="21" t="s">
        <v>1177</v>
      </c>
      <c r="H720" s="26"/>
    </row>
    <row r="721">
      <c r="A721" s="16" t="s">
        <v>1181</v>
      </c>
      <c r="B721" s="28" t="s">
        <v>1177</v>
      </c>
      <c r="C721" s="28" t="s">
        <v>1177</v>
      </c>
      <c r="D721" s="28" t="s">
        <v>1177</v>
      </c>
      <c r="E721" s="28" t="s">
        <v>1177</v>
      </c>
      <c r="F721" s="28" t="s">
        <v>1177</v>
      </c>
      <c r="G721" s="28" t="s">
        <v>1177</v>
      </c>
      <c r="H721" s="26"/>
    </row>
    <row r="722">
      <c r="A722" s="16" t="s">
        <v>1182</v>
      </c>
      <c r="B722" s="21" t="s">
        <v>1267</v>
      </c>
      <c r="C722" s="21" t="s">
        <v>1420</v>
      </c>
      <c r="D722" s="21" t="s">
        <v>1298</v>
      </c>
      <c r="E722" s="21" t="s">
        <v>1654</v>
      </c>
      <c r="F722" s="21" t="s">
        <v>1177</v>
      </c>
      <c r="G722" s="21" t="s">
        <v>1177</v>
      </c>
      <c r="H722" s="26"/>
    </row>
    <row r="723">
      <c r="A723" s="16" t="s">
        <v>1186</v>
      </c>
      <c r="B723" s="28" t="s">
        <v>1187</v>
      </c>
      <c r="C723" s="28" t="s">
        <v>1187</v>
      </c>
      <c r="D723" s="28" t="s">
        <v>1187</v>
      </c>
      <c r="E723" s="28" t="s">
        <v>1187</v>
      </c>
      <c r="F723" s="28" t="s">
        <v>1177</v>
      </c>
      <c r="G723" s="28" t="s">
        <v>1177</v>
      </c>
      <c r="H723" s="26"/>
    </row>
    <row r="724">
      <c r="A724" s="20" t="s">
        <v>1188</v>
      </c>
      <c r="B724" s="21" t="s">
        <v>1177</v>
      </c>
      <c r="C724" s="21" t="s">
        <v>1177</v>
      </c>
      <c r="D724" s="21" t="s">
        <v>1177</v>
      </c>
      <c r="E724" s="21" t="s">
        <v>1177</v>
      </c>
      <c r="F724" s="21" t="s">
        <v>1177</v>
      </c>
      <c r="G724" s="21" t="s">
        <v>1177</v>
      </c>
      <c r="H724" s="26"/>
    </row>
    <row r="725">
      <c r="A725" s="29"/>
      <c r="B725" s="21" t="s">
        <v>1177</v>
      </c>
      <c r="C725" s="21" t="s">
        <v>1177</v>
      </c>
      <c r="D725" s="21" t="s">
        <v>1177</v>
      </c>
      <c r="E725" s="21" t="s">
        <v>1177</v>
      </c>
      <c r="F725" s="21" t="s">
        <v>1177</v>
      </c>
      <c r="G725" s="21" t="s">
        <v>1177</v>
      </c>
      <c r="H725" s="26"/>
    </row>
    <row r="726">
      <c r="A726" s="29"/>
      <c r="B726" s="21" t="s">
        <v>1177</v>
      </c>
      <c r="C726" s="21" t="s">
        <v>1177</v>
      </c>
      <c r="D726" s="21" t="s">
        <v>1177</v>
      </c>
      <c r="E726" s="21" t="s">
        <v>1177</v>
      </c>
      <c r="F726" s="21" t="s">
        <v>1177</v>
      </c>
      <c r="G726" s="21" t="s">
        <v>1177</v>
      </c>
      <c r="H726" s="26"/>
    </row>
    <row r="727">
      <c r="A727" s="24"/>
      <c r="B727" s="21" t="s">
        <v>1177</v>
      </c>
      <c r="C727" s="21" t="s">
        <v>1177</v>
      </c>
      <c r="D727" s="21" t="s">
        <v>1177</v>
      </c>
      <c r="E727" s="21" t="s">
        <v>1177</v>
      </c>
      <c r="F727" s="21" t="s">
        <v>1177</v>
      </c>
      <c r="G727" s="21" t="s">
        <v>1177</v>
      </c>
      <c r="H727" s="30"/>
      <c r="I727" s="14"/>
    </row>
    <row r="728">
      <c r="A728" s="16" t="s">
        <v>1174</v>
      </c>
      <c r="B728" s="17" t="s">
        <v>2633</v>
      </c>
      <c r="C728" s="18"/>
      <c r="D728" s="18"/>
      <c r="E728" s="18"/>
      <c r="F728" s="18"/>
      <c r="G728" s="18"/>
      <c r="H728" s="18"/>
      <c r="I728" s="16"/>
    </row>
    <row r="729" ht="60.0" customHeight="1">
      <c r="A729" s="20" t="s">
        <v>1176</v>
      </c>
      <c r="B729" s="21" t="str">
        <f t="array" ref="B729">iferror(VLOOKUP(INDIRECT(ADDRESS(ROW()+1,COLUMN(), 4)),Dex!$A$2:$C893,3,false),"")</f>
        <v/>
      </c>
      <c r="C729" s="21" t="str">
        <f t="array" ref="C729">iferror(VLOOKUP(INDIRECT(ADDRESS(ROW()+1,COLUMN(), 4)),Dex!$A$2:$C893,3,false),"")</f>
        <v/>
      </c>
      <c r="D729" s="21" t="str">
        <f t="array" ref="D729">iferror(VLOOKUP(INDIRECT(ADDRESS(ROW()+1,COLUMN(), 4)),Dex!$A$2:$C893,3,false),"")</f>
        <v/>
      </c>
      <c r="E729" s="21" t="s">
        <v>1177</v>
      </c>
      <c r="F729" s="21" t="s">
        <v>1177</v>
      </c>
      <c r="G729" s="21" t="s">
        <v>1177</v>
      </c>
      <c r="H729" s="22" t="str">
        <f t="array" ref="H729">iferror(VLOOKUP("TRAINER_PIC_SWIMMER_M",Sprites!$A$1:$B893,2,false),"")</f>
        <v/>
      </c>
      <c r="I729" s="23"/>
    </row>
    <row r="730">
      <c r="A730" s="24"/>
      <c r="B730" s="25" t="s">
        <v>183</v>
      </c>
      <c r="C730" s="25" t="s">
        <v>536</v>
      </c>
      <c r="D730" s="25" t="s">
        <v>1098</v>
      </c>
      <c r="E730" s="25" t="s">
        <v>1177</v>
      </c>
      <c r="F730" s="25" t="s">
        <v>1177</v>
      </c>
      <c r="G730" s="25" t="s">
        <v>1177</v>
      </c>
      <c r="H730" s="26"/>
    </row>
    <row r="731">
      <c r="A731" s="16" t="s">
        <v>1178</v>
      </c>
      <c r="B731" s="27" t="s">
        <v>2264</v>
      </c>
      <c r="C731" s="27" t="s">
        <v>2264</v>
      </c>
      <c r="D731" s="27" t="s">
        <v>2264</v>
      </c>
      <c r="E731" s="21" t="s">
        <v>1177</v>
      </c>
      <c r="F731" s="21" t="s">
        <v>1177</v>
      </c>
      <c r="G731" s="21" t="s">
        <v>1177</v>
      </c>
      <c r="H731" s="26"/>
    </row>
    <row r="732">
      <c r="A732" s="16" t="s">
        <v>1181</v>
      </c>
      <c r="B732" s="28" t="s">
        <v>1177</v>
      </c>
      <c r="C732" s="28" t="s">
        <v>1177</v>
      </c>
      <c r="D732" s="28" t="s">
        <v>1177</v>
      </c>
      <c r="E732" s="28" t="s">
        <v>1177</v>
      </c>
      <c r="F732" s="28" t="s">
        <v>1177</v>
      </c>
      <c r="G732" s="28" t="s">
        <v>1177</v>
      </c>
      <c r="H732" s="26"/>
    </row>
    <row r="733">
      <c r="A733" s="16" t="s">
        <v>1182</v>
      </c>
      <c r="B733" s="21" t="s">
        <v>2066</v>
      </c>
      <c r="C733" s="21" t="s">
        <v>1212</v>
      </c>
      <c r="D733" s="21" t="s">
        <v>1844</v>
      </c>
      <c r="E733" s="21" t="s">
        <v>1177</v>
      </c>
      <c r="F733" s="21" t="s">
        <v>1177</v>
      </c>
      <c r="G733" s="21" t="s">
        <v>1177</v>
      </c>
      <c r="H733" s="26"/>
    </row>
    <row r="734">
      <c r="A734" s="16" t="s">
        <v>1186</v>
      </c>
      <c r="B734" s="28" t="s">
        <v>1187</v>
      </c>
      <c r="C734" s="28" t="s">
        <v>1187</v>
      </c>
      <c r="D734" s="28" t="s">
        <v>1187</v>
      </c>
      <c r="E734" s="28" t="s">
        <v>1177</v>
      </c>
      <c r="F734" s="28" t="s">
        <v>1177</v>
      </c>
      <c r="G734" s="28" t="s">
        <v>1177</v>
      </c>
      <c r="H734" s="26"/>
    </row>
    <row r="735">
      <c r="A735" s="20" t="s">
        <v>1188</v>
      </c>
      <c r="B735" s="21" t="s">
        <v>1177</v>
      </c>
      <c r="C735" s="21" t="s">
        <v>1177</v>
      </c>
      <c r="D735" s="21" t="s">
        <v>1177</v>
      </c>
      <c r="E735" s="21" t="s">
        <v>1177</v>
      </c>
      <c r="F735" s="21" t="s">
        <v>1177</v>
      </c>
      <c r="G735" s="21" t="s">
        <v>1177</v>
      </c>
      <c r="H735" s="26"/>
    </row>
    <row r="736">
      <c r="A736" s="29"/>
      <c r="B736" s="21" t="s">
        <v>1177</v>
      </c>
      <c r="C736" s="21" t="s">
        <v>1177</v>
      </c>
      <c r="D736" s="21" t="s">
        <v>1177</v>
      </c>
      <c r="E736" s="21" t="s">
        <v>1177</v>
      </c>
      <c r="F736" s="21" t="s">
        <v>1177</v>
      </c>
      <c r="G736" s="21" t="s">
        <v>1177</v>
      </c>
      <c r="H736" s="26"/>
    </row>
    <row r="737">
      <c r="A737" s="29"/>
      <c r="B737" s="21" t="s">
        <v>1177</v>
      </c>
      <c r="C737" s="21" t="s">
        <v>1177</v>
      </c>
      <c r="D737" s="21" t="s">
        <v>1177</v>
      </c>
      <c r="E737" s="21" t="s">
        <v>1177</v>
      </c>
      <c r="F737" s="21" t="s">
        <v>1177</v>
      </c>
      <c r="G737" s="21" t="s">
        <v>1177</v>
      </c>
      <c r="H737" s="26"/>
    </row>
    <row r="738">
      <c r="A738" s="24"/>
      <c r="B738" s="21" t="s">
        <v>1177</v>
      </c>
      <c r="C738" s="21" t="s">
        <v>1177</v>
      </c>
      <c r="D738" s="21" t="s">
        <v>1177</v>
      </c>
      <c r="E738" s="21" t="s">
        <v>1177</v>
      </c>
      <c r="F738" s="21" t="s">
        <v>1177</v>
      </c>
      <c r="G738" s="21" t="s">
        <v>1177</v>
      </c>
      <c r="H738" s="30"/>
      <c r="I738" s="14"/>
    </row>
    <row r="739">
      <c r="A739" s="16" t="s">
        <v>1174</v>
      </c>
      <c r="B739" s="17" t="s">
        <v>2634</v>
      </c>
      <c r="C739" s="18"/>
      <c r="D739" s="18"/>
      <c r="E739" s="18"/>
      <c r="F739" s="18"/>
      <c r="G739" s="18"/>
      <c r="H739" s="18"/>
      <c r="I739" s="16"/>
    </row>
    <row r="740" ht="60.0" customHeight="1">
      <c r="A740" s="20" t="s">
        <v>1176</v>
      </c>
      <c r="B740" s="21" t="str">
        <f t="array" ref="B740">iferror(VLOOKUP(INDIRECT(ADDRESS(ROW()+1,COLUMN(), 4)),Dex!$A$2:$C893,3,false),"")</f>
        <v/>
      </c>
      <c r="C740" s="21" t="str">
        <f t="array" ref="C740">iferror(VLOOKUP(INDIRECT(ADDRESS(ROW()+1,COLUMN(), 4)),Dex!$A$2:$C893,3,false),"")</f>
        <v/>
      </c>
      <c r="D740" s="21" t="str">
        <f t="array" ref="D740">iferror(VLOOKUP(INDIRECT(ADDRESS(ROW()+1,COLUMN(), 4)),Dex!$A$2:$C893,3,false),"")</f>
        <v/>
      </c>
      <c r="E740" s="21" t="str">
        <f t="array" ref="E740">iferror(VLOOKUP(INDIRECT(ADDRESS(ROW()+1,COLUMN(), 4)),Dex!$A$2:$C893,3,false),"")</f>
        <v/>
      </c>
      <c r="F740" s="21" t="s">
        <v>1177</v>
      </c>
      <c r="G740" s="21" t="s">
        <v>1177</v>
      </c>
      <c r="H740" s="22" t="str">
        <f t="array" ref="H740">iferror(VLOOKUP("TRAINER_PIC_SWIMMER_F",Sprites!$A$1:$B893,2,false),"")</f>
        <v/>
      </c>
      <c r="I740" s="23"/>
    </row>
    <row r="741">
      <c r="A741" s="24"/>
      <c r="B741" s="25" t="s">
        <v>378</v>
      </c>
      <c r="C741" s="25" t="s">
        <v>540</v>
      </c>
      <c r="D741" s="25" t="s">
        <v>107</v>
      </c>
      <c r="E741" s="25" t="s">
        <v>600</v>
      </c>
      <c r="F741" s="25" t="s">
        <v>1177</v>
      </c>
      <c r="G741" s="25" t="s">
        <v>1177</v>
      </c>
      <c r="H741" s="26"/>
    </row>
    <row r="742">
      <c r="A742" s="16" t="s">
        <v>1178</v>
      </c>
      <c r="B742" s="27" t="s">
        <v>2264</v>
      </c>
      <c r="C742" s="27" t="s">
        <v>2264</v>
      </c>
      <c r="D742" s="27" t="s">
        <v>2264</v>
      </c>
      <c r="E742" s="27" t="s">
        <v>2264</v>
      </c>
      <c r="F742" s="21" t="s">
        <v>1177</v>
      </c>
      <c r="G742" s="21" t="s">
        <v>1177</v>
      </c>
      <c r="H742" s="26"/>
    </row>
    <row r="743">
      <c r="A743" s="16" t="s">
        <v>1181</v>
      </c>
      <c r="B743" s="28" t="s">
        <v>1177</v>
      </c>
      <c r="C743" s="28" t="s">
        <v>1177</v>
      </c>
      <c r="D743" s="28" t="s">
        <v>1177</v>
      </c>
      <c r="E743" s="28" t="s">
        <v>1177</v>
      </c>
      <c r="F743" s="28" t="s">
        <v>1177</v>
      </c>
      <c r="G743" s="28" t="s">
        <v>1177</v>
      </c>
      <c r="H743" s="26"/>
    </row>
    <row r="744">
      <c r="A744" s="16" t="s">
        <v>1182</v>
      </c>
      <c r="B744" s="21" t="s">
        <v>1298</v>
      </c>
      <c r="C744" s="21" t="s">
        <v>1767</v>
      </c>
      <c r="D744" s="21" t="s">
        <v>1783</v>
      </c>
      <c r="E744" s="21" t="s">
        <v>1885</v>
      </c>
      <c r="F744" s="21" t="s">
        <v>1177</v>
      </c>
      <c r="G744" s="21" t="s">
        <v>1177</v>
      </c>
      <c r="H744" s="26"/>
    </row>
    <row r="745">
      <c r="A745" s="16" t="s">
        <v>1186</v>
      </c>
      <c r="B745" s="28" t="s">
        <v>1187</v>
      </c>
      <c r="C745" s="28" t="s">
        <v>1187</v>
      </c>
      <c r="D745" s="28" t="s">
        <v>1187</v>
      </c>
      <c r="E745" s="28" t="s">
        <v>1187</v>
      </c>
      <c r="F745" s="28" t="s">
        <v>1177</v>
      </c>
      <c r="G745" s="28" t="s">
        <v>1177</v>
      </c>
      <c r="H745" s="26"/>
    </row>
    <row r="746">
      <c r="A746" s="20" t="s">
        <v>1188</v>
      </c>
      <c r="B746" s="21" t="s">
        <v>1177</v>
      </c>
      <c r="C746" s="21" t="s">
        <v>1177</v>
      </c>
      <c r="D746" s="21" t="s">
        <v>1177</v>
      </c>
      <c r="E746" s="21" t="s">
        <v>1177</v>
      </c>
      <c r="F746" s="21" t="s">
        <v>1177</v>
      </c>
      <c r="G746" s="21" t="s">
        <v>1177</v>
      </c>
      <c r="H746" s="26"/>
    </row>
    <row r="747">
      <c r="A747" s="29"/>
      <c r="B747" s="21" t="s">
        <v>1177</v>
      </c>
      <c r="C747" s="21" t="s">
        <v>1177</v>
      </c>
      <c r="D747" s="21" t="s">
        <v>1177</v>
      </c>
      <c r="E747" s="21" t="s">
        <v>1177</v>
      </c>
      <c r="F747" s="21" t="s">
        <v>1177</v>
      </c>
      <c r="G747" s="21" t="s">
        <v>1177</v>
      </c>
      <c r="H747" s="26"/>
    </row>
    <row r="748">
      <c r="A748" s="29"/>
      <c r="B748" s="21" t="s">
        <v>1177</v>
      </c>
      <c r="C748" s="21" t="s">
        <v>1177</v>
      </c>
      <c r="D748" s="21" t="s">
        <v>1177</v>
      </c>
      <c r="E748" s="21" t="s">
        <v>1177</v>
      </c>
      <c r="F748" s="21" t="s">
        <v>1177</v>
      </c>
      <c r="G748" s="21" t="s">
        <v>1177</v>
      </c>
      <c r="H748" s="26"/>
    </row>
    <row r="749">
      <c r="A749" s="24"/>
      <c r="B749" s="21" t="s">
        <v>1177</v>
      </c>
      <c r="C749" s="21" t="s">
        <v>1177</v>
      </c>
      <c r="D749" s="21" t="s">
        <v>1177</v>
      </c>
      <c r="E749" s="21" t="s">
        <v>1177</v>
      </c>
      <c r="F749" s="21" t="s">
        <v>1177</v>
      </c>
      <c r="G749" s="21" t="s">
        <v>1177</v>
      </c>
      <c r="H749" s="30"/>
      <c r="I749" s="14"/>
    </row>
    <row r="750">
      <c r="A750" s="16" t="s">
        <v>1174</v>
      </c>
      <c r="B750" s="17" t="s">
        <v>2635</v>
      </c>
      <c r="C750" s="18"/>
      <c r="D750" s="18"/>
      <c r="E750" s="18"/>
      <c r="F750" s="18"/>
      <c r="G750" s="18"/>
      <c r="H750" s="18"/>
      <c r="I750" s="16"/>
    </row>
    <row r="751" ht="60.0" customHeight="1">
      <c r="A751" s="20" t="s">
        <v>1176</v>
      </c>
      <c r="B751" s="21" t="str">
        <f t="array" ref="B751">iferror(VLOOKUP(INDIRECT(ADDRESS(ROW()+1,COLUMN(), 4)),Dex!$A$2:$C893,3,false),"")</f>
        <v/>
      </c>
      <c r="C751" s="21" t="str">
        <f t="array" ref="C751">iferror(VLOOKUP(INDIRECT(ADDRESS(ROW()+1,COLUMN(), 4)),Dex!$A$2:$C893,3,false),"")</f>
        <v/>
      </c>
      <c r="D751" s="21" t="str">
        <f t="array" ref="D751">iferror(VLOOKUP(INDIRECT(ADDRESS(ROW()+1,COLUMN(), 4)),Dex!$A$2:$C893,3,false),"")</f>
        <v/>
      </c>
      <c r="E751" s="21" t="str">
        <f t="array" ref="E751">iferror(VLOOKUP(INDIRECT(ADDRESS(ROW()+1,COLUMN(), 4)),Dex!$A$2:$C893,3,false),"")</f>
        <v/>
      </c>
      <c r="F751" s="21" t="s">
        <v>1177</v>
      </c>
      <c r="G751" s="21" t="s">
        <v>1177</v>
      </c>
      <c r="H751" s="22" t="str">
        <f t="array" ref="H751">iferror(VLOOKUP("TRAINER_PIC_COOLTRAINER_F",Sprites!$A$1:$B893,2,false),"")</f>
        <v/>
      </c>
      <c r="I751" s="23"/>
    </row>
    <row r="752">
      <c r="A752" s="24"/>
      <c r="B752" s="25" t="s">
        <v>408</v>
      </c>
      <c r="C752" s="25" t="s">
        <v>90</v>
      </c>
      <c r="D752" s="25" t="s">
        <v>290</v>
      </c>
      <c r="E752" s="25" t="s">
        <v>568</v>
      </c>
      <c r="F752" s="25" t="s">
        <v>1177</v>
      </c>
      <c r="G752" s="25" t="s">
        <v>1177</v>
      </c>
      <c r="H752" s="26"/>
    </row>
    <row r="753">
      <c r="A753" s="16" t="s">
        <v>1178</v>
      </c>
      <c r="B753" s="27" t="s">
        <v>2264</v>
      </c>
      <c r="C753" s="27" t="s">
        <v>2264</v>
      </c>
      <c r="D753" s="27" t="s">
        <v>2264</v>
      </c>
      <c r="E753" s="27" t="s">
        <v>2264</v>
      </c>
      <c r="F753" s="21" t="s">
        <v>1177</v>
      </c>
      <c r="G753" s="21" t="s">
        <v>1177</v>
      </c>
      <c r="H753" s="26"/>
    </row>
    <row r="754">
      <c r="A754" s="16" t="s">
        <v>1181</v>
      </c>
      <c r="B754" s="28" t="s">
        <v>1177</v>
      </c>
      <c r="C754" s="28" t="s">
        <v>1177</v>
      </c>
      <c r="D754" s="28" t="s">
        <v>1177</v>
      </c>
      <c r="E754" s="28" t="s">
        <v>1177</v>
      </c>
      <c r="F754" s="28" t="s">
        <v>1177</v>
      </c>
      <c r="G754" s="28" t="s">
        <v>1177</v>
      </c>
      <c r="H754" s="26"/>
    </row>
    <row r="755">
      <c r="A755" s="16" t="s">
        <v>1182</v>
      </c>
      <c r="B755" s="21" t="s">
        <v>1357</v>
      </c>
      <c r="C755" s="21" t="s">
        <v>1298</v>
      </c>
      <c r="D755" s="21" t="s">
        <v>1298</v>
      </c>
      <c r="E755" s="21" t="s">
        <v>1736</v>
      </c>
      <c r="F755" s="21" t="s">
        <v>1177</v>
      </c>
      <c r="G755" s="21" t="s">
        <v>1177</v>
      </c>
      <c r="H755" s="26"/>
    </row>
    <row r="756">
      <c r="A756" s="16" t="s">
        <v>1186</v>
      </c>
      <c r="B756" s="28" t="s">
        <v>1187</v>
      </c>
      <c r="C756" s="28" t="s">
        <v>1187</v>
      </c>
      <c r="D756" s="28" t="s">
        <v>1187</v>
      </c>
      <c r="E756" s="28" t="s">
        <v>1187</v>
      </c>
      <c r="F756" s="28" t="s">
        <v>1177</v>
      </c>
      <c r="G756" s="28" t="s">
        <v>1177</v>
      </c>
      <c r="H756" s="26"/>
    </row>
    <row r="757">
      <c r="A757" s="20" t="s">
        <v>1188</v>
      </c>
      <c r="B757" s="21" t="s">
        <v>1177</v>
      </c>
      <c r="C757" s="21" t="s">
        <v>1177</v>
      </c>
      <c r="D757" s="21" t="s">
        <v>1177</v>
      </c>
      <c r="E757" s="21" t="s">
        <v>1177</v>
      </c>
      <c r="F757" s="21" t="s">
        <v>1177</v>
      </c>
      <c r="G757" s="21" t="s">
        <v>1177</v>
      </c>
      <c r="H757" s="26"/>
    </row>
    <row r="758">
      <c r="A758" s="29"/>
      <c r="B758" s="21" t="s">
        <v>1177</v>
      </c>
      <c r="C758" s="21" t="s">
        <v>1177</v>
      </c>
      <c r="D758" s="21" t="s">
        <v>1177</v>
      </c>
      <c r="E758" s="21" t="s">
        <v>1177</v>
      </c>
      <c r="F758" s="21" t="s">
        <v>1177</v>
      </c>
      <c r="G758" s="21" t="s">
        <v>1177</v>
      </c>
      <c r="H758" s="26"/>
    </row>
    <row r="759">
      <c r="A759" s="29"/>
      <c r="B759" s="21" t="s">
        <v>1177</v>
      </c>
      <c r="C759" s="21" t="s">
        <v>1177</v>
      </c>
      <c r="D759" s="21" t="s">
        <v>1177</v>
      </c>
      <c r="E759" s="21" t="s">
        <v>1177</v>
      </c>
      <c r="F759" s="21" t="s">
        <v>1177</v>
      </c>
      <c r="G759" s="21" t="s">
        <v>1177</v>
      </c>
      <c r="H759" s="26"/>
    </row>
    <row r="760">
      <c r="A760" s="24"/>
      <c r="B760" s="21" t="s">
        <v>1177</v>
      </c>
      <c r="C760" s="21" t="s">
        <v>1177</v>
      </c>
      <c r="D760" s="21" t="s">
        <v>1177</v>
      </c>
      <c r="E760" s="21" t="s">
        <v>1177</v>
      </c>
      <c r="F760" s="21" t="s">
        <v>1177</v>
      </c>
      <c r="G760" s="21" t="s">
        <v>1177</v>
      </c>
      <c r="H760" s="30"/>
      <c r="I760" s="14"/>
    </row>
    <row r="761">
      <c r="A761" s="16" t="s">
        <v>1174</v>
      </c>
      <c r="B761" s="17" t="s">
        <v>2636</v>
      </c>
      <c r="C761" s="18"/>
      <c r="D761" s="18"/>
      <c r="E761" s="18"/>
      <c r="F761" s="18"/>
      <c r="G761" s="18"/>
      <c r="H761" s="18"/>
      <c r="I761" s="16"/>
    </row>
    <row r="762" ht="60.0" customHeight="1">
      <c r="A762" s="20" t="s">
        <v>1176</v>
      </c>
      <c r="B762" s="21" t="str">
        <f t="array" ref="B762">iferror(VLOOKUP(INDIRECT(ADDRESS(ROW()+1,COLUMN(), 4)),Dex!$A$2:$C893,3,false),"")</f>
        <v/>
      </c>
      <c r="C762" s="21" t="str">
        <f t="array" ref="C762">iferror(VLOOKUP(INDIRECT(ADDRESS(ROW()+1,COLUMN(), 4)),Dex!$A$2:$C893,3,false),"")</f>
        <v/>
      </c>
      <c r="D762" s="21" t="str">
        <f t="array" ref="D762">iferror(VLOOKUP(INDIRECT(ADDRESS(ROW()+1,COLUMN(), 4)),Dex!$A$2:$C893,3,false),"")</f>
        <v/>
      </c>
      <c r="E762" s="21" t="str">
        <f t="array" ref="E762">iferror(VLOOKUP(INDIRECT(ADDRESS(ROW()+1,COLUMN(), 4)),Dex!$A$2:$C893,3,false),"")</f>
        <v/>
      </c>
      <c r="F762" s="21" t="str">
        <f t="array" ref="F762">iferror(VLOOKUP(INDIRECT(ADDRESS(ROW()+1,COLUMN(), 4)),Dex!$A$2:$C893,3,false),"")</f>
        <v/>
      </c>
      <c r="G762" s="21" t="s">
        <v>1177</v>
      </c>
      <c r="H762" s="22" t="str">
        <f t="array" ref="H762">iferror(VLOOKUP("TRAINER_PIC_DRAGON_TAMER",Sprites!$A$1:$B893,2,false),"")</f>
        <v/>
      </c>
      <c r="I762" s="23"/>
    </row>
    <row r="763">
      <c r="A763" s="24"/>
      <c r="B763" s="25" t="s">
        <v>478</v>
      </c>
      <c r="C763" s="25" t="s">
        <v>220</v>
      </c>
      <c r="D763" s="25" t="s">
        <v>730</v>
      </c>
      <c r="E763" s="25" t="s">
        <v>208</v>
      </c>
      <c r="F763" s="25" t="s">
        <v>996</v>
      </c>
      <c r="G763" s="25" t="s">
        <v>1177</v>
      </c>
      <c r="H763" s="26"/>
    </row>
    <row r="764">
      <c r="A764" s="16" t="s">
        <v>1178</v>
      </c>
      <c r="B764" s="27" t="s">
        <v>2264</v>
      </c>
      <c r="C764" s="27" t="s">
        <v>2264</v>
      </c>
      <c r="D764" s="27" t="s">
        <v>2264</v>
      </c>
      <c r="E764" s="27" t="s">
        <v>2264</v>
      </c>
      <c r="F764" s="27" t="s">
        <v>2264</v>
      </c>
      <c r="G764" s="21" t="s">
        <v>1177</v>
      </c>
      <c r="H764" s="26"/>
    </row>
    <row r="765">
      <c r="A765" s="16" t="s">
        <v>1181</v>
      </c>
      <c r="B765" s="28" t="s">
        <v>1177</v>
      </c>
      <c r="C765" s="28" t="s">
        <v>1177</v>
      </c>
      <c r="D765" s="28" t="s">
        <v>1177</v>
      </c>
      <c r="E765" s="28" t="s">
        <v>1177</v>
      </c>
      <c r="F765" s="28" t="s">
        <v>1177</v>
      </c>
      <c r="G765" s="28" t="s">
        <v>1177</v>
      </c>
      <c r="H765" s="26"/>
    </row>
    <row r="766">
      <c r="A766" s="16" t="s">
        <v>1182</v>
      </c>
      <c r="B766" s="21" t="s">
        <v>1298</v>
      </c>
      <c r="C766" s="21" t="s">
        <v>1356</v>
      </c>
      <c r="D766" s="21" t="s">
        <v>2637</v>
      </c>
      <c r="E766" s="21" t="s">
        <v>1692</v>
      </c>
      <c r="F766" s="21" t="s">
        <v>1964</v>
      </c>
      <c r="G766" s="21" t="s">
        <v>1177</v>
      </c>
      <c r="H766" s="26"/>
    </row>
    <row r="767">
      <c r="A767" s="16" t="s">
        <v>1186</v>
      </c>
      <c r="B767" s="28" t="s">
        <v>1187</v>
      </c>
      <c r="C767" s="28" t="s">
        <v>1187</v>
      </c>
      <c r="D767" s="28" t="s">
        <v>1187</v>
      </c>
      <c r="E767" s="28" t="s">
        <v>1187</v>
      </c>
      <c r="F767" s="28" t="s">
        <v>1187</v>
      </c>
      <c r="G767" s="28" t="s">
        <v>1177</v>
      </c>
      <c r="H767" s="26"/>
    </row>
    <row r="768">
      <c r="A768" s="20" t="s">
        <v>1188</v>
      </c>
      <c r="B768" s="21" t="s">
        <v>1177</v>
      </c>
      <c r="C768" s="21" t="s">
        <v>1177</v>
      </c>
      <c r="D768" s="21" t="s">
        <v>1177</v>
      </c>
      <c r="E768" s="21" t="s">
        <v>1177</v>
      </c>
      <c r="F768" s="21" t="s">
        <v>1177</v>
      </c>
      <c r="G768" s="21" t="s">
        <v>1177</v>
      </c>
      <c r="H768" s="26"/>
    </row>
    <row r="769">
      <c r="A769" s="29"/>
      <c r="B769" s="21" t="s">
        <v>1177</v>
      </c>
      <c r="C769" s="21" t="s">
        <v>1177</v>
      </c>
      <c r="D769" s="21" t="s">
        <v>1177</v>
      </c>
      <c r="E769" s="21" t="s">
        <v>1177</v>
      </c>
      <c r="F769" s="21" t="s">
        <v>1177</v>
      </c>
      <c r="G769" s="21" t="s">
        <v>1177</v>
      </c>
      <c r="H769" s="26"/>
    </row>
    <row r="770">
      <c r="A770" s="29"/>
      <c r="B770" s="21" t="s">
        <v>1177</v>
      </c>
      <c r="C770" s="21" t="s">
        <v>1177</v>
      </c>
      <c r="D770" s="21" t="s">
        <v>1177</v>
      </c>
      <c r="E770" s="21" t="s">
        <v>1177</v>
      </c>
      <c r="F770" s="21" t="s">
        <v>1177</v>
      </c>
      <c r="G770" s="21" t="s">
        <v>1177</v>
      </c>
      <c r="H770" s="26"/>
    </row>
    <row r="771">
      <c r="A771" s="24"/>
      <c r="B771" s="21" t="s">
        <v>1177</v>
      </c>
      <c r="C771" s="21" t="s">
        <v>1177</v>
      </c>
      <c r="D771" s="21" t="s">
        <v>1177</v>
      </c>
      <c r="E771" s="21" t="s">
        <v>1177</v>
      </c>
      <c r="F771" s="21" t="s">
        <v>1177</v>
      </c>
      <c r="G771" s="21" t="s">
        <v>1177</v>
      </c>
      <c r="H771" s="30"/>
      <c r="I771" s="14"/>
    </row>
    <row r="772">
      <c r="A772" s="16" t="s">
        <v>1174</v>
      </c>
      <c r="B772" s="17" t="s">
        <v>2638</v>
      </c>
      <c r="C772" s="18"/>
      <c r="D772" s="18"/>
      <c r="E772" s="18"/>
      <c r="F772" s="18"/>
      <c r="G772" s="18"/>
      <c r="H772" s="18"/>
      <c r="I772" s="16"/>
    </row>
    <row r="773" ht="60.0" customHeight="1">
      <c r="A773" s="20" t="s">
        <v>1176</v>
      </c>
      <c r="B773" s="21" t="str">
        <f t="array" ref="B773">iferror(VLOOKUP(INDIRECT(ADDRESS(ROW()+1,COLUMN(), 4)),Dex!$A$2:$C893,3,false),"")</f>
        <v/>
      </c>
      <c r="C773" s="21" t="str">
        <f t="array" ref="C773">iferror(VLOOKUP(INDIRECT(ADDRESS(ROW()+1,COLUMN(), 4)),Dex!$A$2:$C893,3,false),"")</f>
        <v/>
      </c>
      <c r="D773" s="21" t="str">
        <f t="array" ref="D773">iferror(VLOOKUP(INDIRECT(ADDRESS(ROW()+1,COLUMN(), 4)),Dex!$A$2:$C893,3,false),"")</f>
        <v/>
      </c>
      <c r="E773" s="21" t="str">
        <f t="array" ref="E773">iferror(VLOOKUP(INDIRECT(ADDRESS(ROW()+1,COLUMN(), 4)),Dex!$A$2:$C893,3,false),"")</f>
        <v/>
      </c>
      <c r="F773" s="21" t="str">
        <f t="array" ref="F773">iferror(VLOOKUP(INDIRECT(ADDRESS(ROW()+1,COLUMN(), 4)),Dex!$A$2:$C893,3,false),"")</f>
        <v/>
      </c>
      <c r="G773" s="21" t="s">
        <v>1177</v>
      </c>
      <c r="H773" s="22" t="str">
        <f t="array" ref="H773">iferror(VLOOKUP("TRAINER_PIC_BIRD_KEEPER",Sprites!$A$1:$B893,2,false),"")</f>
        <v/>
      </c>
      <c r="I773" s="23"/>
    </row>
    <row r="774">
      <c r="A774" s="24"/>
      <c r="B774" s="25" t="s">
        <v>254</v>
      </c>
      <c r="C774" s="25" t="s">
        <v>466</v>
      </c>
      <c r="D774" s="25" t="s">
        <v>1070</v>
      </c>
      <c r="E774" s="25" t="s">
        <v>752</v>
      </c>
      <c r="F774" s="25" t="s">
        <v>828</v>
      </c>
      <c r="G774" s="25" t="s">
        <v>1177</v>
      </c>
      <c r="H774" s="26"/>
    </row>
    <row r="775">
      <c r="A775" s="16" t="s">
        <v>1178</v>
      </c>
      <c r="B775" s="27" t="s">
        <v>2264</v>
      </c>
      <c r="C775" s="27" t="s">
        <v>2264</v>
      </c>
      <c r="D775" s="27" t="s">
        <v>2264</v>
      </c>
      <c r="E775" s="27" t="s">
        <v>2264</v>
      </c>
      <c r="F775" s="27" t="s">
        <v>2264</v>
      </c>
      <c r="G775" s="21" t="s">
        <v>1177</v>
      </c>
      <c r="H775" s="26"/>
    </row>
    <row r="776">
      <c r="A776" s="16" t="s">
        <v>1181</v>
      </c>
      <c r="B776" s="28" t="s">
        <v>1177</v>
      </c>
      <c r="C776" s="28" t="s">
        <v>1177</v>
      </c>
      <c r="D776" s="28" t="s">
        <v>1177</v>
      </c>
      <c r="E776" s="28" t="s">
        <v>1177</v>
      </c>
      <c r="F776" s="28" t="s">
        <v>1177</v>
      </c>
      <c r="G776" s="28" t="s">
        <v>1177</v>
      </c>
      <c r="H776" s="26"/>
    </row>
    <row r="777">
      <c r="A777" s="16" t="s">
        <v>1182</v>
      </c>
      <c r="B777" s="21" t="s">
        <v>1844</v>
      </c>
      <c r="C777" s="21" t="s">
        <v>1356</v>
      </c>
      <c r="D777" s="21" t="s">
        <v>1681</v>
      </c>
      <c r="E777" s="21" t="s">
        <v>1393</v>
      </c>
      <c r="F777" s="21" t="s">
        <v>1648</v>
      </c>
      <c r="G777" s="21" t="s">
        <v>1177</v>
      </c>
      <c r="H777" s="26"/>
    </row>
    <row r="778">
      <c r="A778" s="16" t="s">
        <v>1186</v>
      </c>
      <c r="B778" s="28" t="s">
        <v>1187</v>
      </c>
      <c r="C778" s="28" t="s">
        <v>1187</v>
      </c>
      <c r="D778" s="28" t="s">
        <v>1187</v>
      </c>
      <c r="E778" s="28" t="s">
        <v>1187</v>
      </c>
      <c r="F778" s="28" t="s">
        <v>1187</v>
      </c>
      <c r="G778" s="28" t="s">
        <v>1177</v>
      </c>
      <c r="H778" s="26"/>
    </row>
    <row r="779">
      <c r="A779" s="20" t="s">
        <v>1188</v>
      </c>
      <c r="B779" s="21" t="s">
        <v>1177</v>
      </c>
      <c r="C779" s="21" t="s">
        <v>1177</v>
      </c>
      <c r="D779" s="21" t="s">
        <v>1177</v>
      </c>
      <c r="E779" s="21" t="s">
        <v>1177</v>
      </c>
      <c r="F779" s="21" t="s">
        <v>1177</v>
      </c>
      <c r="G779" s="21" t="s">
        <v>1177</v>
      </c>
      <c r="H779" s="26"/>
    </row>
    <row r="780">
      <c r="A780" s="29"/>
      <c r="B780" s="21" t="s">
        <v>1177</v>
      </c>
      <c r="C780" s="21" t="s">
        <v>1177</v>
      </c>
      <c r="D780" s="21" t="s">
        <v>1177</v>
      </c>
      <c r="E780" s="21" t="s">
        <v>1177</v>
      </c>
      <c r="F780" s="21" t="s">
        <v>1177</v>
      </c>
      <c r="G780" s="21" t="s">
        <v>1177</v>
      </c>
      <c r="H780" s="26"/>
    </row>
    <row r="781">
      <c r="A781" s="29"/>
      <c r="B781" s="21" t="s">
        <v>1177</v>
      </c>
      <c r="C781" s="21" t="s">
        <v>1177</v>
      </c>
      <c r="D781" s="21" t="s">
        <v>1177</v>
      </c>
      <c r="E781" s="21" t="s">
        <v>1177</v>
      </c>
      <c r="F781" s="21" t="s">
        <v>1177</v>
      </c>
      <c r="G781" s="21" t="s">
        <v>1177</v>
      </c>
      <c r="H781" s="26"/>
    </row>
    <row r="782">
      <c r="A782" s="24"/>
      <c r="B782" s="21" t="s">
        <v>1177</v>
      </c>
      <c r="C782" s="21" t="s">
        <v>1177</v>
      </c>
      <c r="D782" s="21" t="s">
        <v>1177</v>
      </c>
      <c r="E782" s="21" t="s">
        <v>1177</v>
      </c>
      <c r="F782" s="21" t="s">
        <v>1177</v>
      </c>
      <c r="G782" s="21" t="s">
        <v>1177</v>
      </c>
      <c r="H782" s="30"/>
      <c r="I782" s="14"/>
    </row>
    <row r="783">
      <c r="A783" s="16" t="s">
        <v>1174</v>
      </c>
      <c r="B783" s="17" t="s">
        <v>2639</v>
      </c>
      <c r="C783" s="18"/>
      <c r="D783" s="18"/>
      <c r="E783" s="18"/>
      <c r="F783" s="18"/>
      <c r="G783" s="18"/>
      <c r="H783" s="18"/>
      <c r="I783" s="16"/>
    </row>
    <row r="784" ht="60.0" customHeight="1">
      <c r="A784" s="20" t="s">
        <v>1176</v>
      </c>
      <c r="B784" s="21" t="str">
        <f t="array" ref="B784">iferror(VLOOKUP(INDIRECT(ADDRESS(ROW()+1,COLUMN(), 4)),Dex!$A$2:$C893,3,false),"")</f>
        <v/>
      </c>
      <c r="C784" s="21" t="str">
        <f t="array" ref="C784">iferror(VLOOKUP(INDIRECT(ADDRESS(ROW()+1,COLUMN(), 4)),Dex!$A$2:$C893,3,false),"")</f>
        <v/>
      </c>
      <c r="D784" s="21" t="str">
        <f t="array" ref="D784">iferror(VLOOKUP(INDIRECT(ADDRESS(ROW()+1,COLUMN(), 4)),Dex!$A$2:$C893,3,false),"")</f>
        <v/>
      </c>
      <c r="E784" s="21" t="str">
        <f t="array" ref="E784">iferror(VLOOKUP(INDIRECT(ADDRESS(ROW()+1,COLUMN(), 4)),Dex!$A$2:$C893,3,false),"")</f>
        <v/>
      </c>
      <c r="F784" s="21" t="str">
        <f t="array" ref="F784">iferror(VLOOKUP(INDIRECT(ADDRESS(ROW()+1,COLUMN(), 4)),Dex!$A$2:$C893,3,false),"")</f>
        <v/>
      </c>
      <c r="G784" s="21" t="s">
        <v>1177</v>
      </c>
      <c r="H784" s="22" t="str">
        <f t="array" ref="H784">iferror(VLOOKUP("TRAINER_PIC_SAILOR",Sprites!$A$1:$B893,2,false),"")</f>
        <v/>
      </c>
      <c r="I784" s="23"/>
    </row>
    <row r="785">
      <c r="A785" s="24"/>
      <c r="B785" s="25" t="s">
        <v>591</v>
      </c>
      <c r="C785" s="25" t="s">
        <v>277</v>
      </c>
      <c r="D785" s="25" t="s">
        <v>165</v>
      </c>
      <c r="E785" s="25" t="s">
        <v>136</v>
      </c>
      <c r="F785" s="25" t="s">
        <v>721</v>
      </c>
      <c r="G785" s="25" t="s">
        <v>1177</v>
      </c>
      <c r="H785" s="26"/>
    </row>
    <row r="786">
      <c r="A786" s="16" t="s">
        <v>1178</v>
      </c>
      <c r="B786" s="27" t="s">
        <v>2264</v>
      </c>
      <c r="C786" s="27" t="s">
        <v>2264</v>
      </c>
      <c r="D786" s="27" t="s">
        <v>2264</v>
      </c>
      <c r="E786" s="27" t="s">
        <v>2264</v>
      </c>
      <c r="F786" s="27" t="s">
        <v>2264</v>
      </c>
      <c r="G786" s="21" t="s">
        <v>1177</v>
      </c>
      <c r="H786" s="26"/>
    </row>
    <row r="787">
      <c r="A787" s="16" t="s">
        <v>1181</v>
      </c>
      <c r="B787" s="28" t="s">
        <v>1177</v>
      </c>
      <c r="C787" s="28" t="s">
        <v>1177</v>
      </c>
      <c r="D787" s="28" t="s">
        <v>1177</v>
      </c>
      <c r="E787" s="28" t="s">
        <v>1177</v>
      </c>
      <c r="F787" s="28" t="s">
        <v>1177</v>
      </c>
      <c r="G787" s="28" t="s">
        <v>1177</v>
      </c>
      <c r="H787" s="26"/>
    </row>
    <row r="788">
      <c r="A788" s="16" t="s">
        <v>1182</v>
      </c>
      <c r="B788" s="21" t="s">
        <v>1820</v>
      </c>
      <c r="C788" s="21" t="s">
        <v>2066</v>
      </c>
      <c r="D788" s="21" t="s">
        <v>1368</v>
      </c>
      <c r="E788" s="21" t="s">
        <v>1267</v>
      </c>
      <c r="F788" s="21" t="s">
        <v>1382</v>
      </c>
      <c r="G788" s="21" t="s">
        <v>1177</v>
      </c>
      <c r="H788" s="26"/>
    </row>
    <row r="789">
      <c r="A789" s="16" t="s">
        <v>1186</v>
      </c>
      <c r="B789" s="28" t="s">
        <v>1187</v>
      </c>
      <c r="C789" s="28" t="s">
        <v>1187</v>
      </c>
      <c r="D789" s="28" t="s">
        <v>1187</v>
      </c>
      <c r="E789" s="28" t="s">
        <v>1187</v>
      </c>
      <c r="F789" s="28" t="s">
        <v>1187</v>
      </c>
      <c r="G789" s="28" t="s">
        <v>1177</v>
      </c>
      <c r="H789" s="26"/>
    </row>
    <row r="790">
      <c r="A790" s="20" t="s">
        <v>1188</v>
      </c>
      <c r="B790" s="21" t="s">
        <v>1177</v>
      </c>
      <c r="C790" s="21" t="s">
        <v>1177</v>
      </c>
      <c r="D790" s="21" t="s">
        <v>1177</v>
      </c>
      <c r="E790" s="21" t="s">
        <v>1177</v>
      </c>
      <c r="F790" s="21" t="s">
        <v>1177</v>
      </c>
      <c r="G790" s="21" t="s">
        <v>1177</v>
      </c>
      <c r="H790" s="26"/>
    </row>
    <row r="791">
      <c r="A791" s="29"/>
      <c r="B791" s="21" t="s">
        <v>1177</v>
      </c>
      <c r="C791" s="21" t="s">
        <v>1177</v>
      </c>
      <c r="D791" s="21" t="s">
        <v>1177</v>
      </c>
      <c r="E791" s="21" t="s">
        <v>1177</v>
      </c>
      <c r="F791" s="21" t="s">
        <v>1177</v>
      </c>
      <c r="G791" s="21" t="s">
        <v>1177</v>
      </c>
      <c r="H791" s="26"/>
    </row>
    <row r="792">
      <c r="A792" s="29"/>
      <c r="B792" s="21" t="s">
        <v>1177</v>
      </c>
      <c r="C792" s="21" t="s">
        <v>1177</v>
      </c>
      <c r="D792" s="21" t="s">
        <v>1177</v>
      </c>
      <c r="E792" s="21" t="s">
        <v>1177</v>
      </c>
      <c r="F792" s="21" t="s">
        <v>1177</v>
      </c>
      <c r="G792" s="21" t="s">
        <v>1177</v>
      </c>
      <c r="H792" s="26"/>
    </row>
    <row r="793">
      <c r="A793" s="24"/>
      <c r="B793" s="21" t="s">
        <v>1177</v>
      </c>
      <c r="C793" s="21" t="s">
        <v>1177</v>
      </c>
      <c r="D793" s="21" t="s">
        <v>1177</v>
      </c>
      <c r="E793" s="21" t="s">
        <v>1177</v>
      </c>
      <c r="F793" s="21" t="s">
        <v>1177</v>
      </c>
      <c r="G793" s="21" t="s">
        <v>1177</v>
      </c>
      <c r="H793" s="30"/>
      <c r="I793" s="14"/>
    </row>
    <row r="794">
      <c r="A794" s="37"/>
      <c r="B794" s="38" t="s">
        <v>2640</v>
      </c>
      <c r="C794" s="14"/>
      <c r="D794" s="14"/>
      <c r="E794" s="14"/>
      <c r="F794" s="14"/>
      <c r="G794" s="14"/>
      <c r="H794" s="24"/>
      <c r="I794" s="33"/>
    </row>
    <row r="795">
      <c r="A795" s="16" t="s">
        <v>1174</v>
      </c>
      <c r="B795" s="17" t="s">
        <v>2641</v>
      </c>
      <c r="C795" s="18"/>
      <c r="D795" s="18"/>
      <c r="E795" s="18"/>
      <c r="F795" s="18"/>
      <c r="G795" s="18"/>
      <c r="H795" s="18"/>
      <c r="I795" s="19"/>
    </row>
    <row r="796" ht="60.0" customHeight="1">
      <c r="A796" s="20" t="s">
        <v>1176</v>
      </c>
      <c r="B796" s="21" t="str">
        <f t="array" ref="B796">iferror(VLOOKUP(INDIRECT(ADDRESS(ROW()+1,COLUMN(), 4)),Dex!$A$2:$C893,3,false),"")</f>
        <v/>
      </c>
      <c r="C796" s="21" t="str">
        <f t="array" ref="C796">iferror(VLOOKUP(INDIRECT(ADDRESS(ROW()+1,COLUMN(), 4)),Dex!$A$2:$C893,3,false),"")</f>
        <v/>
      </c>
      <c r="D796" s="21" t="str">
        <f t="array" ref="D796">iferror(VLOOKUP(INDIRECT(ADDRESS(ROW()+1,COLUMN(), 4)),Dex!$A$2:$C893,3,false),"")</f>
        <v/>
      </c>
      <c r="E796" s="21" t="str">
        <f t="array" ref="E796">iferror(VLOOKUP(INDIRECT(ADDRESS(ROW()+1,COLUMN(), 4)),Dex!$A$2:$C893,3,false),"")</f>
        <v/>
      </c>
      <c r="F796" s="21" t="str">
        <f t="array" ref="F796">iferror(VLOOKUP(INDIRECT(ADDRESS(ROW()+1,COLUMN(), 4)),Dex!$A$2:$C893,3,false),"")</f>
        <v/>
      </c>
      <c r="G796" s="21" t="str">
        <f t="array" ref="G796">iferror(VLOOKUP(INDIRECT(ADDRESS(ROW()+1,COLUMN(), 4)),Dex!$A$2:$C893,3,false),"")</f>
        <v/>
      </c>
      <c r="H796" s="22" t="str">
        <f t="array" ref="H796">iferror(VLOOKUP("TRAINER_PIC_BEAUTY",Sprites!$A$1:$B893,2,false),"")</f>
        <v/>
      </c>
      <c r="I796" s="23"/>
    </row>
    <row r="797">
      <c r="A797" s="24"/>
      <c r="B797" s="25" t="s">
        <v>1048</v>
      </c>
      <c r="C797" s="25" t="s">
        <v>170</v>
      </c>
      <c r="D797" s="25" t="s">
        <v>911</v>
      </c>
      <c r="E797" s="25" t="s">
        <v>958</v>
      </c>
      <c r="F797" s="25" t="s">
        <v>575</v>
      </c>
      <c r="G797" s="25" t="s">
        <v>452</v>
      </c>
      <c r="H797" s="26"/>
    </row>
    <row r="798">
      <c r="A798" s="16" t="s">
        <v>1178</v>
      </c>
      <c r="B798" s="27" t="s">
        <v>2570</v>
      </c>
      <c r="C798" s="27" t="s">
        <v>2265</v>
      </c>
      <c r="D798" s="27" t="s">
        <v>2265</v>
      </c>
      <c r="E798" s="27" t="s">
        <v>2265</v>
      </c>
      <c r="F798" s="27" t="s">
        <v>2265</v>
      </c>
      <c r="G798" s="27" t="s">
        <v>2570</v>
      </c>
      <c r="H798" s="26"/>
    </row>
    <row r="799">
      <c r="A799" s="16" t="s">
        <v>1181</v>
      </c>
      <c r="B799" s="28" t="s">
        <v>1898</v>
      </c>
      <c r="C799" s="28" t="s">
        <v>1701</v>
      </c>
      <c r="D799" s="28" t="s">
        <v>1572</v>
      </c>
      <c r="E799" s="28" t="s">
        <v>1366</v>
      </c>
      <c r="F799" s="28" t="s">
        <v>1247</v>
      </c>
      <c r="G799" s="28" t="s">
        <v>1209</v>
      </c>
      <c r="H799" s="26"/>
    </row>
    <row r="800">
      <c r="A800" s="16" t="s">
        <v>1182</v>
      </c>
      <c r="B800" s="21" t="s">
        <v>1648</v>
      </c>
      <c r="C800" s="21" t="s">
        <v>1907</v>
      </c>
      <c r="D800" s="21" t="s">
        <v>1821</v>
      </c>
      <c r="E800" s="21" t="s">
        <v>1753</v>
      </c>
      <c r="F800" s="21" t="s">
        <v>1931</v>
      </c>
      <c r="G800" s="21" t="s">
        <v>1895</v>
      </c>
      <c r="H800" s="26"/>
    </row>
    <row r="801">
      <c r="A801" s="16" t="s">
        <v>1186</v>
      </c>
      <c r="B801" s="28" t="s">
        <v>1284</v>
      </c>
      <c r="C801" s="28" t="s">
        <v>1235</v>
      </c>
      <c r="D801" s="28" t="s">
        <v>1269</v>
      </c>
      <c r="E801" s="28" t="s">
        <v>1235</v>
      </c>
      <c r="F801" s="28" t="s">
        <v>1269</v>
      </c>
      <c r="G801" s="28" t="s">
        <v>1257</v>
      </c>
      <c r="H801" s="26"/>
    </row>
    <row r="802">
      <c r="A802" s="20" t="s">
        <v>1188</v>
      </c>
      <c r="B802" s="21" t="s">
        <v>1793</v>
      </c>
      <c r="C802" s="21" t="s">
        <v>1407</v>
      </c>
      <c r="D802" s="21" t="s">
        <v>1823</v>
      </c>
      <c r="E802" s="21" t="s">
        <v>1983</v>
      </c>
      <c r="F802" s="21" t="s">
        <v>1878</v>
      </c>
      <c r="G802" s="21" t="s">
        <v>1793</v>
      </c>
      <c r="H802" s="26"/>
    </row>
    <row r="803">
      <c r="A803" s="29"/>
      <c r="B803" s="21" t="s">
        <v>1621</v>
      </c>
      <c r="C803" s="21" t="s">
        <v>1817</v>
      </c>
      <c r="D803" s="21" t="s">
        <v>1874</v>
      </c>
      <c r="E803" s="21" t="s">
        <v>1440</v>
      </c>
      <c r="F803" s="21" t="s">
        <v>1814</v>
      </c>
      <c r="G803" s="21" t="s">
        <v>1621</v>
      </c>
      <c r="H803" s="26"/>
    </row>
    <row r="804">
      <c r="A804" s="29"/>
      <c r="B804" s="21" t="s">
        <v>1879</v>
      </c>
      <c r="C804" s="21" t="s">
        <v>1621</v>
      </c>
      <c r="D804" s="21" t="s">
        <v>1816</v>
      </c>
      <c r="E804" s="21" t="s">
        <v>2251</v>
      </c>
      <c r="F804" s="21" t="s">
        <v>1678</v>
      </c>
      <c r="G804" s="21" t="s">
        <v>1311</v>
      </c>
      <c r="H804" s="26"/>
    </row>
    <row r="805">
      <c r="A805" s="24"/>
      <c r="B805" s="21" t="s">
        <v>1880</v>
      </c>
      <c r="C805" s="21" t="s">
        <v>1225</v>
      </c>
      <c r="D805" s="21" t="s">
        <v>1307</v>
      </c>
      <c r="E805" s="21" t="s">
        <v>1389</v>
      </c>
      <c r="F805" s="21" t="s">
        <v>2251</v>
      </c>
      <c r="G805" s="21" t="s">
        <v>1398</v>
      </c>
      <c r="H805" s="30"/>
      <c r="I805" s="14"/>
    </row>
    <row r="806">
      <c r="A806" s="16" t="s">
        <v>1174</v>
      </c>
      <c r="B806" s="17" t="s">
        <v>2642</v>
      </c>
      <c r="C806" s="18"/>
      <c r="D806" s="18"/>
      <c r="E806" s="18"/>
      <c r="F806" s="18"/>
      <c r="G806" s="18"/>
      <c r="H806" s="18"/>
      <c r="I806" s="19"/>
    </row>
    <row r="807" ht="60.0" customHeight="1">
      <c r="A807" s="20" t="s">
        <v>1176</v>
      </c>
      <c r="B807" s="21" t="str">
        <f t="array" ref="B807">iferror(VLOOKUP(INDIRECT(ADDRESS(ROW()+1,COLUMN(), 4)),Dex!$A$2:$C893,3,false),"")</f>
        <v/>
      </c>
      <c r="C807" s="21" t="str">
        <f t="array" ref="C807">iferror(VLOOKUP(INDIRECT(ADDRESS(ROW()+1,COLUMN(), 4)),Dex!$A$2:$C893,3,false),"")</f>
        <v/>
      </c>
      <c r="D807" s="21" t="str">
        <f t="array" ref="D807">iferror(VLOOKUP(INDIRECT(ADDRESS(ROW()+1,COLUMN(), 4)),Dex!$A$2:$C893,3,false),"")</f>
        <v/>
      </c>
      <c r="E807" s="21" t="str">
        <f t="array" ref="E807">iferror(VLOOKUP(INDIRECT(ADDRESS(ROW()+1,COLUMN(), 4)),Dex!$A$2:$C893,3,false),"")</f>
        <v/>
      </c>
      <c r="F807" s="21" t="str">
        <f t="array" ref="F807">iferror(VLOOKUP(INDIRECT(ADDRESS(ROW()+1,COLUMN(), 4)),Dex!$A$2:$C893,3,false),"")</f>
        <v/>
      </c>
      <c r="G807" s="21" t="s">
        <v>1177</v>
      </c>
      <c r="H807" s="22" t="str">
        <f t="array" ref="H807">iferror(VLOOKUP("TRAINER_PIC_BEAUTY",Sprites!$A$1:$B893,2,false),"")</f>
        <v/>
      </c>
      <c r="I807" s="23"/>
    </row>
    <row r="808">
      <c r="A808" s="24"/>
      <c r="B808" s="25" t="s">
        <v>58</v>
      </c>
      <c r="C808" s="25" t="s">
        <v>828</v>
      </c>
      <c r="D808" s="25" t="s">
        <v>48</v>
      </c>
      <c r="E808" s="25" t="s">
        <v>536</v>
      </c>
      <c r="F808" s="25" t="s">
        <v>882</v>
      </c>
      <c r="G808" s="25" t="s">
        <v>1177</v>
      </c>
      <c r="H808" s="26"/>
    </row>
    <row r="809">
      <c r="A809" s="16" t="s">
        <v>1178</v>
      </c>
      <c r="B809" s="27" t="s">
        <v>2570</v>
      </c>
      <c r="C809" s="27" t="s">
        <v>2265</v>
      </c>
      <c r="D809" s="27" t="s">
        <v>2265</v>
      </c>
      <c r="E809" s="27" t="s">
        <v>2265</v>
      </c>
      <c r="F809" s="27" t="s">
        <v>2570</v>
      </c>
      <c r="G809" s="21" t="s">
        <v>1177</v>
      </c>
      <c r="H809" s="26"/>
    </row>
    <row r="810">
      <c r="A810" s="16" t="s">
        <v>1181</v>
      </c>
      <c r="B810" s="28" t="s">
        <v>1882</v>
      </c>
      <c r="C810" s="28" t="s">
        <v>1209</v>
      </c>
      <c r="D810" s="28" t="s">
        <v>1882</v>
      </c>
      <c r="E810" s="28" t="s">
        <v>1460</v>
      </c>
      <c r="F810" s="28" t="s">
        <v>1295</v>
      </c>
      <c r="G810" s="28" t="s">
        <v>1177</v>
      </c>
      <c r="H810" s="26"/>
    </row>
    <row r="811">
      <c r="A811" s="16" t="s">
        <v>1182</v>
      </c>
      <c r="B811" s="21" t="s">
        <v>1604</v>
      </c>
      <c r="C811" s="21" t="s">
        <v>1443</v>
      </c>
      <c r="D811" s="21" t="s">
        <v>2053</v>
      </c>
      <c r="E811" s="21" t="s">
        <v>1614</v>
      </c>
      <c r="F811" s="21" t="s">
        <v>1231</v>
      </c>
      <c r="G811" s="21" t="s">
        <v>1177</v>
      </c>
      <c r="H811" s="26"/>
    </row>
    <row r="812">
      <c r="A812" s="16" t="s">
        <v>1186</v>
      </c>
      <c r="B812" s="28" t="s">
        <v>1284</v>
      </c>
      <c r="C812" s="28" t="s">
        <v>1249</v>
      </c>
      <c r="D812" s="28" t="s">
        <v>1235</v>
      </c>
      <c r="E812" s="28" t="s">
        <v>1284</v>
      </c>
      <c r="F812" s="28" t="s">
        <v>1446</v>
      </c>
      <c r="G812" s="28" t="s">
        <v>1177</v>
      </c>
      <c r="H812" s="26"/>
    </row>
    <row r="813">
      <c r="A813" s="20" t="s">
        <v>1188</v>
      </c>
      <c r="B813" s="21" t="s">
        <v>2054</v>
      </c>
      <c r="C813" s="21" t="s">
        <v>2054</v>
      </c>
      <c r="D813" s="21" t="s">
        <v>1607</v>
      </c>
      <c r="E813" s="21" t="s">
        <v>1251</v>
      </c>
      <c r="F813" s="21" t="s">
        <v>1452</v>
      </c>
      <c r="G813" s="21" t="s">
        <v>1177</v>
      </c>
      <c r="H813" s="26"/>
    </row>
    <row r="814">
      <c r="A814" s="29"/>
      <c r="B814" s="21" t="s">
        <v>2104</v>
      </c>
      <c r="C814" s="21" t="s">
        <v>1759</v>
      </c>
      <c r="D814" s="21" t="s">
        <v>1440</v>
      </c>
      <c r="E814" s="21" t="s">
        <v>2054</v>
      </c>
      <c r="F814" s="21" t="s">
        <v>1758</v>
      </c>
      <c r="G814" s="21" t="s">
        <v>1177</v>
      </c>
      <c r="H814" s="26"/>
    </row>
    <row r="815">
      <c r="A815" s="29"/>
      <c r="B815" s="21" t="s">
        <v>1731</v>
      </c>
      <c r="C815" s="21" t="s">
        <v>2026</v>
      </c>
      <c r="D815" s="21" t="s">
        <v>1677</v>
      </c>
      <c r="E815" s="21" t="s">
        <v>1878</v>
      </c>
      <c r="F815" s="21" t="s">
        <v>1677</v>
      </c>
      <c r="G815" s="21" t="s">
        <v>1177</v>
      </c>
      <c r="H815" s="26"/>
    </row>
    <row r="816">
      <c r="A816" s="24"/>
      <c r="B816" s="21" t="s">
        <v>1705</v>
      </c>
      <c r="C816" s="21" t="s">
        <v>1854</v>
      </c>
      <c r="D816" s="21" t="s">
        <v>1705</v>
      </c>
      <c r="E816" s="21" t="s">
        <v>2543</v>
      </c>
      <c r="F816" s="21" t="s">
        <v>1761</v>
      </c>
      <c r="G816" s="21" t="s">
        <v>1177</v>
      </c>
      <c r="H816" s="30"/>
      <c r="I816" s="14"/>
    </row>
    <row r="817">
      <c r="A817" s="16" t="s">
        <v>1174</v>
      </c>
      <c r="B817" s="17" t="s">
        <v>2643</v>
      </c>
      <c r="C817" s="18"/>
      <c r="D817" s="18"/>
      <c r="E817" s="18"/>
      <c r="F817" s="18"/>
      <c r="G817" s="18"/>
      <c r="H817" s="18"/>
      <c r="I817" s="16"/>
    </row>
    <row r="818" ht="60.0" customHeight="1">
      <c r="A818" s="20" t="s">
        <v>1176</v>
      </c>
      <c r="B818" s="21" t="str">
        <f t="array" ref="B818">iferror(VLOOKUP(INDIRECT(ADDRESS(ROW()+1,COLUMN(), 4)),Dex!$A$2:$C893,3,false),"")</f>
        <v/>
      </c>
      <c r="C818" s="21" t="str">
        <f t="array" ref="C818">iferror(VLOOKUP(INDIRECT(ADDRESS(ROW()+1,COLUMN(), 4)),Dex!$A$2:$C893,3,false),"")</f>
        <v/>
      </c>
      <c r="D818" s="21" t="str">
        <f t="array" ref="D818">iferror(VLOOKUP(INDIRECT(ADDRESS(ROW()+1,COLUMN(), 4)),Dex!$A$2:$C893,3,false),"")</f>
        <v/>
      </c>
      <c r="E818" s="21" t="str">
        <f t="array" ref="E818">iferror(VLOOKUP(INDIRECT(ADDRESS(ROW()+1,COLUMN(), 4)),Dex!$A$2:$C893,3,false),"")</f>
        <v/>
      </c>
      <c r="F818" s="21" t="str">
        <f t="array" ref="F818">iferror(VLOOKUP(INDIRECT(ADDRESS(ROW()+1,COLUMN(), 4)),Dex!$A$2:$C893,3,false),"")</f>
        <v/>
      </c>
      <c r="G818" s="21" t="str">
        <f t="array" ref="G818">iferror(VLOOKUP(INDIRECT(ADDRESS(ROW()+1,COLUMN(), 4)),Dex!$A$2:$C893,3,false),"")</f>
        <v/>
      </c>
      <c r="H818" s="22" t="str">
        <f t="array" ref="H818">iferror(VLOOKUP("TRAINER_PIC_LADY",Sprites!$A$1:$B893,2,false),"")</f>
        <v/>
      </c>
      <c r="I818" s="23"/>
    </row>
    <row r="819">
      <c r="A819" s="24"/>
      <c r="B819" s="25" t="s">
        <v>935</v>
      </c>
      <c r="C819" s="25" t="s">
        <v>994</v>
      </c>
      <c r="D819" s="25" t="s">
        <v>917</v>
      </c>
      <c r="E819" s="25" t="s">
        <v>654</v>
      </c>
      <c r="F819" s="25" t="s">
        <v>1136</v>
      </c>
      <c r="G819" s="25" t="s">
        <v>522</v>
      </c>
      <c r="H819" s="26"/>
    </row>
    <row r="820">
      <c r="A820" s="16" t="s">
        <v>1178</v>
      </c>
      <c r="B820" s="27" t="s">
        <v>2265</v>
      </c>
      <c r="C820" s="27" t="s">
        <v>2570</v>
      </c>
      <c r="D820" s="27" t="s">
        <v>2570</v>
      </c>
      <c r="E820" s="27" t="s">
        <v>2570</v>
      </c>
      <c r="F820" s="27" t="s">
        <v>2539</v>
      </c>
      <c r="G820" s="27" t="s">
        <v>2265</v>
      </c>
      <c r="H820" s="26"/>
    </row>
    <row r="821">
      <c r="A821" s="16" t="s">
        <v>1181</v>
      </c>
      <c r="B821" s="28" t="s">
        <v>1247</v>
      </c>
      <c r="C821" s="28" t="s">
        <v>2437</v>
      </c>
      <c r="D821" s="28" t="s">
        <v>1633</v>
      </c>
      <c r="E821" s="28" t="s">
        <v>1643</v>
      </c>
      <c r="F821" s="28" t="s">
        <v>1901</v>
      </c>
      <c r="G821" s="28" t="s">
        <v>1882</v>
      </c>
      <c r="H821" s="26"/>
    </row>
    <row r="822">
      <c r="A822" s="16" t="s">
        <v>1182</v>
      </c>
      <c r="B822" s="21" t="s">
        <v>1342</v>
      </c>
      <c r="C822" s="21" t="s">
        <v>1681</v>
      </c>
      <c r="D822" s="21" t="s">
        <v>1635</v>
      </c>
      <c r="E822" s="21" t="s">
        <v>1231</v>
      </c>
      <c r="F822" s="21" t="s">
        <v>1783</v>
      </c>
      <c r="G822" s="21" t="s">
        <v>1461</v>
      </c>
      <c r="H822" s="26"/>
    </row>
    <row r="823">
      <c r="A823" s="16" t="s">
        <v>1186</v>
      </c>
      <c r="B823" s="28" t="s">
        <v>1284</v>
      </c>
      <c r="C823" s="28" t="s">
        <v>1235</v>
      </c>
      <c r="D823" s="28" t="s">
        <v>1284</v>
      </c>
      <c r="E823" s="28" t="s">
        <v>1235</v>
      </c>
      <c r="F823" s="28" t="s">
        <v>1248</v>
      </c>
      <c r="G823" s="28" t="s">
        <v>1284</v>
      </c>
      <c r="H823" s="26"/>
    </row>
    <row r="824">
      <c r="A824" s="20" t="s">
        <v>1188</v>
      </c>
      <c r="B824" s="21" t="s">
        <v>1815</v>
      </c>
      <c r="C824" s="21" t="s">
        <v>1760</v>
      </c>
      <c r="D824" s="21" t="s">
        <v>1778</v>
      </c>
      <c r="E824" s="21" t="s">
        <v>1760</v>
      </c>
      <c r="F824" s="21" t="s">
        <v>2479</v>
      </c>
      <c r="G824" s="21" t="s">
        <v>1373</v>
      </c>
      <c r="H824" s="26"/>
    </row>
    <row r="825">
      <c r="A825" s="29"/>
      <c r="B825" s="21" t="s">
        <v>1650</v>
      </c>
      <c r="C825" s="21" t="s">
        <v>1741</v>
      </c>
      <c r="D825" s="21" t="s">
        <v>1261</v>
      </c>
      <c r="E825" s="21" t="s">
        <v>1307</v>
      </c>
      <c r="F825" s="21" t="s">
        <v>2443</v>
      </c>
      <c r="G825" s="21" t="s">
        <v>1652</v>
      </c>
      <c r="H825" s="26"/>
    </row>
    <row r="826">
      <c r="A826" s="29"/>
      <c r="B826" s="21" t="s">
        <v>1731</v>
      </c>
      <c r="C826" s="21" t="s">
        <v>1594</v>
      </c>
      <c r="D826" s="21" t="s">
        <v>1731</v>
      </c>
      <c r="E826" s="21" t="s">
        <v>1975</v>
      </c>
      <c r="F826" s="21" t="s">
        <v>1817</v>
      </c>
      <c r="G826" s="21" t="s">
        <v>1786</v>
      </c>
      <c r="H826" s="26"/>
    </row>
    <row r="827">
      <c r="A827" s="24"/>
      <c r="B827" s="21" t="s">
        <v>1310</v>
      </c>
      <c r="C827" s="21" t="s">
        <v>1641</v>
      </c>
      <c r="D827" s="21" t="s">
        <v>1698</v>
      </c>
      <c r="E827" s="21" t="s">
        <v>1641</v>
      </c>
      <c r="F827" s="21" t="s">
        <v>1374</v>
      </c>
      <c r="G827" s="21" t="s">
        <v>1622</v>
      </c>
      <c r="H827" s="30"/>
      <c r="I827" s="14"/>
    </row>
    <row r="828">
      <c r="A828" s="16" t="s">
        <v>1174</v>
      </c>
      <c r="B828" s="17" t="s">
        <v>2644</v>
      </c>
      <c r="C828" s="18"/>
      <c r="D828" s="18"/>
      <c r="E828" s="18"/>
      <c r="F828" s="18"/>
      <c r="G828" s="18"/>
      <c r="H828" s="18"/>
      <c r="I828" s="16"/>
    </row>
    <row r="829" ht="60.0" customHeight="1">
      <c r="A829" s="20" t="s">
        <v>1176</v>
      </c>
      <c r="B829" s="21" t="str">
        <f t="array" ref="B829">iferror(VLOOKUP(INDIRECT(ADDRESS(ROW()+1,COLUMN(), 4)),Dex!$A$2:$C893,3,false),"")</f>
        <v/>
      </c>
      <c r="C829" s="21" t="str">
        <f t="array" ref="C829">iferror(VLOOKUP(INDIRECT(ADDRESS(ROW()+1,COLUMN(), 4)),Dex!$A$2:$C893,3,false),"")</f>
        <v/>
      </c>
      <c r="D829" s="21" t="str">
        <f t="array" ref="D829">iferror(VLOOKUP(INDIRECT(ADDRESS(ROW()+1,COLUMN(), 4)),Dex!$A$2:$C893,3,false),"")</f>
        <v/>
      </c>
      <c r="E829" s="21" t="str">
        <f t="array" ref="E829">iferror(VLOOKUP(INDIRECT(ADDRESS(ROW()+1,COLUMN(), 4)),Dex!$A$2:$C893,3,false),"")</f>
        <v/>
      </c>
      <c r="F829" s="21" t="str">
        <f t="array" ref="F829">iferror(VLOOKUP(INDIRECT(ADDRESS(ROW()+1,COLUMN(), 4)),Dex!$A$2:$C893,3,false),"")</f>
        <v/>
      </c>
      <c r="G829" s="21" t="str">
        <f t="array" ref="G829">iferror(VLOOKUP(INDIRECT(ADDRESS(ROW()+1,COLUMN(), 4)),Dex!$A$2:$C893,3,false),"")</f>
        <v/>
      </c>
      <c r="H829" s="22" t="str">
        <f t="array" ref="H829">iferror(VLOOKUP("TRAINER_PIC_POKEFAN_F",Sprites!$A$1:$B893,2,false),"")</f>
        <v/>
      </c>
      <c r="I829" s="23"/>
    </row>
    <row r="830">
      <c r="A830" s="24"/>
      <c r="B830" s="25" t="s">
        <v>263</v>
      </c>
      <c r="C830" s="25" t="s">
        <v>1126</v>
      </c>
      <c r="D830" s="25" t="s">
        <v>689</v>
      </c>
      <c r="E830" s="25" t="s">
        <v>1169</v>
      </c>
      <c r="F830" s="25" t="s">
        <v>153</v>
      </c>
      <c r="G830" s="25" t="s">
        <v>236</v>
      </c>
      <c r="H830" s="26"/>
    </row>
    <row r="831">
      <c r="A831" s="16" t="s">
        <v>1178</v>
      </c>
      <c r="B831" s="27" t="s">
        <v>2570</v>
      </c>
      <c r="C831" s="27" t="s">
        <v>2265</v>
      </c>
      <c r="D831" s="27" t="s">
        <v>2265</v>
      </c>
      <c r="E831" s="27" t="s">
        <v>2265</v>
      </c>
      <c r="F831" s="27" t="s">
        <v>2265</v>
      </c>
      <c r="G831" s="27" t="s">
        <v>2570</v>
      </c>
      <c r="H831" s="26"/>
    </row>
    <row r="832">
      <c r="A832" s="16" t="s">
        <v>1181</v>
      </c>
      <c r="B832" s="28" t="s">
        <v>1458</v>
      </c>
      <c r="C832" s="28" t="s">
        <v>1457</v>
      </c>
      <c r="D832" s="28" t="s">
        <v>1247</v>
      </c>
      <c r="E832" s="28" t="s">
        <v>1209</v>
      </c>
      <c r="F832" s="28" t="s">
        <v>1882</v>
      </c>
      <c r="G832" s="28" t="s">
        <v>1882</v>
      </c>
      <c r="H832" s="26"/>
    </row>
    <row r="833">
      <c r="A833" s="16" t="s">
        <v>1182</v>
      </c>
      <c r="B833" s="21" t="s">
        <v>2097</v>
      </c>
      <c r="C833" s="21" t="s">
        <v>1938</v>
      </c>
      <c r="D833" s="21" t="s">
        <v>1212</v>
      </c>
      <c r="E833" s="21" t="s">
        <v>1212</v>
      </c>
      <c r="F833" s="21" t="s">
        <v>1357</v>
      </c>
      <c r="G833" s="21" t="s">
        <v>1938</v>
      </c>
      <c r="H833" s="26"/>
    </row>
    <row r="834">
      <c r="A834" s="16" t="s">
        <v>1186</v>
      </c>
      <c r="B834" s="28" t="s">
        <v>1284</v>
      </c>
      <c r="C834" s="28" t="s">
        <v>1248</v>
      </c>
      <c r="D834" s="28" t="s">
        <v>1334</v>
      </c>
      <c r="E834" s="28" t="s">
        <v>1248</v>
      </c>
      <c r="F834" s="28" t="s">
        <v>1334</v>
      </c>
      <c r="G834" s="28" t="s">
        <v>1235</v>
      </c>
      <c r="H834" s="26"/>
    </row>
    <row r="835">
      <c r="A835" s="20" t="s">
        <v>1188</v>
      </c>
      <c r="B835" s="21" t="s">
        <v>1251</v>
      </c>
      <c r="C835" s="21" t="s">
        <v>1607</v>
      </c>
      <c r="D835" s="21" t="s">
        <v>1618</v>
      </c>
      <c r="E835" s="21" t="s">
        <v>1814</v>
      </c>
      <c r="F835" s="21" t="s">
        <v>1663</v>
      </c>
      <c r="G835" s="21" t="s">
        <v>1760</v>
      </c>
      <c r="H835" s="26"/>
    </row>
    <row r="836">
      <c r="A836" s="29"/>
      <c r="B836" s="21" t="s">
        <v>1878</v>
      </c>
      <c r="C836" s="21" t="s">
        <v>1677</v>
      </c>
      <c r="D836" s="21" t="s">
        <v>1983</v>
      </c>
      <c r="E836" s="21" t="s">
        <v>1967</v>
      </c>
      <c r="F836" s="21" t="s">
        <v>1371</v>
      </c>
      <c r="G836" s="21" t="s">
        <v>1594</v>
      </c>
      <c r="H836" s="26"/>
    </row>
    <row r="837">
      <c r="A837" s="29"/>
      <c r="B837" s="21" t="s">
        <v>1731</v>
      </c>
      <c r="C837" s="21" t="s">
        <v>1438</v>
      </c>
      <c r="D837" s="21" t="s">
        <v>1373</v>
      </c>
      <c r="E837" s="21" t="s">
        <v>1760</v>
      </c>
      <c r="F837" s="21" t="s">
        <v>1830</v>
      </c>
      <c r="G837" s="21" t="s">
        <v>1323</v>
      </c>
      <c r="H837" s="26"/>
    </row>
    <row r="838">
      <c r="A838" s="24"/>
      <c r="B838" s="21" t="s">
        <v>1311</v>
      </c>
      <c r="C838" s="21" t="s">
        <v>1705</v>
      </c>
      <c r="D838" s="21" t="s">
        <v>2022</v>
      </c>
      <c r="E838" s="21" t="s">
        <v>1924</v>
      </c>
      <c r="F838" s="21" t="s">
        <v>1788</v>
      </c>
      <c r="G838" s="21" t="s">
        <v>1915</v>
      </c>
      <c r="H838" s="30"/>
      <c r="I838" s="14"/>
    </row>
    <row r="839">
      <c r="A839" s="16" t="s">
        <v>1174</v>
      </c>
      <c r="B839" s="17" t="s">
        <v>2645</v>
      </c>
      <c r="C839" s="18"/>
      <c r="D839" s="18"/>
      <c r="E839" s="18"/>
      <c r="F839" s="18"/>
      <c r="G839" s="18"/>
      <c r="H839" s="18"/>
      <c r="I839" s="16"/>
    </row>
    <row r="840" ht="60.0" customHeight="1">
      <c r="A840" s="20" t="s">
        <v>1176</v>
      </c>
      <c r="B840" s="21" t="str">
        <f t="array" ref="B840">iferror(VLOOKUP(INDIRECT(ADDRESS(ROW()+1,COLUMN(), 4)),Dex!$A$2:$C893,3,false),"")</f>
        <v/>
      </c>
      <c r="C840" s="21" t="str">
        <f t="array" ref="C840">iferror(VLOOKUP(INDIRECT(ADDRESS(ROW()+1,COLUMN(), 4)),Dex!$A$2:$C893,3,false),"")</f>
        <v/>
      </c>
      <c r="D840" s="21" t="str">
        <f t="array" ref="D840">iferror(VLOOKUP(INDIRECT(ADDRESS(ROW()+1,COLUMN(), 4)),Dex!$A$2:$C893,3,false),"")</f>
        <v/>
      </c>
      <c r="E840" s="21" t="str">
        <f t="array" ref="E840">iferror(VLOOKUP(INDIRECT(ADDRESS(ROW()+1,COLUMN(), 4)),Dex!$A$2:$C893,3,false),"")</f>
        <v/>
      </c>
      <c r="F840" s="21" t="str">
        <f t="array" ref="F840">iferror(VLOOKUP(INDIRECT(ADDRESS(ROW()+1,COLUMN(), 4)),Dex!$A$2:$C893,3,false),"")</f>
        <v/>
      </c>
      <c r="G840" s="21" t="str">
        <f t="array" ref="G840">iferror(VLOOKUP(INDIRECT(ADDRESS(ROW()+1,COLUMN(), 4)),Dex!$A$2:$C893,3,false),"")</f>
        <v/>
      </c>
      <c r="H840" s="22" t="str">
        <f t="array" ref="H840">iferror(VLOOKUP("TRAINER_PIC_LASS",Sprites!$A$1:$B893,2,false),"")</f>
        <v/>
      </c>
      <c r="I840" s="23"/>
    </row>
    <row r="841">
      <c r="A841" s="24"/>
      <c r="B841" s="25" t="s">
        <v>1116</v>
      </c>
      <c r="C841" s="25" t="s">
        <v>980</v>
      </c>
      <c r="D841" s="25" t="s">
        <v>796</v>
      </c>
      <c r="E841" s="25" t="s">
        <v>44</v>
      </c>
      <c r="F841" s="25" t="s">
        <v>278</v>
      </c>
      <c r="G841" s="25" t="s">
        <v>867</v>
      </c>
      <c r="H841" s="26"/>
    </row>
    <row r="842">
      <c r="A842" s="16" t="s">
        <v>1178</v>
      </c>
      <c r="B842" s="27" t="s">
        <v>2570</v>
      </c>
      <c r="C842" s="27" t="s">
        <v>2265</v>
      </c>
      <c r="D842" s="27" t="s">
        <v>2265</v>
      </c>
      <c r="E842" s="27" t="s">
        <v>2265</v>
      </c>
      <c r="F842" s="27" t="s">
        <v>2265</v>
      </c>
      <c r="G842" s="27" t="s">
        <v>2570</v>
      </c>
      <c r="H842" s="26"/>
    </row>
    <row r="843">
      <c r="A843" s="16" t="s">
        <v>1181</v>
      </c>
      <c r="B843" s="28" t="s">
        <v>1703</v>
      </c>
      <c r="C843" s="28" t="s">
        <v>2530</v>
      </c>
      <c r="D843" s="28" t="s">
        <v>1882</v>
      </c>
      <c r="E843" s="28" t="s">
        <v>1247</v>
      </c>
      <c r="F843" s="28" t="s">
        <v>1847</v>
      </c>
      <c r="G843" s="28" t="s">
        <v>1295</v>
      </c>
      <c r="H843" s="26"/>
    </row>
    <row r="844">
      <c r="A844" s="16" t="s">
        <v>1182</v>
      </c>
      <c r="B844" s="21" t="s">
        <v>1849</v>
      </c>
      <c r="C844" s="21" t="s">
        <v>2381</v>
      </c>
      <c r="D844" s="21" t="s">
        <v>1368</v>
      </c>
      <c r="E844" s="21" t="s">
        <v>1851</v>
      </c>
      <c r="F844" s="21" t="s">
        <v>1667</v>
      </c>
      <c r="G844" s="21" t="s">
        <v>2100</v>
      </c>
      <c r="H844" s="26"/>
    </row>
    <row r="845">
      <c r="A845" s="16" t="s">
        <v>1186</v>
      </c>
      <c r="B845" s="28" t="s">
        <v>1754</v>
      </c>
      <c r="C845" s="28" t="s">
        <v>1269</v>
      </c>
      <c r="D845" s="28" t="s">
        <v>1269</v>
      </c>
      <c r="E845" s="28" t="s">
        <v>1256</v>
      </c>
      <c r="F845" s="28" t="s">
        <v>1257</v>
      </c>
      <c r="G845" s="28" t="s">
        <v>1284</v>
      </c>
      <c r="H845" s="26"/>
    </row>
    <row r="846">
      <c r="A846" s="20" t="s">
        <v>1188</v>
      </c>
      <c r="B846" s="21" t="s">
        <v>1852</v>
      </c>
      <c r="C846" s="21" t="s">
        <v>2382</v>
      </c>
      <c r="D846" s="21" t="s">
        <v>2268</v>
      </c>
      <c r="E846" s="21" t="s">
        <v>1852</v>
      </c>
      <c r="F846" s="21" t="s">
        <v>1731</v>
      </c>
      <c r="G846" s="21" t="s">
        <v>1272</v>
      </c>
      <c r="H846" s="26"/>
    </row>
    <row r="847">
      <c r="A847" s="29"/>
      <c r="B847" s="21" t="s">
        <v>2167</v>
      </c>
      <c r="C847" s="21" t="s">
        <v>2314</v>
      </c>
      <c r="D847" s="21" t="s">
        <v>1677</v>
      </c>
      <c r="E847" s="21" t="s">
        <v>1617</v>
      </c>
      <c r="F847" s="21" t="s">
        <v>1695</v>
      </c>
      <c r="G847" s="21" t="s">
        <v>1739</v>
      </c>
      <c r="H847" s="26"/>
    </row>
    <row r="848">
      <c r="A848" s="29"/>
      <c r="B848" s="21" t="s">
        <v>1251</v>
      </c>
      <c r="C848" s="21" t="s">
        <v>1468</v>
      </c>
      <c r="D848" s="21" t="s">
        <v>1662</v>
      </c>
      <c r="E848" s="21" t="s">
        <v>1652</v>
      </c>
      <c r="F848" s="21" t="s">
        <v>1698</v>
      </c>
      <c r="G848" s="21" t="s">
        <v>1890</v>
      </c>
      <c r="H848" s="26"/>
    </row>
    <row r="849">
      <c r="A849" s="24"/>
      <c r="B849" s="21" t="s">
        <v>1854</v>
      </c>
      <c r="C849" s="21" t="s">
        <v>1218</v>
      </c>
      <c r="D849" s="21" t="s">
        <v>1817</v>
      </c>
      <c r="E849" s="21" t="s">
        <v>1771</v>
      </c>
      <c r="F849" s="21" t="s">
        <v>1806</v>
      </c>
      <c r="G849" s="21" t="s">
        <v>2314</v>
      </c>
      <c r="H849" s="30"/>
      <c r="I849" s="14"/>
    </row>
    <row r="850">
      <c r="A850" s="16" t="s">
        <v>1174</v>
      </c>
      <c r="B850" s="17" t="s">
        <v>2646</v>
      </c>
      <c r="C850" s="18"/>
      <c r="D850" s="18"/>
      <c r="E850" s="18"/>
      <c r="F850" s="18"/>
      <c r="G850" s="18"/>
      <c r="H850" s="18"/>
      <c r="I850" s="19"/>
    </row>
    <row r="851" ht="60.0" customHeight="1">
      <c r="A851" s="20" t="s">
        <v>1176</v>
      </c>
      <c r="B851" s="21" t="str">
        <f t="array" ref="B851">iferror(VLOOKUP(INDIRECT(ADDRESS(ROW()+1,COLUMN(), 4)),Dex!$A$2:$C893,3,false),"")</f>
        <v/>
      </c>
      <c r="C851" s="21" t="str">
        <f t="array" ref="C851">iferror(VLOOKUP(INDIRECT(ADDRESS(ROW()+1,COLUMN(), 4)),Dex!$A$2:$C893,3,false),"")</f>
        <v/>
      </c>
      <c r="D851" s="21" t="str">
        <f t="array" ref="D851">iferror(VLOOKUP(INDIRECT(ADDRESS(ROW()+1,COLUMN(), 4)),Dex!$A$2:$C893,3,false),"")</f>
        <v/>
      </c>
      <c r="E851" s="21" t="str">
        <f t="array" ref="E851">iferror(VLOOKUP(INDIRECT(ADDRESS(ROW()+1,COLUMN(), 4)),Dex!$A$2:$C893,3,false),"")</f>
        <v/>
      </c>
      <c r="F851" s="21" t="str">
        <f t="array" ref="F851">iferror(VLOOKUP(INDIRECT(ADDRESS(ROW()+1,COLUMN(), 4)),Dex!$A$2:$C893,3,false),"")</f>
        <v/>
      </c>
      <c r="G851" s="21" t="s">
        <v>1177</v>
      </c>
      <c r="H851" s="22" t="str">
        <f t="array" ref="H851">iferror(VLOOKUP("TRAINER_PIC_LADY",Sprites!$A$1:$B893,2,false),"")</f>
        <v/>
      </c>
      <c r="I851" s="23"/>
    </row>
    <row r="852">
      <c r="A852" s="24"/>
      <c r="B852" s="25" t="s">
        <v>207</v>
      </c>
      <c r="C852" s="25" t="s">
        <v>735</v>
      </c>
      <c r="D852" s="25" t="s">
        <v>776</v>
      </c>
      <c r="E852" s="25" t="s">
        <v>992</v>
      </c>
      <c r="F852" s="25" t="s">
        <v>442</v>
      </c>
      <c r="G852" s="25" t="s">
        <v>1177</v>
      </c>
      <c r="H852" s="26"/>
    </row>
    <row r="853">
      <c r="A853" s="16" t="s">
        <v>1178</v>
      </c>
      <c r="B853" s="27" t="s">
        <v>2539</v>
      </c>
      <c r="C853" s="27" t="s">
        <v>2538</v>
      </c>
      <c r="D853" s="27" t="s">
        <v>2538</v>
      </c>
      <c r="E853" s="27" t="s">
        <v>2538</v>
      </c>
      <c r="F853" s="27" t="s">
        <v>2539</v>
      </c>
      <c r="G853" s="21" t="s">
        <v>1177</v>
      </c>
      <c r="H853" s="26"/>
    </row>
    <row r="854">
      <c r="A854" s="16" t="s">
        <v>1181</v>
      </c>
      <c r="B854" s="28" t="s">
        <v>1247</v>
      </c>
      <c r="C854" s="28" t="s">
        <v>2304</v>
      </c>
      <c r="D854" s="28" t="s">
        <v>1882</v>
      </c>
      <c r="E854" s="28" t="s">
        <v>1265</v>
      </c>
      <c r="F854" s="28" t="s">
        <v>1333</v>
      </c>
      <c r="G854" s="28" t="s">
        <v>1177</v>
      </c>
      <c r="H854" s="26"/>
    </row>
    <row r="855">
      <c r="A855" s="16" t="s">
        <v>1182</v>
      </c>
      <c r="B855" s="21" t="s">
        <v>1296</v>
      </c>
      <c r="C855" s="21" t="s">
        <v>1730</v>
      </c>
      <c r="D855" s="21" t="s">
        <v>1767</v>
      </c>
      <c r="E855" s="21" t="s">
        <v>1199</v>
      </c>
      <c r="F855" s="21" t="s">
        <v>2066</v>
      </c>
      <c r="G855" s="21" t="s">
        <v>1177</v>
      </c>
      <c r="H855" s="26"/>
    </row>
    <row r="856">
      <c r="A856" s="16" t="s">
        <v>1186</v>
      </c>
      <c r="B856" s="28" t="s">
        <v>1235</v>
      </c>
      <c r="C856" s="28" t="s">
        <v>1284</v>
      </c>
      <c r="D856" s="28" t="s">
        <v>1284</v>
      </c>
      <c r="E856" s="28" t="s">
        <v>1235</v>
      </c>
      <c r="F856" s="28" t="s">
        <v>1235</v>
      </c>
      <c r="G856" s="28" t="s">
        <v>1177</v>
      </c>
      <c r="H856" s="26"/>
    </row>
    <row r="857">
      <c r="A857" s="20" t="s">
        <v>1188</v>
      </c>
      <c r="B857" s="21" t="s">
        <v>1678</v>
      </c>
      <c r="C857" s="21" t="s">
        <v>1731</v>
      </c>
      <c r="D857" s="21" t="s">
        <v>1650</v>
      </c>
      <c r="E857" s="21" t="s">
        <v>1662</v>
      </c>
      <c r="F857" s="21" t="s">
        <v>1677</v>
      </c>
      <c r="G857" s="21" t="s">
        <v>1177</v>
      </c>
      <c r="H857" s="26"/>
    </row>
    <row r="858">
      <c r="A858" s="29"/>
      <c r="B858" s="21" t="s">
        <v>1760</v>
      </c>
      <c r="C858" s="21" t="s">
        <v>1724</v>
      </c>
      <c r="D858" s="21" t="s">
        <v>1878</v>
      </c>
      <c r="E858" s="21" t="s">
        <v>1609</v>
      </c>
      <c r="F858" s="21" t="s">
        <v>1834</v>
      </c>
      <c r="G858" s="21" t="s">
        <v>1177</v>
      </c>
      <c r="H858" s="26"/>
    </row>
    <row r="859">
      <c r="A859" s="29"/>
      <c r="B859" s="21" t="s">
        <v>2505</v>
      </c>
      <c r="C859" s="21" t="s">
        <v>1587</v>
      </c>
      <c r="D859" s="21" t="s">
        <v>1371</v>
      </c>
      <c r="E859" s="21" t="s">
        <v>1252</v>
      </c>
      <c r="F859" s="21" t="s">
        <v>1469</v>
      </c>
      <c r="G859" s="21" t="s">
        <v>1177</v>
      </c>
      <c r="H859" s="26"/>
    </row>
    <row r="860">
      <c r="A860" s="24"/>
      <c r="B860" s="21" t="s">
        <v>1705</v>
      </c>
      <c r="C860" s="21" t="s">
        <v>1311</v>
      </c>
      <c r="D860" s="21" t="s">
        <v>2026</v>
      </c>
      <c r="E860" s="21" t="s">
        <v>1836</v>
      </c>
      <c r="F860" s="21" t="s">
        <v>1915</v>
      </c>
      <c r="G860" s="21" t="s">
        <v>1177</v>
      </c>
      <c r="H860" s="30"/>
      <c r="I860" s="14"/>
    </row>
    <row r="861">
      <c r="A861" s="16" t="s">
        <v>1174</v>
      </c>
      <c r="B861" s="17" t="s">
        <v>2647</v>
      </c>
      <c r="C861" s="18"/>
      <c r="D861" s="18"/>
      <c r="E861" s="18"/>
      <c r="F861" s="18"/>
      <c r="G861" s="18"/>
      <c r="H861" s="18"/>
      <c r="I861" s="19"/>
    </row>
    <row r="862" ht="60.0" customHeight="1">
      <c r="A862" s="20" t="s">
        <v>1176</v>
      </c>
      <c r="B862" s="21" t="str">
        <f t="array" ref="B862">iferror(VLOOKUP(INDIRECT(ADDRESS(ROW()+1,COLUMN(), 4)),Dex!$A$2:$C893,3,false),"")</f>
        <v/>
      </c>
      <c r="C862" s="21" t="str">
        <f t="array" ref="C862">iferror(VLOOKUP(INDIRECT(ADDRESS(ROW()+1,COLUMN(), 4)),Dex!$A$2:$C893,3,false),"")</f>
        <v/>
      </c>
      <c r="D862" s="21" t="str">
        <f t="array" ref="D862">iferror(VLOOKUP(INDIRECT(ADDRESS(ROW()+1,COLUMN(), 4)),Dex!$A$2:$C893,3,false),"")</f>
        <v/>
      </c>
      <c r="E862" s="21" t="str">
        <f t="array" ref="E862">iferror(VLOOKUP(INDIRECT(ADDRESS(ROW()+1,COLUMN(), 4)),Dex!$A$2:$C893,3,false),"")</f>
        <v/>
      </c>
      <c r="F862" s="21" t="str">
        <f t="array" ref="F862">iferror(VLOOKUP(INDIRECT(ADDRESS(ROW()+1,COLUMN(), 4)),Dex!$A$2:$C893,3,false),"")</f>
        <v/>
      </c>
      <c r="G862" s="21" t="s">
        <v>1177</v>
      </c>
      <c r="H862" s="22" t="str">
        <f t="array" ref="H862">iferror(VLOOKUP("TRAINER_PIC_LASS",Sprites!$A$1:$B893,2,false),"")</f>
        <v/>
      </c>
      <c r="I862" s="23"/>
    </row>
    <row r="863">
      <c r="A863" s="24"/>
      <c r="B863" s="25" t="s">
        <v>774</v>
      </c>
      <c r="C863" s="25" t="s">
        <v>716</v>
      </c>
      <c r="D863" s="25" t="s">
        <v>588</v>
      </c>
      <c r="E863" s="25" t="s">
        <v>470</v>
      </c>
      <c r="F863" s="25" t="s">
        <v>773</v>
      </c>
      <c r="G863" s="25" t="s">
        <v>1177</v>
      </c>
      <c r="H863" s="26"/>
    </row>
    <row r="864">
      <c r="A864" s="16" t="s">
        <v>1178</v>
      </c>
      <c r="B864" s="27" t="s">
        <v>2265</v>
      </c>
      <c r="C864" s="27" t="s">
        <v>2539</v>
      </c>
      <c r="D864" s="27" t="s">
        <v>2538</v>
      </c>
      <c r="E864" s="27" t="s">
        <v>2539</v>
      </c>
      <c r="F864" s="27" t="s">
        <v>2539</v>
      </c>
      <c r="G864" s="21" t="s">
        <v>1177</v>
      </c>
      <c r="H864" s="26"/>
    </row>
    <row r="865">
      <c r="A865" s="16" t="s">
        <v>1181</v>
      </c>
      <c r="B865" s="28" t="s">
        <v>1898</v>
      </c>
      <c r="C865" s="28" t="s">
        <v>1701</v>
      </c>
      <c r="D865" s="28" t="s">
        <v>1460</v>
      </c>
      <c r="E865" s="28" t="s">
        <v>1295</v>
      </c>
      <c r="F865" s="28" t="s">
        <v>1961</v>
      </c>
      <c r="G865" s="28" t="s">
        <v>1177</v>
      </c>
      <c r="H865" s="26"/>
    </row>
    <row r="866">
      <c r="A866" s="16" t="s">
        <v>1182</v>
      </c>
      <c r="B866" s="21" t="s">
        <v>1368</v>
      </c>
      <c r="C866" s="21" t="s">
        <v>1604</v>
      </c>
      <c r="D866" s="21" t="s">
        <v>1184</v>
      </c>
      <c r="E866" s="21" t="s">
        <v>1596</v>
      </c>
      <c r="F866" s="21" t="s">
        <v>2053</v>
      </c>
      <c r="G866" s="21" t="s">
        <v>1177</v>
      </c>
      <c r="H866" s="26"/>
    </row>
    <row r="867">
      <c r="A867" s="16" t="s">
        <v>1186</v>
      </c>
      <c r="B867" s="28" t="s">
        <v>1269</v>
      </c>
      <c r="C867" s="28" t="s">
        <v>1284</v>
      </c>
      <c r="D867" s="28" t="s">
        <v>1284</v>
      </c>
      <c r="E867" s="28" t="s">
        <v>1284</v>
      </c>
      <c r="F867" s="28" t="s">
        <v>1235</v>
      </c>
      <c r="G867" s="28" t="s">
        <v>1177</v>
      </c>
      <c r="H867" s="26"/>
    </row>
    <row r="868">
      <c r="A868" s="20" t="s">
        <v>1188</v>
      </c>
      <c r="B868" s="21" t="s">
        <v>2054</v>
      </c>
      <c r="C868" s="21" t="s">
        <v>1619</v>
      </c>
      <c r="D868" s="21" t="s">
        <v>1724</v>
      </c>
      <c r="E868" s="21" t="s">
        <v>2054</v>
      </c>
      <c r="F868" s="21" t="s">
        <v>2068</v>
      </c>
      <c r="G868" s="21" t="s">
        <v>1177</v>
      </c>
      <c r="H868" s="26"/>
    </row>
    <row r="869">
      <c r="A869" s="29"/>
      <c r="B869" s="21" t="s">
        <v>1835</v>
      </c>
      <c r="C869" s="21" t="s">
        <v>1711</v>
      </c>
      <c r="D869" s="21" t="s">
        <v>1878</v>
      </c>
      <c r="E869" s="21" t="s">
        <v>1695</v>
      </c>
      <c r="F869" s="21" t="s">
        <v>1760</v>
      </c>
      <c r="G869" s="21" t="s">
        <v>1177</v>
      </c>
      <c r="H869" s="26"/>
    </row>
    <row r="870">
      <c r="A870" s="29"/>
      <c r="B870" s="21" t="s">
        <v>1830</v>
      </c>
      <c r="C870" s="21" t="s">
        <v>1698</v>
      </c>
      <c r="D870" s="21" t="s">
        <v>2022</v>
      </c>
      <c r="E870" s="21" t="s">
        <v>1835</v>
      </c>
      <c r="F870" s="21" t="s">
        <v>1759</v>
      </c>
      <c r="G870" s="21" t="s">
        <v>1177</v>
      </c>
      <c r="H870" s="26"/>
    </row>
    <row r="871">
      <c r="A871" s="24"/>
      <c r="B871" s="21" t="s">
        <v>2306</v>
      </c>
      <c r="C871" s="21" t="s">
        <v>1377</v>
      </c>
      <c r="D871" s="21" t="s">
        <v>1743</v>
      </c>
      <c r="E871" s="21" t="s">
        <v>1959</v>
      </c>
      <c r="F871" s="21" t="s">
        <v>1641</v>
      </c>
      <c r="G871" s="21" t="s">
        <v>1177</v>
      </c>
      <c r="H871" s="30"/>
      <c r="I871" s="14"/>
    </row>
    <row r="872">
      <c r="A872" s="16" t="s">
        <v>1174</v>
      </c>
      <c r="B872" s="17" t="s">
        <v>2648</v>
      </c>
      <c r="C872" s="18"/>
      <c r="D872" s="18"/>
      <c r="E872" s="18"/>
      <c r="F872" s="18"/>
      <c r="G872" s="18"/>
      <c r="H872" s="18"/>
      <c r="I872" s="19"/>
    </row>
    <row r="873" ht="60.0" customHeight="1">
      <c r="A873" s="20" t="s">
        <v>1176</v>
      </c>
      <c r="B873" s="21" t="str">
        <f t="array" ref="B873">iferror(VLOOKUP(INDIRECT(ADDRESS(ROW()+1,COLUMN(), 4)),Dex!$A$2:$C893,3,false),"")</f>
        <v/>
      </c>
      <c r="C873" s="21" t="str">
        <f t="array" ref="C873">iferror(VLOOKUP(INDIRECT(ADDRESS(ROW()+1,COLUMN(), 4)),Dex!$A$2:$C893,3,false),"")</f>
        <v/>
      </c>
      <c r="D873" s="21" t="str">
        <f t="array" ref="D873">iferror(VLOOKUP(INDIRECT(ADDRESS(ROW()+1,COLUMN(), 4)),Dex!$A$2:$C893,3,false),"")</f>
        <v/>
      </c>
      <c r="E873" s="21" t="str">
        <f t="array" ref="E873">iferror(VLOOKUP(INDIRECT(ADDRESS(ROW()+1,COLUMN(), 4)),Dex!$A$2:$C893,3,false),"")</f>
        <v/>
      </c>
      <c r="F873" s="21" t="str">
        <f t="array" ref="F873">iferror(VLOOKUP(INDIRECT(ADDRESS(ROW()+1,COLUMN(), 4)),Dex!$A$2:$C893,3,false),"")</f>
        <v/>
      </c>
      <c r="G873" s="21" t="str">
        <f t="array" ref="G873">iferror(VLOOKUP(INDIRECT(ADDRESS(ROW()+1,COLUMN(), 4)),Dex!$A$2:$C893,3,false),"")</f>
        <v/>
      </c>
      <c r="H873" s="22" t="str">
        <f t="array" ref="H873">iferror(VLOOKUP("TRAINER_PIC_BEAUTY",Sprites!$A$1:$B893,2,false),"")</f>
        <v/>
      </c>
      <c r="I873" s="23"/>
    </row>
    <row r="874">
      <c r="A874" s="24"/>
      <c r="B874" s="25" t="s">
        <v>510</v>
      </c>
      <c r="C874" s="25" t="s">
        <v>1001</v>
      </c>
      <c r="D874" s="25" t="s">
        <v>595</v>
      </c>
      <c r="E874" s="25" t="s">
        <v>1109</v>
      </c>
      <c r="F874" s="25" t="s">
        <v>791</v>
      </c>
      <c r="G874" s="25" t="s">
        <v>1131</v>
      </c>
      <c r="H874" s="26"/>
    </row>
    <row r="875">
      <c r="A875" s="16" t="s">
        <v>1178</v>
      </c>
      <c r="B875" s="27" t="s">
        <v>2265</v>
      </c>
      <c r="C875" s="27" t="s">
        <v>2539</v>
      </c>
      <c r="D875" s="27" t="s">
        <v>2265</v>
      </c>
      <c r="E875" s="27" t="s">
        <v>2265</v>
      </c>
      <c r="F875" s="27" t="s">
        <v>2539</v>
      </c>
      <c r="G875" s="27" t="s">
        <v>2265</v>
      </c>
      <c r="H875" s="26"/>
    </row>
    <row r="876">
      <c r="A876" s="16" t="s">
        <v>1181</v>
      </c>
      <c r="B876" s="28" t="s">
        <v>2051</v>
      </c>
      <c r="C876" s="28" t="s">
        <v>2487</v>
      </c>
      <c r="D876" s="28" t="s">
        <v>1247</v>
      </c>
      <c r="E876" s="28" t="s">
        <v>1247</v>
      </c>
      <c r="F876" s="28" t="s">
        <v>1391</v>
      </c>
      <c r="G876" s="28" t="s">
        <v>1962</v>
      </c>
      <c r="H876" s="26"/>
    </row>
    <row r="877">
      <c r="A877" s="16" t="s">
        <v>1182</v>
      </c>
      <c r="B877" s="21" t="s">
        <v>1648</v>
      </c>
      <c r="C877" s="21" t="s">
        <v>1445</v>
      </c>
      <c r="D877" s="21" t="s">
        <v>2066</v>
      </c>
      <c r="E877" s="21" t="s">
        <v>1596</v>
      </c>
      <c r="F877" s="21" t="s">
        <v>1445</v>
      </c>
      <c r="G877" s="21" t="s">
        <v>1462</v>
      </c>
      <c r="H877" s="26"/>
    </row>
    <row r="878">
      <c r="A878" s="16" t="s">
        <v>1186</v>
      </c>
      <c r="B878" s="28" t="s">
        <v>1284</v>
      </c>
      <c r="C878" s="28" t="s">
        <v>1284</v>
      </c>
      <c r="D878" s="28" t="s">
        <v>1249</v>
      </c>
      <c r="E878" s="28" t="s">
        <v>1284</v>
      </c>
      <c r="F878" s="28" t="s">
        <v>1284</v>
      </c>
      <c r="G878" s="28" t="s">
        <v>1269</v>
      </c>
      <c r="H878" s="26"/>
    </row>
    <row r="879">
      <c r="A879" s="20" t="s">
        <v>1188</v>
      </c>
      <c r="B879" s="21" t="s">
        <v>1251</v>
      </c>
      <c r="C879" s="21" t="s">
        <v>2649</v>
      </c>
      <c r="D879" s="21" t="s">
        <v>2054</v>
      </c>
      <c r="E879" s="21" t="s">
        <v>2054</v>
      </c>
      <c r="F879" s="21" t="s">
        <v>1732</v>
      </c>
      <c r="G879" s="21" t="s">
        <v>2054</v>
      </c>
      <c r="H879" s="26"/>
    </row>
    <row r="880">
      <c r="A880" s="29"/>
      <c r="B880" s="21" t="s">
        <v>1723</v>
      </c>
      <c r="C880" s="21" t="s">
        <v>1739</v>
      </c>
      <c r="D880" s="21" t="s">
        <v>1779</v>
      </c>
      <c r="E880" s="21" t="s">
        <v>1731</v>
      </c>
      <c r="F880" s="21" t="s">
        <v>1890</v>
      </c>
      <c r="G880" s="21" t="s">
        <v>2418</v>
      </c>
      <c r="H880" s="26"/>
    </row>
    <row r="881">
      <c r="A881" s="29"/>
      <c r="B881" s="21" t="s">
        <v>1652</v>
      </c>
      <c r="C881" s="21" t="s">
        <v>1723</v>
      </c>
      <c r="D881" s="21" t="s">
        <v>1835</v>
      </c>
      <c r="E881" s="21" t="s">
        <v>1621</v>
      </c>
      <c r="F881" s="21" t="s">
        <v>1591</v>
      </c>
      <c r="G881" s="21" t="s">
        <v>1835</v>
      </c>
      <c r="H881" s="26"/>
    </row>
    <row r="882">
      <c r="A882" s="24"/>
      <c r="B882" s="21" t="s">
        <v>1780</v>
      </c>
      <c r="C882" s="21" t="s">
        <v>1389</v>
      </c>
      <c r="D882" s="21" t="s">
        <v>1651</v>
      </c>
      <c r="E882" s="21" t="s">
        <v>1225</v>
      </c>
      <c r="F882" s="21" t="s">
        <v>1944</v>
      </c>
      <c r="G882" s="21" t="s">
        <v>1678</v>
      </c>
      <c r="H882" s="30"/>
      <c r="I882" s="14"/>
    </row>
    <row r="883">
      <c r="A883" s="16" t="s">
        <v>1174</v>
      </c>
      <c r="B883" s="17" t="s">
        <v>2650</v>
      </c>
      <c r="C883" s="18"/>
      <c r="D883" s="18"/>
      <c r="E883" s="18"/>
      <c r="F883" s="18"/>
      <c r="G883" s="18"/>
      <c r="H883" s="18"/>
      <c r="I883" s="16"/>
    </row>
    <row r="884" ht="60.0" customHeight="1">
      <c r="A884" s="20" t="s">
        <v>1176</v>
      </c>
      <c r="B884" s="21" t="str">
        <f t="array" ref="B884">iferror(VLOOKUP(INDIRECT(ADDRESS(ROW()+1,COLUMN(), 4)),Dex!$A$2:$C893,3,false),"")</f>
        <v/>
      </c>
      <c r="C884" s="21" t="str">
        <f t="array" ref="C884">iferror(VLOOKUP(INDIRECT(ADDRESS(ROW()+1,COLUMN(), 4)),Dex!$A$2:$C893,3,false),"")</f>
        <v/>
      </c>
      <c r="D884" s="21" t="str">
        <f t="array" ref="D884">iferror(VLOOKUP(INDIRECT(ADDRESS(ROW()+1,COLUMN(), 4)),Dex!$A$2:$C893,3,false),"")</f>
        <v/>
      </c>
      <c r="E884" s="21" t="str">
        <f t="array" ref="E884">iferror(VLOOKUP(INDIRECT(ADDRESS(ROW()+1,COLUMN(), 4)),Dex!$A$2:$C893,3,false),"")</f>
        <v/>
      </c>
      <c r="F884" s="21" t="str">
        <f t="array" ref="F884">iferror(VLOOKUP(INDIRECT(ADDRESS(ROW()+1,COLUMN(), 4)),Dex!$A$2:$C893,3,false),"")</f>
        <v/>
      </c>
      <c r="G884" s="21" t="str">
        <f t="array" ref="G884">iferror(VLOOKUP(INDIRECT(ADDRESS(ROW()+1,COLUMN(), 4)),Dex!$A$2:$C893,3,false),"")</f>
        <v/>
      </c>
      <c r="H884" s="22" t="str">
        <f t="array" ref="H884">iferror(VLOOKUP("TRAINER_PIC_LEADER_JUAN",Sprites!$A$1:$B893,2,false),"")</f>
        <v/>
      </c>
      <c r="I884" s="23"/>
    </row>
    <row r="885">
      <c r="A885" s="24"/>
      <c r="B885" s="25" t="s">
        <v>1168</v>
      </c>
      <c r="C885" s="25" t="s">
        <v>467</v>
      </c>
      <c r="D885" s="25" t="s">
        <v>816</v>
      </c>
      <c r="E885" s="25" t="s">
        <v>478</v>
      </c>
      <c r="F885" s="25" t="s">
        <v>1166</v>
      </c>
      <c r="G885" s="25" t="s">
        <v>1158</v>
      </c>
      <c r="H885" s="26"/>
    </row>
    <row r="886">
      <c r="A886" s="16" t="s">
        <v>1178</v>
      </c>
      <c r="B886" s="27" t="s">
        <v>2570</v>
      </c>
      <c r="C886" s="27" t="s">
        <v>2651</v>
      </c>
      <c r="D886" s="27" t="s">
        <v>2652</v>
      </c>
      <c r="E886" s="27" t="s">
        <v>2570</v>
      </c>
      <c r="F886" s="27" t="s">
        <v>2652</v>
      </c>
      <c r="G886" s="27" t="s">
        <v>2652</v>
      </c>
      <c r="H886" s="26"/>
    </row>
    <row r="887">
      <c r="A887" s="16" t="s">
        <v>1181</v>
      </c>
      <c r="B887" s="28" t="s">
        <v>1247</v>
      </c>
      <c r="C887" s="28" t="s">
        <v>2653</v>
      </c>
      <c r="D887" s="28" t="s">
        <v>1209</v>
      </c>
      <c r="E887" s="28" t="s">
        <v>1581</v>
      </c>
      <c r="F887" s="28" t="s">
        <v>1962</v>
      </c>
      <c r="G887" s="28" t="s">
        <v>1838</v>
      </c>
      <c r="H887" s="26"/>
    </row>
    <row r="888">
      <c r="A888" s="16" t="s">
        <v>1182</v>
      </c>
      <c r="B888" s="21" t="s">
        <v>1267</v>
      </c>
      <c r="C888" s="21" t="s">
        <v>1709</v>
      </c>
      <c r="D888" s="21" t="s">
        <v>2654</v>
      </c>
      <c r="E888" s="21" t="s">
        <v>1298</v>
      </c>
      <c r="F888" s="21" t="s">
        <v>2082</v>
      </c>
      <c r="G888" s="21" t="s">
        <v>2655</v>
      </c>
      <c r="H888" s="26"/>
    </row>
    <row r="889">
      <c r="A889" s="16" t="s">
        <v>1186</v>
      </c>
      <c r="B889" s="28" t="s">
        <v>1235</v>
      </c>
      <c r="C889" s="28" t="s">
        <v>1249</v>
      </c>
      <c r="D889" s="28" t="s">
        <v>1284</v>
      </c>
      <c r="E889" s="28" t="s">
        <v>1249</v>
      </c>
      <c r="F889" s="28" t="s">
        <v>1235</v>
      </c>
      <c r="G889" s="28" t="s">
        <v>1235</v>
      </c>
      <c r="H889" s="26"/>
    </row>
    <row r="890">
      <c r="A890" s="20" t="s">
        <v>1188</v>
      </c>
      <c r="B890" s="21" t="s">
        <v>1874</v>
      </c>
      <c r="C890" s="21" t="s">
        <v>2054</v>
      </c>
      <c r="D890" s="21" t="s">
        <v>1251</v>
      </c>
      <c r="E890" s="21" t="s">
        <v>2039</v>
      </c>
      <c r="F890" s="21" t="s">
        <v>1817</v>
      </c>
      <c r="G890" s="21" t="s">
        <v>2656</v>
      </c>
      <c r="H890" s="26"/>
    </row>
    <row r="891">
      <c r="A891" s="29"/>
      <c r="B891" s="21" t="s">
        <v>1749</v>
      </c>
      <c r="C891" s="21" t="s">
        <v>1835</v>
      </c>
      <c r="D891" s="21" t="s">
        <v>2657</v>
      </c>
      <c r="E891" s="21" t="s">
        <v>1415</v>
      </c>
      <c r="F891" s="21" t="s">
        <v>2658</v>
      </c>
      <c r="G891" s="21" t="s">
        <v>1779</v>
      </c>
      <c r="H891" s="26"/>
    </row>
    <row r="892">
      <c r="A892" s="29"/>
      <c r="B892" s="21" t="s">
        <v>1621</v>
      </c>
      <c r="C892" s="21" t="s">
        <v>1738</v>
      </c>
      <c r="D892" s="21" t="s">
        <v>1793</v>
      </c>
      <c r="E892" s="21" t="s">
        <v>2104</v>
      </c>
      <c r="F892" s="21" t="s">
        <v>1236</v>
      </c>
      <c r="G892" s="21" t="s">
        <v>1804</v>
      </c>
      <c r="H892" s="26"/>
    </row>
    <row r="893">
      <c r="A893" s="24"/>
      <c r="B893" s="21" t="s">
        <v>1225</v>
      </c>
      <c r="C893" s="21" t="s">
        <v>1389</v>
      </c>
      <c r="D893" s="21" t="s">
        <v>2349</v>
      </c>
      <c r="E893" s="21" t="s">
        <v>1944</v>
      </c>
      <c r="F893" s="21" t="s">
        <v>1389</v>
      </c>
      <c r="G893" s="21" t="s">
        <v>1432</v>
      </c>
      <c r="H893" s="30"/>
      <c r="I893" s="14"/>
    </row>
  </sheetData>
  <mergeCells count="333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3:A104"/>
    <mergeCell ref="A109:A112"/>
    <mergeCell ref="A115:A116"/>
    <mergeCell ref="A121:A124"/>
    <mergeCell ref="A126:A127"/>
    <mergeCell ref="A132:A135"/>
    <mergeCell ref="A137:A138"/>
    <mergeCell ref="A143:A146"/>
    <mergeCell ref="A148:A149"/>
    <mergeCell ref="A154:A157"/>
    <mergeCell ref="A159:A160"/>
    <mergeCell ref="A165:A168"/>
    <mergeCell ref="A170:A171"/>
    <mergeCell ref="A176:A179"/>
    <mergeCell ref="A181:A182"/>
    <mergeCell ref="A187:A190"/>
    <mergeCell ref="A192:A193"/>
    <mergeCell ref="A198:A201"/>
    <mergeCell ref="A204:A205"/>
    <mergeCell ref="A210:A213"/>
    <mergeCell ref="A215:A216"/>
    <mergeCell ref="A221:A224"/>
    <mergeCell ref="A226:A227"/>
    <mergeCell ref="A232:A235"/>
    <mergeCell ref="A237:A238"/>
    <mergeCell ref="A243:A246"/>
    <mergeCell ref="A315:A316"/>
    <mergeCell ref="A327:A328"/>
    <mergeCell ref="A338:A339"/>
    <mergeCell ref="A349:A350"/>
    <mergeCell ref="A360:A361"/>
    <mergeCell ref="A371:A372"/>
    <mergeCell ref="A382:A383"/>
    <mergeCell ref="A393:A394"/>
    <mergeCell ref="A248:A249"/>
    <mergeCell ref="A254:A257"/>
    <mergeCell ref="A260:A261"/>
    <mergeCell ref="A271:A272"/>
    <mergeCell ref="A282:A283"/>
    <mergeCell ref="A293:A294"/>
    <mergeCell ref="A304:A305"/>
    <mergeCell ref="H248:I257"/>
    <mergeCell ref="H260:I269"/>
    <mergeCell ref="H271:I280"/>
    <mergeCell ref="H282:I291"/>
    <mergeCell ref="B236:H236"/>
    <mergeCell ref="B247:H247"/>
    <mergeCell ref="B258:H258"/>
    <mergeCell ref="B259:H259"/>
    <mergeCell ref="A266:A269"/>
    <mergeCell ref="B270:H270"/>
    <mergeCell ref="B281:H281"/>
    <mergeCell ref="A277:A280"/>
    <mergeCell ref="A288:A291"/>
    <mergeCell ref="B292:H292"/>
    <mergeCell ref="H293:I302"/>
    <mergeCell ref="A299:A302"/>
    <mergeCell ref="B303:H303"/>
    <mergeCell ref="H304:I313"/>
    <mergeCell ref="A310:A313"/>
    <mergeCell ref="B314:H314"/>
    <mergeCell ref="H315:I324"/>
    <mergeCell ref="A321:A324"/>
    <mergeCell ref="B325:H325"/>
    <mergeCell ref="B326:H326"/>
    <mergeCell ref="H327:I336"/>
    <mergeCell ref="H349:I358"/>
    <mergeCell ref="H360:I369"/>
    <mergeCell ref="A333:A336"/>
    <mergeCell ref="B337:H337"/>
    <mergeCell ref="H338:I347"/>
    <mergeCell ref="A344:A347"/>
    <mergeCell ref="B348:H348"/>
    <mergeCell ref="A355:A358"/>
    <mergeCell ref="B359:H359"/>
    <mergeCell ref="H382:I391"/>
    <mergeCell ref="H393:I402"/>
    <mergeCell ref="A366:A369"/>
    <mergeCell ref="B370:H370"/>
    <mergeCell ref="H371:I380"/>
    <mergeCell ref="A377:A380"/>
    <mergeCell ref="B381:H381"/>
    <mergeCell ref="A388:A391"/>
    <mergeCell ref="B392:H392"/>
    <mergeCell ref="B650:H650"/>
    <mergeCell ref="B661:H661"/>
    <mergeCell ref="B583:H583"/>
    <mergeCell ref="B594:H594"/>
    <mergeCell ref="B605:H605"/>
    <mergeCell ref="B616:H616"/>
    <mergeCell ref="B627:H627"/>
    <mergeCell ref="B638:H638"/>
    <mergeCell ref="B639:H639"/>
    <mergeCell ref="H673:I682"/>
    <mergeCell ref="H684:I693"/>
    <mergeCell ref="H696:I705"/>
    <mergeCell ref="H707:I716"/>
    <mergeCell ref="H718:I727"/>
    <mergeCell ref="H729:I738"/>
    <mergeCell ref="H740:I749"/>
    <mergeCell ref="H829:I838"/>
    <mergeCell ref="H840:I849"/>
    <mergeCell ref="H851:I860"/>
    <mergeCell ref="H862:I871"/>
    <mergeCell ref="H873:I882"/>
    <mergeCell ref="H884:I893"/>
    <mergeCell ref="H751:I760"/>
    <mergeCell ref="H762:I771"/>
    <mergeCell ref="H773:I782"/>
    <mergeCell ref="H784:I793"/>
    <mergeCell ref="H796:I805"/>
    <mergeCell ref="H807:I816"/>
    <mergeCell ref="H818:I827"/>
    <mergeCell ref="A729:A730"/>
    <mergeCell ref="A735:A738"/>
    <mergeCell ref="A740:A741"/>
    <mergeCell ref="A746:A749"/>
    <mergeCell ref="A751:A752"/>
    <mergeCell ref="A757:A760"/>
    <mergeCell ref="A762:A763"/>
    <mergeCell ref="B717:H717"/>
    <mergeCell ref="B728:H728"/>
    <mergeCell ref="B739:H739"/>
    <mergeCell ref="B750:H750"/>
    <mergeCell ref="B761:H761"/>
    <mergeCell ref="B772:H772"/>
    <mergeCell ref="B783:H783"/>
    <mergeCell ref="A768:A771"/>
    <mergeCell ref="A773:A774"/>
    <mergeCell ref="A779:A782"/>
    <mergeCell ref="A784:A785"/>
    <mergeCell ref="A790:A793"/>
    <mergeCell ref="A796:A797"/>
    <mergeCell ref="A802:A805"/>
    <mergeCell ref="A857:A860"/>
    <mergeCell ref="A862:A863"/>
    <mergeCell ref="A868:A871"/>
    <mergeCell ref="A873:A874"/>
    <mergeCell ref="A879:A882"/>
    <mergeCell ref="A884:A885"/>
    <mergeCell ref="A890:A893"/>
    <mergeCell ref="A807:A808"/>
    <mergeCell ref="A813:A816"/>
    <mergeCell ref="A818:A819"/>
    <mergeCell ref="A824:A827"/>
    <mergeCell ref="A829:A830"/>
    <mergeCell ref="A835:A838"/>
    <mergeCell ref="A840:A841"/>
    <mergeCell ref="B482:H482"/>
    <mergeCell ref="B483:H483"/>
    <mergeCell ref="A484:A485"/>
    <mergeCell ref="H484:I493"/>
    <mergeCell ref="A490:A493"/>
    <mergeCell ref="B494:H494"/>
    <mergeCell ref="B505:H505"/>
    <mergeCell ref="A495:A496"/>
    <mergeCell ref="A501:A504"/>
    <mergeCell ref="A506:A507"/>
    <mergeCell ref="A512:A515"/>
    <mergeCell ref="A517:A518"/>
    <mergeCell ref="A523:A526"/>
    <mergeCell ref="A529:A530"/>
    <mergeCell ref="B516:H516"/>
    <mergeCell ref="B527:H527"/>
    <mergeCell ref="B528:H528"/>
    <mergeCell ref="B539:H539"/>
    <mergeCell ref="B550:H550"/>
    <mergeCell ref="B561:H561"/>
    <mergeCell ref="B572:H572"/>
    <mergeCell ref="A612:A615"/>
    <mergeCell ref="A617:A618"/>
    <mergeCell ref="A623:A626"/>
    <mergeCell ref="A628:A629"/>
    <mergeCell ref="A634:A637"/>
    <mergeCell ref="A640:A641"/>
    <mergeCell ref="A646:A649"/>
    <mergeCell ref="A690:A693"/>
    <mergeCell ref="A696:A697"/>
    <mergeCell ref="A702:A705"/>
    <mergeCell ref="A707:A708"/>
    <mergeCell ref="A713:A716"/>
    <mergeCell ref="A718:A719"/>
    <mergeCell ref="A724:A727"/>
    <mergeCell ref="A846:A849"/>
    <mergeCell ref="A851:A852"/>
    <mergeCell ref="B861:H861"/>
    <mergeCell ref="B872:H872"/>
    <mergeCell ref="B883:H883"/>
    <mergeCell ref="B794:H794"/>
    <mergeCell ref="B795:H795"/>
    <mergeCell ref="B806:H806"/>
    <mergeCell ref="B817:H817"/>
    <mergeCell ref="B828:H828"/>
    <mergeCell ref="B839:H839"/>
    <mergeCell ref="B850:H850"/>
    <mergeCell ref="B35:H35"/>
    <mergeCell ref="B46:H46"/>
    <mergeCell ref="B57:H57"/>
    <mergeCell ref="B68:H68"/>
    <mergeCell ref="B79:H79"/>
    <mergeCell ref="B90:H90"/>
    <mergeCell ref="B101:H101"/>
    <mergeCell ref="B102:H102"/>
    <mergeCell ref="B113:H113"/>
    <mergeCell ref="B114:H114"/>
    <mergeCell ref="B125:H125"/>
    <mergeCell ref="B136:H136"/>
    <mergeCell ref="B147:H147"/>
    <mergeCell ref="B158:H158"/>
    <mergeCell ref="A422:A425"/>
    <mergeCell ref="B426:H426"/>
    <mergeCell ref="A427:A428"/>
    <mergeCell ref="A399:A402"/>
    <mergeCell ref="B403:H403"/>
    <mergeCell ref="B404:H404"/>
    <mergeCell ref="A405:A406"/>
    <mergeCell ref="A411:A414"/>
    <mergeCell ref="B415:H415"/>
    <mergeCell ref="A416:A417"/>
    <mergeCell ref="H405:I414"/>
    <mergeCell ref="H416:I425"/>
    <mergeCell ref="H427:I436"/>
    <mergeCell ref="A433:A436"/>
    <mergeCell ref="B437:H437"/>
    <mergeCell ref="A438:A439"/>
    <mergeCell ref="H438:I447"/>
    <mergeCell ref="A444:A447"/>
    <mergeCell ref="B448:H448"/>
    <mergeCell ref="B449:H449"/>
    <mergeCell ref="A450:A451"/>
    <mergeCell ref="A456:A459"/>
    <mergeCell ref="B460:H460"/>
    <mergeCell ref="A461:A462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H91:I100"/>
    <mergeCell ref="H103:I112"/>
    <mergeCell ref="H115:I124"/>
    <mergeCell ref="H126:I135"/>
    <mergeCell ref="H137:I146"/>
    <mergeCell ref="H148:I157"/>
    <mergeCell ref="H159:I168"/>
    <mergeCell ref="B169:H169"/>
    <mergeCell ref="B180:H180"/>
    <mergeCell ref="B191:H191"/>
    <mergeCell ref="B202:H202"/>
    <mergeCell ref="B203:H203"/>
    <mergeCell ref="B214:H214"/>
    <mergeCell ref="B225:H225"/>
    <mergeCell ref="H170:I179"/>
    <mergeCell ref="H181:I190"/>
    <mergeCell ref="H192:I201"/>
    <mergeCell ref="H204:I213"/>
    <mergeCell ref="H215:I224"/>
    <mergeCell ref="H226:I235"/>
    <mergeCell ref="H237:I246"/>
    <mergeCell ref="H450:I459"/>
    <mergeCell ref="H461:I470"/>
    <mergeCell ref="A467:A470"/>
    <mergeCell ref="B471:H471"/>
    <mergeCell ref="A472:A473"/>
    <mergeCell ref="H472:I481"/>
    <mergeCell ref="A478:A481"/>
    <mergeCell ref="A535:A538"/>
    <mergeCell ref="A540:A541"/>
    <mergeCell ref="A546:A549"/>
    <mergeCell ref="A551:A552"/>
    <mergeCell ref="A557:A560"/>
    <mergeCell ref="A562:A563"/>
    <mergeCell ref="A568:A571"/>
    <mergeCell ref="A573:A574"/>
    <mergeCell ref="A579:A582"/>
    <mergeCell ref="A584:A585"/>
    <mergeCell ref="A590:A593"/>
    <mergeCell ref="A595:A596"/>
    <mergeCell ref="A601:A604"/>
    <mergeCell ref="A606:A607"/>
    <mergeCell ref="H495:I504"/>
    <mergeCell ref="H506:I515"/>
    <mergeCell ref="H517:I526"/>
    <mergeCell ref="H529:I538"/>
    <mergeCell ref="H540:I549"/>
    <mergeCell ref="H551:I560"/>
    <mergeCell ref="H562:I571"/>
    <mergeCell ref="H573:I582"/>
    <mergeCell ref="H584:I593"/>
    <mergeCell ref="H595:I604"/>
    <mergeCell ref="H606:I615"/>
    <mergeCell ref="H617:I626"/>
    <mergeCell ref="H628:I637"/>
    <mergeCell ref="H640:I649"/>
    <mergeCell ref="A651:A652"/>
    <mergeCell ref="A657:A660"/>
    <mergeCell ref="A662:A663"/>
    <mergeCell ref="A668:A671"/>
    <mergeCell ref="A673:A674"/>
    <mergeCell ref="A679:A682"/>
    <mergeCell ref="A684:A685"/>
    <mergeCell ref="H651:I660"/>
    <mergeCell ref="H662:I671"/>
    <mergeCell ref="B672:H672"/>
    <mergeCell ref="B683:H683"/>
    <mergeCell ref="B694:H694"/>
    <mergeCell ref="B695:H695"/>
    <mergeCell ref="B706:H706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37"/>
      <c r="B1" s="38" t="s">
        <v>2659</v>
      </c>
      <c r="C1" s="14"/>
      <c r="D1" s="14"/>
      <c r="E1" s="14"/>
      <c r="F1" s="14"/>
      <c r="G1" s="14"/>
      <c r="H1" s="24"/>
      <c r="I1" s="33"/>
    </row>
    <row r="2">
      <c r="A2" s="16" t="s">
        <v>1174</v>
      </c>
      <c r="B2" s="17" t="s">
        <v>1842</v>
      </c>
      <c r="C2" s="18"/>
      <c r="D2" s="18"/>
      <c r="E2" s="18"/>
      <c r="F2" s="18"/>
      <c r="G2" s="18"/>
      <c r="H2" s="18"/>
      <c r="I2" s="16"/>
    </row>
    <row r="3" ht="60.0" customHeight="1">
      <c r="A3" s="20" t="s">
        <v>1176</v>
      </c>
      <c r="B3" s="21" t="str">
        <f t="array" ref="B3">iferror(VLOOKUP(INDIRECT(ADDRESS(ROW()+1,COLUMN(), 4)),Dex!$A$2:$C367,3,false),"")</f>
        <v/>
      </c>
      <c r="C3" s="21" t="str">
        <f t="array" ref="C3">iferror(VLOOKUP(INDIRECT(ADDRESS(ROW()+1,COLUMN(), 4)),Dex!$A$2:$C367,3,false),"")</f>
        <v/>
      </c>
      <c r="D3" s="21" t="str">
        <f t="array" ref="D3">iferror(VLOOKUP(INDIRECT(ADDRESS(ROW()+1,COLUMN(), 4)),Dex!$A$2:$C367,3,false),"")</f>
        <v/>
      </c>
      <c r="E3" s="21" t="str">
        <f t="array" ref="E3">iferror(VLOOKUP(INDIRECT(ADDRESS(ROW()+1,COLUMN(), 4)),Dex!$A$2:$C367,3,false),"")</f>
        <v/>
      </c>
      <c r="F3" s="21" t="str">
        <f t="array" ref="F3">iferror(VLOOKUP(INDIRECT(ADDRESS(ROW()+1,COLUMN(), 4)),Dex!$A$2:$C367,3,false),"")</f>
        <v/>
      </c>
      <c r="G3" s="21" t="str">
        <f t="array" ref="G3">iferror(VLOOKUP(INDIRECT(ADDRESS(ROW()+1,COLUMN(), 4)),Dex!$A$2:$C367,3,false),"")</f>
        <v/>
      </c>
      <c r="H3" s="22" t="str">
        <f t="array" ref="H3">iferror(VLOOKUP("TRAINER_PIC_WALLY",Sprites!$A$1:$B367,2,false),"")</f>
        <v/>
      </c>
      <c r="I3" s="23"/>
    </row>
    <row r="4">
      <c r="A4" s="24"/>
      <c r="B4" s="25" t="s">
        <v>925</v>
      </c>
      <c r="C4" s="25" t="s">
        <v>522</v>
      </c>
      <c r="D4" s="25" t="s">
        <v>261</v>
      </c>
      <c r="E4" s="25" t="s">
        <v>819</v>
      </c>
      <c r="F4" s="25" t="s">
        <v>1104</v>
      </c>
      <c r="G4" s="25" t="s">
        <v>376</v>
      </c>
      <c r="H4" s="26"/>
    </row>
    <row r="5">
      <c r="A5" s="16" t="s">
        <v>1178</v>
      </c>
      <c r="B5" s="27" t="s">
        <v>2660</v>
      </c>
      <c r="C5" s="27" t="s">
        <v>2660</v>
      </c>
      <c r="D5" s="27" t="s">
        <v>2660</v>
      </c>
      <c r="E5" s="27" t="s">
        <v>2661</v>
      </c>
      <c r="F5" s="27" t="s">
        <v>2661</v>
      </c>
      <c r="G5" s="27" t="s">
        <v>2661</v>
      </c>
      <c r="H5" s="26"/>
    </row>
    <row r="6">
      <c r="A6" s="16" t="s">
        <v>1181</v>
      </c>
      <c r="B6" s="28" t="s">
        <v>1247</v>
      </c>
      <c r="C6" s="28" t="s">
        <v>1882</v>
      </c>
      <c r="D6" s="28" t="s">
        <v>1366</v>
      </c>
      <c r="E6" s="28" t="s">
        <v>1247</v>
      </c>
      <c r="F6" s="28" t="s">
        <v>1417</v>
      </c>
      <c r="G6" s="28" t="s">
        <v>2662</v>
      </c>
      <c r="H6" s="26"/>
    </row>
    <row r="7">
      <c r="A7" s="16" t="s">
        <v>1182</v>
      </c>
      <c r="B7" s="21" t="s">
        <v>1368</v>
      </c>
      <c r="C7" s="21" t="s">
        <v>1461</v>
      </c>
      <c r="D7" s="21" t="s">
        <v>2004</v>
      </c>
      <c r="E7" s="21" t="s">
        <v>1860</v>
      </c>
      <c r="F7" s="21" t="s">
        <v>1419</v>
      </c>
      <c r="G7" s="21" t="s">
        <v>2279</v>
      </c>
      <c r="H7" s="26"/>
    </row>
    <row r="8">
      <c r="A8" s="16" t="s">
        <v>1186</v>
      </c>
      <c r="B8" s="28" t="s">
        <v>1256</v>
      </c>
      <c r="C8" s="28" t="s">
        <v>1284</v>
      </c>
      <c r="D8" s="28" t="s">
        <v>1235</v>
      </c>
      <c r="E8" s="28" t="s">
        <v>1249</v>
      </c>
      <c r="F8" s="28" t="s">
        <v>1235</v>
      </c>
      <c r="G8" s="28" t="s">
        <v>1284</v>
      </c>
      <c r="H8" s="26"/>
    </row>
    <row r="9">
      <c r="A9" s="20" t="s">
        <v>1188</v>
      </c>
      <c r="B9" s="21" t="s">
        <v>1724</v>
      </c>
      <c r="C9" s="21" t="s">
        <v>1373</v>
      </c>
      <c r="D9" s="21" t="s">
        <v>1372</v>
      </c>
      <c r="E9" s="21" t="s">
        <v>1650</v>
      </c>
      <c r="F9" s="21" t="s">
        <v>1432</v>
      </c>
      <c r="G9" s="21" t="s">
        <v>1731</v>
      </c>
      <c r="H9" s="26"/>
    </row>
    <row r="10">
      <c r="A10" s="29"/>
      <c r="B10" s="21" t="s">
        <v>1650</v>
      </c>
      <c r="C10" s="21" t="s">
        <v>1652</v>
      </c>
      <c r="D10" s="21" t="s">
        <v>1236</v>
      </c>
      <c r="E10" s="21" t="s">
        <v>1723</v>
      </c>
      <c r="F10" s="21" t="s">
        <v>1307</v>
      </c>
      <c r="G10" s="21" t="s">
        <v>1778</v>
      </c>
      <c r="H10" s="26"/>
    </row>
    <row r="11">
      <c r="A11" s="29"/>
      <c r="B11" s="21" t="s">
        <v>1371</v>
      </c>
      <c r="C11" s="21" t="s">
        <v>1605</v>
      </c>
      <c r="D11" s="21" t="s">
        <v>1307</v>
      </c>
      <c r="E11" s="21" t="s">
        <v>1830</v>
      </c>
      <c r="F11" s="21" t="s">
        <v>1682</v>
      </c>
      <c r="G11" s="21" t="s">
        <v>1726</v>
      </c>
      <c r="H11" s="26"/>
    </row>
    <row r="12">
      <c r="A12" s="24"/>
      <c r="B12" s="21" t="s">
        <v>1310</v>
      </c>
      <c r="C12" s="21" t="s">
        <v>2021</v>
      </c>
      <c r="D12" s="21" t="s">
        <v>1306</v>
      </c>
      <c r="E12" s="21" t="s">
        <v>1740</v>
      </c>
      <c r="F12" s="21" t="s">
        <v>1410</v>
      </c>
      <c r="G12" s="21" t="s">
        <v>1698</v>
      </c>
      <c r="H12" s="30"/>
      <c r="I12" s="14"/>
    </row>
    <row r="13">
      <c r="A13" s="16" t="s">
        <v>1174</v>
      </c>
      <c r="B13" s="17" t="s">
        <v>2663</v>
      </c>
      <c r="C13" s="18"/>
      <c r="D13" s="18"/>
      <c r="E13" s="18"/>
      <c r="F13" s="18"/>
      <c r="G13" s="18"/>
      <c r="H13" s="18"/>
      <c r="I13" s="16"/>
    </row>
    <row r="14" ht="60.0" customHeight="1">
      <c r="A14" s="20" t="s">
        <v>1176</v>
      </c>
      <c r="B14" s="21" t="str">
        <f t="array" ref="B14">iferror(VLOOKUP(INDIRECT(ADDRESS(ROW()+1,COLUMN(), 4)),Dex!$A$2:$C367,3,false),"")</f>
        <v/>
      </c>
      <c r="C14" s="21" t="str">
        <f t="array" ref="C14">iferror(VLOOKUP(INDIRECT(ADDRESS(ROW()+1,COLUMN(), 4)),Dex!$A$2:$C367,3,false),"")</f>
        <v/>
      </c>
      <c r="D14" s="21" t="str">
        <f t="array" ref="D14">iferror(VLOOKUP(INDIRECT(ADDRESS(ROW()+1,COLUMN(), 4)),Dex!$A$2:$C367,3,false),"")</f>
        <v/>
      </c>
      <c r="E14" s="21" t="str">
        <f t="array" ref="E14">iferror(VLOOKUP(INDIRECT(ADDRESS(ROW()+1,COLUMN(), 4)),Dex!$A$2:$C367,3,false),"")</f>
        <v/>
      </c>
      <c r="F14" s="21" t="str">
        <f t="array" ref="F14">iferror(VLOOKUP(INDIRECT(ADDRESS(ROW()+1,COLUMN(), 4)),Dex!$A$2:$C367,3,false),"")</f>
        <v/>
      </c>
      <c r="G14" s="21" t="str">
        <f t="array" ref="G14">iferror(VLOOKUP(INDIRECT(ADDRESS(ROW()+1,COLUMN(), 4)),Dex!$A$2:$C367,3,false),"")</f>
        <v/>
      </c>
      <c r="H14" s="22" t="str">
        <f t="array" ref="H14">iferror(VLOOKUP("TRAINER_PIC_COOLTRAINER_M",Sprites!$A$1:$B367,2,false),"")</f>
        <v/>
      </c>
      <c r="I14" s="23"/>
    </row>
    <row r="15">
      <c r="A15" s="24"/>
      <c r="B15" s="25" t="s">
        <v>595</v>
      </c>
      <c r="C15" s="25" t="s">
        <v>318</v>
      </c>
      <c r="D15" s="25" t="s">
        <v>7</v>
      </c>
      <c r="E15" s="25" t="s">
        <v>209</v>
      </c>
      <c r="F15" s="25" t="s">
        <v>513</v>
      </c>
      <c r="G15" s="25" t="s">
        <v>796</v>
      </c>
      <c r="H15" s="26"/>
    </row>
    <row r="16">
      <c r="A16" s="16" t="s">
        <v>1178</v>
      </c>
      <c r="B16" s="27" t="s">
        <v>2660</v>
      </c>
      <c r="C16" s="27" t="s">
        <v>2651</v>
      </c>
      <c r="D16" s="27" t="s">
        <v>2661</v>
      </c>
      <c r="E16" s="27" t="s">
        <v>2661</v>
      </c>
      <c r="F16" s="27" t="s">
        <v>2651</v>
      </c>
      <c r="G16" s="27" t="s">
        <v>2660</v>
      </c>
      <c r="H16" s="26"/>
    </row>
    <row r="17">
      <c r="A17" s="16" t="s">
        <v>1181</v>
      </c>
      <c r="B17" s="28" t="s">
        <v>1209</v>
      </c>
      <c r="C17" s="28" t="s">
        <v>1703</v>
      </c>
      <c r="D17" s="28" t="s">
        <v>2426</v>
      </c>
      <c r="E17" s="28" t="s">
        <v>2557</v>
      </c>
      <c r="F17" s="28" t="s">
        <v>1282</v>
      </c>
      <c r="G17" s="28" t="s">
        <v>2102</v>
      </c>
      <c r="H17" s="26"/>
    </row>
    <row r="18">
      <c r="A18" s="16" t="s">
        <v>1182</v>
      </c>
      <c r="B18" s="21" t="s">
        <v>2066</v>
      </c>
      <c r="C18" s="21" t="s">
        <v>1199</v>
      </c>
      <c r="D18" s="21" t="s">
        <v>1748</v>
      </c>
      <c r="E18" s="21" t="s">
        <v>1926</v>
      </c>
      <c r="F18" s="21" t="s">
        <v>1298</v>
      </c>
      <c r="G18" s="21" t="s">
        <v>1368</v>
      </c>
      <c r="H18" s="26"/>
    </row>
    <row r="19">
      <c r="A19" s="16" t="s">
        <v>1186</v>
      </c>
      <c r="B19" s="28" t="s">
        <v>1269</v>
      </c>
      <c r="C19" s="28" t="s">
        <v>1248</v>
      </c>
      <c r="D19" s="28" t="s">
        <v>1269</v>
      </c>
      <c r="E19" s="28" t="s">
        <v>1235</v>
      </c>
      <c r="F19" s="28" t="s">
        <v>1235</v>
      </c>
      <c r="G19" s="28" t="s">
        <v>1284</v>
      </c>
      <c r="H19" s="26"/>
    </row>
    <row r="20">
      <c r="A20" s="20" t="s">
        <v>1188</v>
      </c>
      <c r="B20" s="21" t="s">
        <v>1677</v>
      </c>
      <c r="C20" s="21" t="s">
        <v>1677</v>
      </c>
      <c r="D20" s="21" t="s">
        <v>1373</v>
      </c>
      <c r="E20" s="21" t="s">
        <v>1438</v>
      </c>
      <c r="F20" s="21" t="s">
        <v>1805</v>
      </c>
      <c r="G20" s="21" t="s">
        <v>1828</v>
      </c>
      <c r="H20" s="26"/>
    </row>
    <row r="21">
      <c r="A21" s="29"/>
      <c r="B21" s="21" t="s">
        <v>2068</v>
      </c>
      <c r="C21" s="21" t="s">
        <v>1678</v>
      </c>
      <c r="D21" s="21" t="s">
        <v>1285</v>
      </c>
      <c r="E21" s="21" t="s">
        <v>1415</v>
      </c>
      <c r="F21" s="21" t="s">
        <v>1238</v>
      </c>
      <c r="G21" s="21" t="s">
        <v>1890</v>
      </c>
      <c r="H21" s="26"/>
    </row>
    <row r="22">
      <c r="A22" s="29"/>
      <c r="B22" s="21" t="s">
        <v>1835</v>
      </c>
      <c r="C22" s="21" t="s">
        <v>1307</v>
      </c>
      <c r="D22" s="21" t="s">
        <v>1677</v>
      </c>
      <c r="E22" s="21" t="s">
        <v>1309</v>
      </c>
      <c r="F22" s="21" t="s">
        <v>1874</v>
      </c>
      <c r="G22" s="21" t="s">
        <v>1629</v>
      </c>
      <c r="H22" s="26"/>
    </row>
    <row r="23">
      <c r="A23" s="24"/>
      <c r="B23" s="21" t="s">
        <v>1307</v>
      </c>
      <c r="C23" s="21" t="s">
        <v>1836</v>
      </c>
      <c r="D23" s="21" t="s">
        <v>1622</v>
      </c>
      <c r="E23" s="21" t="s">
        <v>1944</v>
      </c>
      <c r="F23" s="21" t="s">
        <v>1944</v>
      </c>
      <c r="G23" s="21" t="s">
        <v>1944</v>
      </c>
      <c r="H23" s="30"/>
      <c r="I23" s="14"/>
    </row>
    <row r="24">
      <c r="A24" s="16" t="s">
        <v>1174</v>
      </c>
      <c r="B24" s="17" t="s">
        <v>2664</v>
      </c>
      <c r="C24" s="18"/>
      <c r="D24" s="18"/>
      <c r="E24" s="18"/>
      <c r="F24" s="18"/>
      <c r="G24" s="18"/>
      <c r="H24" s="18"/>
      <c r="I24" s="16"/>
    </row>
    <row r="25" ht="60.0" customHeight="1">
      <c r="A25" s="20" t="s">
        <v>1176</v>
      </c>
      <c r="B25" s="21" t="str">
        <f t="array" ref="B25">iferror(VLOOKUP(INDIRECT(ADDRESS(ROW()+1,COLUMN(), 4)),Dex!$A$2:$C367,3,false),"")</f>
        <v/>
      </c>
      <c r="C25" s="21" t="str">
        <f t="array" ref="C25">iferror(VLOOKUP(INDIRECT(ADDRESS(ROW()+1,COLUMN(), 4)),Dex!$A$2:$C367,3,false),"")</f>
        <v/>
      </c>
      <c r="D25" s="21" t="str">
        <f t="array" ref="D25">iferror(VLOOKUP(INDIRECT(ADDRESS(ROW()+1,COLUMN(), 4)),Dex!$A$2:$C367,3,false),"")</f>
        <v/>
      </c>
      <c r="E25" s="21" t="str">
        <f t="array" ref="E25">iferror(VLOOKUP(INDIRECT(ADDRESS(ROW()+1,COLUMN(), 4)),Dex!$A$2:$C367,3,false),"")</f>
        <v/>
      </c>
      <c r="F25" s="21" t="str">
        <f t="array" ref="F25">iferror(VLOOKUP(INDIRECT(ADDRESS(ROW()+1,COLUMN(), 4)),Dex!$A$2:$C367,3,false),"")</f>
        <v/>
      </c>
      <c r="G25" s="21" t="str">
        <f t="array" ref="G25">iferror(VLOOKUP(INDIRECT(ADDRESS(ROW()+1,COLUMN(), 4)),Dex!$A$2:$C367,3,false),"")</f>
        <v/>
      </c>
      <c r="H25" s="22" t="str">
        <f t="array" ref="H25">iferror(VLOOKUP("TRAINER_PIC_COOLTRAINER_F",Sprites!$A$1:$B367,2,false),"")</f>
        <v/>
      </c>
      <c r="I25" s="23"/>
    </row>
    <row r="26">
      <c r="A26" s="24"/>
      <c r="B26" s="25" t="s">
        <v>470</v>
      </c>
      <c r="C26" s="25" t="s">
        <v>591</v>
      </c>
      <c r="D26" s="25" t="s">
        <v>365</v>
      </c>
      <c r="E26" s="25" t="s">
        <v>76</v>
      </c>
      <c r="F26" s="25" t="s">
        <v>584</v>
      </c>
      <c r="G26" s="25" t="s">
        <v>187</v>
      </c>
      <c r="H26" s="26"/>
    </row>
    <row r="27">
      <c r="A27" s="16" t="s">
        <v>1178</v>
      </c>
      <c r="B27" s="27" t="s">
        <v>2651</v>
      </c>
      <c r="C27" s="27" t="s">
        <v>2651</v>
      </c>
      <c r="D27" s="27" t="s">
        <v>2660</v>
      </c>
      <c r="E27" s="27" t="s">
        <v>2660</v>
      </c>
      <c r="F27" s="27" t="s">
        <v>2660</v>
      </c>
      <c r="G27" s="27" t="s">
        <v>2661</v>
      </c>
      <c r="H27" s="26"/>
    </row>
    <row r="28">
      <c r="A28" s="16" t="s">
        <v>1181</v>
      </c>
      <c r="B28" s="28" t="s">
        <v>1209</v>
      </c>
      <c r="C28" s="28" t="s">
        <v>1295</v>
      </c>
      <c r="D28" s="28" t="s">
        <v>2354</v>
      </c>
      <c r="E28" s="28" t="s">
        <v>1882</v>
      </c>
      <c r="F28" s="28" t="s">
        <v>2042</v>
      </c>
      <c r="G28" s="28" t="s">
        <v>2561</v>
      </c>
      <c r="H28" s="26"/>
    </row>
    <row r="29">
      <c r="A29" s="16" t="s">
        <v>1182</v>
      </c>
      <c r="B29" s="21" t="s">
        <v>1748</v>
      </c>
      <c r="C29" s="21" t="s">
        <v>1233</v>
      </c>
      <c r="D29" s="21" t="s">
        <v>1223</v>
      </c>
      <c r="E29" s="21" t="s">
        <v>1675</v>
      </c>
      <c r="F29" s="21" t="s">
        <v>1885</v>
      </c>
      <c r="G29" s="21" t="s">
        <v>2562</v>
      </c>
      <c r="H29" s="26"/>
    </row>
    <row r="30">
      <c r="A30" s="16" t="s">
        <v>1186</v>
      </c>
      <c r="B30" s="28" t="s">
        <v>1257</v>
      </c>
      <c r="C30" s="28" t="s">
        <v>1284</v>
      </c>
      <c r="D30" s="28" t="s">
        <v>1284</v>
      </c>
      <c r="E30" s="28" t="s">
        <v>1235</v>
      </c>
      <c r="F30" s="28" t="s">
        <v>1447</v>
      </c>
      <c r="G30" s="28" t="s">
        <v>1235</v>
      </c>
      <c r="H30" s="26"/>
    </row>
    <row r="31">
      <c r="A31" s="20" t="s">
        <v>1188</v>
      </c>
      <c r="B31" s="21" t="s">
        <v>1468</v>
      </c>
      <c r="C31" s="21" t="s">
        <v>1650</v>
      </c>
      <c r="D31" s="21" t="s">
        <v>1823</v>
      </c>
      <c r="E31" s="21" t="s">
        <v>1677</v>
      </c>
      <c r="F31" s="21" t="s">
        <v>1723</v>
      </c>
      <c r="G31" s="21" t="s">
        <v>1677</v>
      </c>
      <c r="H31" s="26"/>
    </row>
    <row r="32">
      <c r="A32" s="29"/>
      <c r="B32" s="21" t="s">
        <v>1695</v>
      </c>
      <c r="C32" s="21" t="s">
        <v>1619</v>
      </c>
      <c r="D32" s="21" t="s">
        <v>1695</v>
      </c>
      <c r="E32" s="21" t="s">
        <v>1678</v>
      </c>
      <c r="F32" s="21" t="s">
        <v>1670</v>
      </c>
      <c r="G32" s="21" t="s">
        <v>2322</v>
      </c>
      <c r="H32" s="26"/>
    </row>
    <row r="33">
      <c r="A33" s="29"/>
      <c r="B33" s="21" t="s">
        <v>1598</v>
      </c>
      <c r="C33" s="21" t="s">
        <v>1311</v>
      </c>
      <c r="D33" s="21" t="s">
        <v>1307</v>
      </c>
      <c r="E33" s="21" t="s">
        <v>1577</v>
      </c>
      <c r="F33" s="21" t="s">
        <v>1830</v>
      </c>
      <c r="G33" s="21" t="s">
        <v>1192</v>
      </c>
      <c r="H33" s="26"/>
    </row>
    <row r="34">
      <c r="A34" s="24"/>
      <c r="B34" s="21" t="s">
        <v>1376</v>
      </c>
      <c r="C34" s="21" t="s">
        <v>1959</v>
      </c>
      <c r="D34" s="21" t="s">
        <v>1621</v>
      </c>
      <c r="E34" s="21" t="s">
        <v>1336</v>
      </c>
      <c r="F34" s="21" t="s">
        <v>2021</v>
      </c>
      <c r="G34" s="21" t="s">
        <v>1641</v>
      </c>
      <c r="H34" s="30"/>
      <c r="I34" s="14"/>
    </row>
    <row r="35">
      <c r="A35" s="16" t="s">
        <v>1174</v>
      </c>
      <c r="B35" s="17" t="s">
        <v>2665</v>
      </c>
      <c r="C35" s="18"/>
      <c r="D35" s="18"/>
      <c r="E35" s="18"/>
      <c r="F35" s="18"/>
      <c r="G35" s="18"/>
      <c r="H35" s="18"/>
      <c r="I35" s="16"/>
    </row>
    <row r="36" ht="60.0" customHeight="1">
      <c r="A36" s="20" t="s">
        <v>1176</v>
      </c>
      <c r="B36" s="21" t="str">
        <f t="array" ref="B36">iferror(VLOOKUP(INDIRECT(ADDRESS(ROW()+1,COLUMN(), 4)),Dex!$A$2:$C367,3,false),"")</f>
        <v/>
      </c>
      <c r="C36" s="21" t="str">
        <f t="array" ref="C36">iferror(VLOOKUP(INDIRECT(ADDRESS(ROW()+1,COLUMN(), 4)),Dex!$A$2:$C367,3,false),"")</f>
        <v/>
      </c>
      <c r="D36" s="21" t="str">
        <f t="array" ref="D36">iferror(VLOOKUP(INDIRECT(ADDRESS(ROW()+1,COLUMN(), 4)),Dex!$A$2:$C367,3,false),"")</f>
        <v/>
      </c>
      <c r="E36" s="21" t="str">
        <f t="array" ref="E36">iferror(VLOOKUP(INDIRECT(ADDRESS(ROW()+1,COLUMN(), 4)),Dex!$A$2:$C367,3,false),"")</f>
        <v/>
      </c>
      <c r="F36" s="21" t="str">
        <f t="array" ref="F36">iferror(VLOOKUP(INDIRECT(ADDRESS(ROW()+1,COLUMN(), 4)),Dex!$A$2:$C367,3,false),"")</f>
        <v/>
      </c>
      <c r="G36" s="21" t="str">
        <f t="array" ref="G36">iferror(VLOOKUP(INDIRECT(ADDRESS(ROW()+1,COLUMN(), 4)),Dex!$A$2:$C367,3,false),"")</f>
        <v/>
      </c>
      <c r="H36" s="22" t="str">
        <f t="array" ref="H36">iferror(VLOOKUP("TRAINER_PIC_COOLTRAINER_M",Sprites!$A$1:$B367,2,false),"")</f>
        <v/>
      </c>
      <c r="I36" s="23"/>
    </row>
    <row r="37">
      <c r="A37" s="24"/>
      <c r="B37" s="25" t="s">
        <v>877</v>
      </c>
      <c r="C37" s="25" t="s">
        <v>277</v>
      </c>
      <c r="D37" s="25" t="s">
        <v>885</v>
      </c>
      <c r="E37" s="25" t="s">
        <v>135</v>
      </c>
      <c r="F37" s="25" t="s">
        <v>1001</v>
      </c>
      <c r="G37" s="25" t="s">
        <v>28</v>
      </c>
      <c r="H37" s="26"/>
    </row>
    <row r="38">
      <c r="A38" s="16" t="s">
        <v>1178</v>
      </c>
      <c r="B38" s="27" t="s">
        <v>2660</v>
      </c>
      <c r="C38" s="27" t="s">
        <v>2651</v>
      </c>
      <c r="D38" s="27" t="s">
        <v>2651</v>
      </c>
      <c r="E38" s="27" t="s">
        <v>2660</v>
      </c>
      <c r="F38" s="27" t="s">
        <v>2660</v>
      </c>
      <c r="G38" s="27" t="s">
        <v>2661</v>
      </c>
      <c r="H38" s="26"/>
    </row>
    <row r="39">
      <c r="A39" s="16" t="s">
        <v>1181</v>
      </c>
      <c r="B39" s="28" t="s">
        <v>1295</v>
      </c>
      <c r="C39" s="28" t="s">
        <v>1838</v>
      </c>
      <c r="D39" s="28" t="s">
        <v>1366</v>
      </c>
      <c r="E39" s="28" t="s">
        <v>1346</v>
      </c>
      <c r="F39" s="28" t="s">
        <v>2276</v>
      </c>
      <c r="G39" s="28" t="s">
        <v>2213</v>
      </c>
      <c r="H39" s="26"/>
    </row>
    <row r="40">
      <c r="A40" s="16" t="s">
        <v>1182</v>
      </c>
      <c r="B40" s="21" t="s">
        <v>1199</v>
      </c>
      <c r="C40" s="21" t="s">
        <v>1667</v>
      </c>
      <c r="D40" s="21" t="s">
        <v>1268</v>
      </c>
      <c r="E40" s="21" t="s">
        <v>1267</v>
      </c>
      <c r="F40" s="21" t="s">
        <v>1445</v>
      </c>
      <c r="G40" s="21" t="s">
        <v>2082</v>
      </c>
      <c r="H40" s="26"/>
    </row>
    <row r="41">
      <c r="A41" s="16" t="s">
        <v>1186</v>
      </c>
      <c r="B41" s="28" t="s">
        <v>1446</v>
      </c>
      <c r="C41" s="28" t="s">
        <v>1257</v>
      </c>
      <c r="D41" s="28" t="s">
        <v>1248</v>
      </c>
      <c r="E41" s="28" t="s">
        <v>1406</v>
      </c>
      <c r="F41" s="28" t="s">
        <v>1235</v>
      </c>
      <c r="G41" s="28" t="s">
        <v>1235</v>
      </c>
      <c r="H41" s="26"/>
    </row>
    <row r="42">
      <c r="A42" s="20" t="s">
        <v>1188</v>
      </c>
      <c r="B42" s="21" t="s">
        <v>1830</v>
      </c>
      <c r="C42" s="21" t="s">
        <v>2147</v>
      </c>
      <c r="D42" s="21" t="s">
        <v>2192</v>
      </c>
      <c r="E42" s="21" t="s">
        <v>1814</v>
      </c>
      <c r="F42" s="21" t="s">
        <v>1874</v>
      </c>
      <c r="G42" s="21" t="s">
        <v>1586</v>
      </c>
      <c r="H42" s="26"/>
    </row>
    <row r="43">
      <c r="A43" s="29"/>
      <c r="B43" s="21" t="s">
        <v>1804</v>
      </c>
      <c r="C43" s="21" t="s">
        <v>1695</v>
      </c>
      <c r="D43" s="21" t="s">
        <v>2043</v>
      </c>
      <c r="E43" s="21" t="s">
        <v>1830</v>
      </c>
      <c r="F43" s="21" t="s">
        <v>1712</v>
      </c>
      <c r="G43" s="21" t="s">
        <v>1772</v>
      </c>
      <c r="H43" s="26"/>
    </row>
    <row r="44">
      <c r="A44" s="29"/>
      <c r="B44" s="21" t="s">
        <v>2026</v>
      </c>
      <c r="C44" s="21" t="s">
        <v>1740</v>
      </c>
      <c r="D44" s="21" t="s">
        <v>1275</v>
      </c>
      <c r="E44" s="21" t="s">
        <v>1320</v>
      </c>
      <c r="F44" s="21" t="s">
        <v>1749</v>
      </c>
      <c r="G44" s="21" t="s">
        <v>1307</v>
      </c>
      <c r="H44" s="26"/>
    </row>
    <row r="45">
      <c r="A45" s="24"/>
      <c r="B45" s="21" t="s">
        <v>1705</v>
      </c>
      <c r="C45" s="21" t="s">
        <v>1452</v>
      </c>
      <c r="D45" s="21" t="s">
        <v>1959</v>
      </c>
      <c r="E45" s="21" t="s">
        <v>1761</v>
      </c>
      <c r="F45" s="21" t="s">
        <v>1915</v>
      </c>
      <c r="G45" s="21" t="s">
        <v>1641</v>
      </c>
      <c r="H45" s="30"/>
      <c r="I45" s="14"/>
    </row>
    <row r="46">
      <c r="A46" s="16" t="s">
        <v>1174</v>
      </c>
      <c r="B46" s="17" t="s">
        <v>2666</v>
      </c>
      <c r="C46" s="18"/>
      <c r="D46" s="18"/>
      <c r="E46" s="18"/>
      <c r="F46" s="18"/>
      <c r="G46" s="18"/>
      <c r="H46" s="18"/>
      <c r="I46" s="16"/>
    </row>
    <row r="47" ht="60.0" customHeight="1">
      <c r="A47" s="20" t="s">
        <v>1176</v>
      </c>
      <c r="B47" s="21" t="str">
        <f t="array" ref="B47">iferror(VLOOKUP(INDIRECT(ADDRESS(ROW()+1,COLUMN(), 4)),Dex!$A$2:$C367,3,false),"")</f>
        <v/>
      </c>
      <c r="C47" s="21" t="str">
        <f t="array" ref="C47">iferror(VLOOKUP(INDIRECT(ADDRESS(ROW()+1,COLUMN(), 4)),Dex!$A$2:$C367,3,false),"")</f>
        <v/>
      </c>
      <c r="D47" s="21" t="str">
        <f t="array" ref="D47">iferror(VLOOKUP(INDIRECT(ADDRESS(ROW()+1,COLUMN(), 4)),Dex!$A$2:$C367,3,false),"")</f>
        <v/>
      </c>
      <c r="E47" s="21" t="str">
        <f t="array" ref="E47">iferror(VLOOKUP(INDIRECT(ADDRESS(ROW()+1,COLUMN(), 4)),Dex!$A$2:$C367,3,false),"")</f>
        <v/>
      </c>
      <c r="F47" s="21" t="str">
        <f t="array" ref="F47">iferror(VLOOKUP(INDIRECT(ADDRESS(ROW()+1,COLUMN(), 4)),Dex!$A$2:$C367,3,false),"")</f>
        <v/>
      </c>
      <c r="G47" s="21" t="str">
        <f t="array" ref="G47">iferror(VLOOKUP(INDIRECT(ADDRESS(ROW()+1,COLUMN(), 4)),Dex!$A$2:$C367,3,false),"")</f>
        <v/>
      </c>
      <c r="H47" s="22" t="str">
        <f t="array" ref="H47">iferror(VLOOKUP("TRAINER_PIC_COOLTRAINER_M",Sprites!$A$1:$B367,2,false),"")</f>
        <v/>
      </c>
      <c r="I47" s="23"/>
    </row>
    <row r="48">
      <c r="A48" s="24"/>
      <c r="B48" s="25" t="s">
        <v>1040</v>
      </c>
      <c r="C48" s="25" t="s">
        <v>334</v>
      </c>
      <c r="D48" s="25" t="s">
        <v>58</v>
      </c>
      <c r="E48" s="25" t="s">
        <v>91</v>
      </c>
      <c r="F48" s="25" t="s">
        <v>1048</v>
      </c>
      <c r="G48" s="25" t="s">
        <v>258</v>
      </c>
      <c r="H48" s="26"/>
    </row>
    <row r="49">
      <c r="A49" s="16" t="s">
        <v>1178</v>
      </c>
      <c r="B49" s="27" t="s">
        <v>2660</v>
      </c>
      <c r="C49" s="27" t="s">
        <v>2651</v>
      </c>
      <c r="D49" s="27" t="s">
        <v>2651</v>
      </c>
      <c r="E49" s="27" t="s">
        <v>2660</v>
      </c>
      <c r="F49" s="27" t="s">
        <v>2661</v>
      </c>
      <c r="G49" s="27" t="s">
        <v>2661</v>
      </c>
      <c r="H49" s="26"/>
    </row>
    <row r="50">
      <c r="A50" s="16" t="s">
        <v>1181</v>
      </c>
      <c r="B50" s="28" t="s">
        <v>1247</v>
      </c>
      <c r="C50" s="28" t="s">
        <v>2139</v>
      </c>
      <c r="D50" s="28" t="s">
        <v>2166</v>
      </c>
      <c r="E50" s="28" t="s">
        <v>1209</v>
      </c>
      <c r="F50" s="28" t="s">
        <v>1282</v>
      </c>
      <c r="G50" s="28" t="s">
        <v>1872</v>
      </c>
      <c r="H50" s="26"/>
    </row>
    <row r="51">
      <c r="A51" s="16" t="s">
        <v>1182</v>
      </c>
      <c r="B51" s="21" t="s">
        <v>1979</v>
      </c>
      <c r="C51" s="21" t="s">
        <v>2376</v>
      </c>
      <c r="D51" s="21" t="s">
        <v>1604</v>
      </c>
      <c r="E51" s="21" t="s">
        <v>1692</v>
      </c>
      <c r="F51" s="21" t="s">
        <v>1573</v>
      </c>
      <c r="G51" s="21" t="s">
        <v>1690</v>
      </c>
      <c r="H51" s="26"/>
    </row>
    <row r="52">
      <c r="A52" s="16" t="s">
        <v>1186</v>
      </c>
      <c r="B52" s="28" t="s">
        <v>1248</v>
      </c>
      <c r="C52" s="28" t="s">
        <v>1235</v>
      </c>
      <c r="D52" s="28" t="s">
        <v>1284</v>
      </c>
      <c r="E52" s="28" t="s">
        <v>1235</v>
      </c>
      <c r="F52" s="28" t="s">
        <v>1249</v>
      </c>
      <c r="G52" s="28" t="s">
        <v>1284</v>
      </c>
      <c r="H52" s="26"/>
    </row>
    <row r="53">
      <c r="A53" s="20" t="s">
        <v>1188</v>
      </c>
      <c r="B53" s="21" t="s">
        <v>1965</v>
      </c>
      <c r="C53" s="21" t="s">
        <v>1678</v>
      </c>
      <c r="D53" s="21" t="s">
        <v>1815</v>
      </c>
      <c r="E53" s="21" t="s">
        <v>1974</v>
      </c>
      <c r="F53" s="21" t="s">
        <v>1986</v>
      </c>
      <c r="G53" s="21" t="s">
        <v>1724</v>
      </c>
      <c r="H53" s="26"/>
    </row>
    <row r="54">
      <c r="A54" s="29"/>
      <c r="B54" s="21" t="s">
        <v>1307</v>
      </c>
      <c r="C54" s="21" t="s">
        <v>1594</v>
      </c>
      <c r="D54" s="21" t="s">
        <v>1740</v>
      </c>
      <c r="E54" s="21" t="s">
        <v>1737</v>
      </c>
      <c r="F54" s="21" t="s">
        <v>1470</v>
      </c>
      <c r="G54" s="21" t="s">
        <v>1828</v>
      </c>
      <c r="H54" s="26"/>
    </row>
    <row r="55">
      <c r="A55" s="29"/>
      <c r="B55" s="21" t="s">
        <v>1431</v>
      </c>
      <c r="C55" s="21" t="s">
        <v>1336</v>
      </c>
      <c r="D55" s="21" t="s">
        <v>1698</v>
      </c>
      <c r="E55" s="21" t="s">
        <v>1874</v>
      </c>
      <c r="F55" s="21" t="s">
        <v>1238</v>
      </c>
      <c r="G55" s="21" t="s">
        <v>1878</v>
      </c>
      <c r="H55" s="26"/>
    </row>
    <row r="56">
      <c r="A56" s="24"/>
      <c r="B56" s="21" t="s">
        <v>1836</v>
      </c>
      <c r="C56" s="21" t="s">
        <v>1705</v>
      </c>
      <c r="D56" s="21" t="s">
        <v>1980</v>
      </c>
      <c r="E56" s="21" t="s">
        <v>1672</v>
      </c>
      <c r="F56" s="21" t="s">
        <v>1218</v>
      </c>
      <c r="G56" s="21" t="s">
        <v>1891</v>
      </c>
      <c r="H56" s="30"/>
      <c r="I56" s="14"/>
    </row>
    <row r="57">
      <c r="A57" s="16" t="s">
        <v>1174</v>
      </c>
      <c r="B57" s="17" t="s">
        <v>2667</v>
      </c>
      <c r="C57" s="18"/>
      <c r="D57" s="18"/>
      <c r="E57" s="18"/>
      <c r="F57" s="18"/>
      <c r="G57" s="18"/>
      <c r="H57" s="18"/>
      <c r="I57" s="16"/>
    </row>
    <row r="58" ht="60.0" customHeight="1">
      <c r="A58" s="20" t="s">
        <v>1176</v>
      </c>
      <c r="B58" s="21" t="str">
        <f t="array" ref="B58">iferror(VLOOKUP(INDIRECT(ADDRESS(ROW()+1,COLUMN(), 4)),Dex!$A$2:$C367,3,false),"")</f>
        <v/>
      </c>
      <c r="C58" s="21" t="str">
        <f t="array" ref="C58">iferror(VLOOKUP(INDIRECT(ADDRESS(ROW()+1,COLUMN(), 4)),Dex!$A$2:$C367,3,false),"")</f>
        <v/>
      </c>
      <c r="D58" s="21" t="str">
        <f t="array" ref="D58">iferror(VLOOKUP(INDIRECT(ADDRESS(ROW()+1,COLUMN(), 4)),Dex!$A$2:$C367,3,false),"")</f>
        <v/>
      </c>
      <c r="E58" s="21" t="str">
        <f t="array" ref="E58">iferror(VLOOKUP(INDIRECT(ADDRESS(ROW()+1,COLUMN(), 4)),Dex!$A$2:$C367,3,false),"")</f>
        <v/>
      </c>
      <c r="F58" s="21" t="str">
        <f t="array" ref="F58">iferror(VLOOKUP(INDIRECT(ADDRESS(ROW()+1,COLUMN(), 4)),Dex!$A$2:$C367,3,false),"")</f>
        <v/>
      </c>
      <c r="G58" s="21" t="str">
        <f t="array" ref="G58">iferror(VLOOKUP(INDIRECT(ADDRESS(ROW()+1,COLUMN(), 4)),Dex!$A$2:$C367,3,false),"")</f>
        <v/>
      </c>
      <c r="H58" s="22" t="str">
        <f t="array" ref="H58">iferror(VLOOKUP("TRAINER_PIC_COOLTRAINER_F",Sprites!$A$1:$B367,2,false),"")</f>
        <v/>
      </c>
      <c r="I58" s="23"/>
    </row>
    <row r="59">
      <c r="A59" s="24"/>
      <c r="B59" s="25" t="s">
        <v>343</v>
      </c>
      <c r="C59" s="25" t="s">
        <v>1107</v>
      </c>
      <c r="D59" s="25" t="s">
        <v>843</v>
      </c>
      <c r="E59" s="25" t="s">
        <v>963</v>
      </c>
      <c r="F59" s="25" t="s">
        <v>548</v>
      </c>
      <c r="G59" s="25" t="s">
        <v>171</v>
      </c>
      <c r="H59" s="26"/>
    </row>
    <row r="60">
      <c r="A60" s="16" t="s">
        <v>1178</v>
      </c>
      <c r="B60" s="27" t="s">
        <v>2661</v>
      </c>
      <c r="C60" s="27" t="s">
        <v>2660</v>
      </c>
      <c r="D60" s="27" t="s">
        <v>2660</v>
      </c>
      <c r="E60" s="27" t="s">
        <v>2660</v>
      </c>
      <c r="F60" s="27" t="s">
        <v>2660</v>
      </c>
      <c r="G60" s="27" t="s">
        <v>2661</v>
      </c>
      <c r="H60" s="26"/>
    </row>
    <row r="61">
      <c r="A61" s="16" t="s">
        <v>1181</v>
      </c>
      <c r="B61" s="28" t="s">
        <v>2313</v>
      </c>
      <c r="C61" s="28" t="s">
        <v>1612</v>
      </c>
      <c r="D61" s="28" t="s">
        <v>1265</v>
      </c>
      <c r="E61" s="28" t="s">
        <v>1838</v>
      </c>
      <c r="F61" s="28" t="s">
        <v>1247</v>
      </c>
      <c r="G61" s="28" t="s">
        <v>2668</v>
      </c>
      <c r="H61" s="26"/>
    </row>
    <row r="62">
      <c r="A62" s="16" t="s">
        <v>1182</v>
      </c>
      <c r="B62" s="21" t="s">
        <v>1669</v>
      </c>
      <c r="C62" s="21" t="s">
        <v>1907</v>
      </c>
      <c r="D62" s="21" t="s">
        <v>2669</v>
      </c>
      <c r="E62" s="21" t="s">
        <v>2047</v>
      </c>
      <c r="F62" s="21" t="s">
        <v>1797</v>
      </c>
      <c r="G62" s="21" t="s">
        <v>2670</v>
      </c>
      <c r="H62" s="26"/>
    </row>
    <row r="63">
      <c r="A63" s="16" t="s">
        <v>1186</v>
      </c>
      <c r="B63" s="28" t="s">
        <v>1284</v>
      </c>
      <c r="C63" s="28" t="s">
        <v>1235</v>
      </c>
      <c r="D63" s="28" t="s">
        <v>1284</v>
      </c>
      <c r="E63" s="28" t="s">
        <v>1248</v>
      </c>
      <c r="F63" s="28" t="s">
        <v>1284</v>
      </c>
      <c r="G63" s="28" t="s">
        <v>1235</v>
      </c>
      <c r="H63" s="26"/>
    </row>
    <row r="64">
      <c r="A64" s="20" t="s">
        <v>1188</v>
      </c>
      <c r="B64" s="21" t="s">
        <v>1371</v>
      </c>
      <c r="C64" s="21" t="s">
        <v>1874</v>
      </c>
      <c r="D64" s="21" t="s">
        <v>1605</v>
      </c>
      <c r="E64" s="21" t="s">
        <v>1655</v>
      </c>
      <c r="F64" s="21" t="s">
        <v>1822</v>
      </c>
      <c r="G64" s="21" t="s">
        <v>1407</v>
      </c>
      <c r="H64" s="26"/>
    </row>
    <row r="65">
      <c r="A65" s="29"/>
      <c r="B65" s="21" t="s">
        <v>1828</v>
      </c>
      <c r="C65" s="21" t="s">
        <v>1749</v>
      </c>
      <c r="D65" s="21" t="s">
        <v>1731</v>
      </c>
      <c r="E65" s="21" t="s">
        <v>1760</v>
      </c>
      <c r="F65" s="21" t="s">
        <v>1890</v>
      </c>
      <c r="G65" s="21" t="s">
        <v>1594</v>
      </c>
      <c r="H65" s="26"/>
    </row>
    <row r="66">
      <c r="A66" s="29"/>
      <c r="B66" s="21" t="s">
        <v>1878</v>
      </c>
      <c r="C66" s="21" t="s">
        <v>1307</v>
      </c>
      <c r="D66" s="21" t="s">
        <v>2112</v>
      </c>
      <c r="E66" s="21" t="s">
        <v>1575</v>
      </c>
      <c r="F66" s="21" t="s">
        <v>1629</v>
      </c>
      <c r="G66" s="21" t="s">
        <v>1288</v>
      </c>
      <c r="H66" s="26"/>
    </row>
    <row r="67">
      <c r="A67" s="24"/>
      <c r="B67" s="21" t="s">
        <v>1243</v>
      </c>
      <c r="C67" s="21" t="s">
        <v>1243</v>
      </c>
      <c r="D67" s="21" t="s">
        <v>1698</v>
      </c>
      <c r="E67" s="21" t="s">
        <v>1307</v>
      </c>
      <c r="F67" s="21" t="s">
        <v>1944</v>
      </c>
      <c r="G67" s="21" t="s">
        <v>1225</v>
      </c>
      <c r="H67" s="30"/>
      <c r="I67" s="14"/>
    </row>
    <row r="68">
      <c r="A68" s="16" t="s">
        <v>1174</v>
      </c>
      <c r="B68" s="17" t="s">
        <v>2671</v>
      </c>
      <c r="C68" s="18"/>
      <c r="D68" s="18"/>
      <c r="E68" s="18"/>
      <c r="F68" s="18"/>
      <c r="G68" s="18"/>
      <c r="H68" s="18"/>
      <c r="I68" s="16"/>
    </row>
    <row r="69" ht="60.0" customHeight="1">
      <c r="A69" s="20" t="s">
        <v>1176</v>
      </c>
      <c r="B69" s="21" t="str">
        <f t="array" ref="B69">iferror(VLOOKUP(INDIRECT(ADDRESS(ROW()+1,COLUMN(), 4)),Dex!$A$2:$C367,3,false),"")</f>
        <v/>
      </c>
      <c r="C69" s="21" t="str">
        <f t="array" ref="C69">iferror(VLOOKUP(INDIRECT(ADDRESS(ROW()+1,COLUMN(), 4)),Dex!$A$2:$C367,3,false),"")</f>
        <v/>
      </c>
      <c r="D69" s="21" t="str">
        <f t="array" ref="D69">iferror(VLOOKUP(INDIRECT(ADDRESS(ROW()+1,COLUMN(), 4)),Dex!$A$2:$C367,3,false),"")</f>
        <v/>
      </c>
      <c r="E69" s="21" t="str">
        <f t="array" ref="E69">iferror(VLOOKUP(INDIRECT(ADDRESS(ROW()+1,COLUMN(), 4)),Dex!$A$2:$C367,3,false),"")</f>
        <v/>
      </c>
      <c r="F69" s="21" t="str">
        <f t="array" ref="F69">iferror(VLOOKUP(INDIRECT(ADDRESS(ROW()+1,COLUMN(), 4)),Dex!$A$2:$C367,3,false),"")</f>
        <v/>
      </c>
      <c r="G69" s="21" t="str">
        <f t="array" ref="G69">iferror(VLOOKUP(INDIRECT(ADDRESS(ROW()+1,COLUMN(), 4)),Dex!$A$2:$C367,3,false),"")</f>
        <v/>
      </c>
      <c r="H69" s="22" t="str">
        <f t="array" ref="H69">iferror(VLOOKUP("TRAINER_PIC_COOLTRAINER_M",Sprites!$A$1:$B367,2,false),"")</f>
        <v/>
      </c>
      <c r="I69" s="23"/>
    </row>
    <row r="70">
      <c r="A70" s="24"/>
      <c r="B70" s="25" t="s">
        <v>697</v>
      </c>
      <c r="C70" s="25" t="s">
        <v>564</v>
      </c>
      <c r="D70" s="25" t="s">
        <v>188</v>
      </c>
      <c r="E70" s="25" t="s">
        <v>193</v>
      </c>
      <c r="F70" s="25" t="s">
        <v>763</v>
      </c>
      <c r="G70" s="25" t="s">
        <v>347</v>
      </c>
      <c r="H70" s="26"/>
    </row>
    <row r="71">
      <c r="A71" s="16" t="s">
        <v>1178</v>
      </c>
      <c r="B71" s="27" t="s">
        <v>2660</v>
      </c>
      <c r="C71" s="27" t="s">
        <v>2651</v>
      </c>
      <c r="D71" s="27" t="s">
        <v>2651</v>
      </c>
      <c r="E71" s="27" t="s">
        <v>2651</v>
      </c>
      <c r="F71" s="27" t="s">
        <v>2660</v>
      </c>
      <c r="G71" s="27" t="s">
        <v>2661</v>
      </c>
      <c r="H71" s="26"/>
    </row>
    <row r="72">
      <c r="A72" s="16" t="s">
        <v>1181</v>
      </c>
      <c r="B72" s="28" t="s">
        <v>1247</v>
      </c>
      <c r="C72" s="28" t="s">
        <v>1882</v>
      </c>
      <c r="D72" s="28" t="s">
        <v>1882</v>
      </c>
      <c r="E72" s="28" t="s">
        <v>1209</v>
      </c>
      <c r="F72" s="28" t="s">
        <v>1838</v>
      </c>
      <c r="G72" s="28" t="s">
        <v>2316</v>
      </c>
      <c r="H72" s="26"/>
    </row>
    <row r="73">
      <c r="A73" s="16" t="s">
        <v>1182</v>
      </c>
      <c r="B73" s="21" t="s">
        <v>1233</v>
      </c>
      <c r="C73" s="21" t="s">
        <v>1266</v>
      </c>
      <c r="D73" s="21" t="s">
        <v>1938</v>
      </c>
      <c r="E73" s="21" t="s">
        <v>2015</v>
      </c>
      <c r="F73" s="21" t="s">
        <v>1368</v>
      </c>
      <c r="G73" s="21" t="s">
        <v>1233</v>
      </c>
      <c r="H73" s="26"/>
    </row>
    <row r="74">
      <c r="A74" s="16" t="s">
        <v>1186</v>
      </c>
      <c r="B74" s="28" t="s">
        <v>1235</v>
      </c>
      <c r="C74" s="28" t="s">
        <v>1235</v>
      </c>
      <c r="D74" s="28" t="s">
        <v>1235</v>
      </c>
      <c r="E74" s="28" t="s">
        <v>1235</v>
      </c>
      <c r="F74" s="28" t="s">
        <v>1234</v>
      </c>
      <c r="G74" s="28" t="s">
        <v>1235</v>
      </c>
      <c r="H74" s="26"/>
    </row>
    <row r="75">
      <c r="A75" s="20" t="s">
        <v>1188</v>
      </c>
      <c r="B75" s="21" t="s">
        <v>1374</v>
      </c>
      <c r="C75" s="21" t="s">
        <v>1919</v>
      </c>
      <c r="D75" s="21" t="s">
        <v>1407</v>
      </c>
      <c r="E75" s="21" t="s">
        <v>1834</v>
      </c>
      <c r="F75" s="21" t="s">
        <v>1670</v>
      </c>
      <c r="G75" s="21" t="s">
        <v>1874</v>
      </c>
      <c r="H75" s="26"/>
    </row>
    <row r="76">
      <c r="A76" s="29"/>
      <c r="B76" s="21" t="s">
        <v>1836</v>
      </c>
      <c r="C76" s="21" t="s">
        <v>1677</v>
      </c>
      <c r="D76" s="21" t="s">
        <v>1874</v>
      </c>
      <c r="E76" s="21" t="s">
        <v>1983</v>
      </c>
      <c r="F76" s="21" t="s">
        <v>1740</v>
      </c>
      <c r="G76" s="21" t="s">
        <v>1737</v>
      </c>
      <c r="H76" s="26"/>
    </row>
    <row r="77">
      <c r="A77" s="29"/>
      <c r="B77" s="21" t="s">
        <v>2026</v>
      </c>
      <c r="C77" s="21" t="s">
        <v>1678</v>
      </c>
      <c r="D77" s="21" t="s">
        <v>1469</v>
      </c>
      <c r="E77" s="21" t="s">
        <v>1330</v>
      </c>
      <c r="F77" s="21" t="s">
        <v>1373</v>
      </c>
      <c r="G77" s="21" t="s">
        <v>1678</v>
      </c>
      <c r="H77" s="26"/>
    </row>
    <row r="78">
      <c r="A78" s="24"/>
      <c r="B78" s="21" t="s">
        <v>1854</v>
      </c>
      <c r="C78" s="21" t="s">
        <v>1705</v>
      </c>
      <c r="D78" s="21" t="s">
        <v>1967</v>
      </c>
      <c r="E78" s="21" t="s">
        <v>1915</v>
      </c>
      <c r="F78" s="21" t="s">
        <v>1307</v>
      </c>
      <c r="G78" s="21" t="s">
        <v>1641</v>
      </c>
      <c r="H78" s="30"/>
      <c r="I78" s="14"/>
    </row>
    <row r="79">
      <c r="A79" s="16" t="s">
        <v>1174</v>
      </c>
      <c r="B79" s="17" t="s">
        <v>2672</v>
      </c>
      <c r="C79" s="18"/>
      <c r="D79" s="18"/>
      <c r="E79" s="18"/>
      <c r="F79" s="18"/>
      <c r="G79" s="18"/>
      <c r="H79" s="18"/>
      <c r="I79" s="16"/>
    </row>
    <row r="80" ht="60.0" customHeight="1">
      <c r="A80" s="20" t="s">
        <v>1176</v>
      </c>
      <c r="B80" s="21" t="str">
        <f t="array" ref="B80">iferror(VLOOKUP(INDIRECT(ADDRESS(ROW()+1,COLUMN(), 4)),Dex!$A$2:$C367,3,false),"")</f>
        <v/>
      </c>
      <c r="C80" s="21" t="str">
        <f t="array" ref="C80">iferror(VLOOKUP(INDIRECT(ADDRESS(ROW()+1,COLUMN(), 4)),Dex!$A$2:$C367,3,false),"")</f>
        <v/>
      </c>
      <c r="D80" s="21" t="str">
        <f t="array" ref="D80">iferror(VLOOKUP(INDIRECT(ADDRESS(ROW()+1,COLUMN(), 4)),Dex!$A$2:$C367,3,false),"")</f>
        <v/>
      </c>
      <c r="E80" s="21" t="str">
        <f t="array" ref="E80">iferror(VLOOKUP(INDIRECT(ADDRESS(ROW()+1,COLUMN(), 4)),Dex!$A$2:$C367,3,false),"")</f>
        <v/>
      </c>
      <c r="F80" s="21" t="str">
        <f t="array" ref="F80">iferror(VLOOKUP(INDIRECT(ADDRESS(ROW()+1,COLUMN(), 4)),Dex!$A$2:$C367,3,false),"")</f>
        <v/>
      </c>
      <c r="G80" s="21" t="str">
        <f t="array" ref="G80">iferror(VLOOKUP(INDIRECT(ADDRESS(ROW()+1,COLUMN(), 4)),Dex!$A$2:$C367,3,false),"")</f>
        <v/>
      </c>
      <c r="H80" s="22" t="str">
        <f t="array" ref="H80">iferror(VLOOKUP("TRAINER_PIC_COOLTRAINER_F",Sprites!$A$1:$B367,2,false),"")</f>
        <v/>
      </c>
      <c r="I80" s="23"/>
    </row>
    <row r="81">
      <c r="A81" s="24"/>
      <c r="B81" s="25" t="s">
        <v>372</v>
      </c>
      <c r="C81" s="25" t="s">
        <v>473</v>
      </c>
      <c r="D81" s="25" t="s">
        <v>220</v>
      </c>
      <c r="E81" s="25" t="s">
        <v>293</v>
      </c>
      <c r="F81" s="25" t="s">
        <v>699</v>
      </c>
      <c r="G81" s="25" t="s">
        <v>351</v>
      </c>
      <c r="H81" s="26"/>
    </row>
    <row r="82">
      <c r="A82" s="16" t="s">
        <v>1178</v>
      </c>
      <c r="B82" s="27" t="s">
        <v>2660</v>
      </c>
      <c r="C82" s="27" t="s">
        <v>2660</v>
      </c>
      <c r="D82" s="27" t="s">
        <v>2651</v>
      </c>
      <c r="E82" s="27" t="s">
        <v>2651</v>
      </c>
      <c r="F82" s="27" t="s">
        <v>2651</v>
      </c>
      <c r="G82" s="27" t="s">
        <v>2661</v>
      </c>
      <c r="H82" s="26"/>
    </row>
    <row r="83">
      <c r="A83" s="16" t="s">
        <v>1181</v>
      </c>
      <c r="B83" s="28" t="s">
        <v>2201</v>
      </c>
      <c r="C83" s="28" t="s">
        <v>1572</v>
      </c>
      <c r="D83" s="28" t="s">
        <v>1209</v>
      </c>
      <c r="E83" s="28" t="s">
        <v>2284</v>
      </c>
      <c r="F83" s="28" t="s">
        <v>1882</v>
      </c>
      <c r="G83" s="28" t="s">
        <v>2319</v>
      </c>
      <c r="H83" s="26"/>
    </row>
    <row r="84">
      <c r="A84" s="16" t="s">
        <v>1182</v>
      </c>
      <c r="B84" s="21" t="s">
        <v>2097</v>
      </c>
      <c r="C84" s="21" t="s">
        <v>1212</v>
      </c>
      <c r="D84" s="21" t="s">
        <v>2310</v>
      </c>
      <c r="E84" s="21" t="s">
        <v>1461</v>
      </c>
      <c r="F84" s="21" t="s">
        <v>1636</v>
      </c>
      <c r="G84" s="21" t="s">
        <v>1212</v>
      </c>
      <c r="H84" s="26"/>
    </row>
    <row r="85">
      <c r="A85" s="16" t="s">
        <v>1186</v>
      </c>
      <c r="B85" s="28" t="s">
        <v>1256</v>
      </c>
      <c r="C85" s="28" t="s">
        <v>1256</v>
      </c>
      <c r="D85" s="28" t="s">
        <v>1269</v>
      </c>
      <c r="E85" s="28" t="s">
        <v>1235</v>
      </c>
      <c r="F85" s="28" t="s">
        <v>1284</v>
      </c>
      <c r="G85" s="28" t="s">
        <v>1235</v>
      </c>
      <c r="H85" s="26"/>
    </row>
    <row r="86">
      <c r="A86" s="20" t="s">
        <v>1188</v>
      </c>
      <c r="B86" s="21" t="s">
        <v>1251</v>
      </c>
      <c r="C86" s="21" t="s">
        <v>1617</v>
      </c>
      <c r="D86" s="21" t="s">
        <v>1822</v>
      </c>
      <c r="E86" s="21" t="s">
        <v>1201</v>
      </c>
      <c r="F86" s="21" t="s">
        <v>1371</v>
      </c>
      <c r="G86" s="21" t="s">
        <v>1677</v>
      </c>
      <c r="H86" s="26"/>
    </row>
    <row r="87">
      <c r="A87" s="29"/>
      <c r="B87" s="21" t="s">
        <v>1822</v>
      </c>
      <c r="C87" s="21" t="s">
        <v>1468</v>
      </c>
      <c r="D87" s="21" t="s">
        <v>1712</v>
      </c>
      <c r="E87" s="21" t="s">
        <v>1426</v>
      </c>
      <c r="F87" s="21" t="s">
        <v>1822</v>
      </c>
      <c r="G87" s="21" t="s">
        <v>1760</v>
      </c>
      <c r="H87" s="26"/>
    </row>
    <row r="88">
      <c r="A88" s="29"/>
      <c r="B88" s="21" t="s">
        <v>1621</v>
      </c>
      <c r="C88" s="21" t="s">
        <v>1856</v>
      </c>
      <c r="D88" s="21" t="s">
        <v>1251</v>
      </c>
      <c r="E88" s="21" t="s">
        <v>1192</v>
      </c>
      <c r="F88" s="21" t="s">
        <v>2022</v>
      </c>
      <c r="G88" s="21" t="s">
        <v>1678</v>
      </c>
      <c r="H88" s="26"/>
    </row>
    <row r="89">
      <c r="A89" s="24"/>
      <c r="B89" s="21" t="s">
        <v>1243</v>
      </c>
      <c r="C89" s="21" t="s">
        <v>2019</v>
      </c>
      <c r="D89" s="21" t="s">
        <v>1677</v>
      </c>
      <c r="E89" s="21" t="s">
        <v>1641</v>
      </c>
      <c r="F89" s="21" t="s">
        <v>1378</v>
      </c>
      <c r="G89" s="21" t="s">
        <v>1422</v>
      </c>
      <c r="H89" s="30"/>
      <c r="I89" s="14"/>
    </row>
    <row r="90">
      <c r="A90" s="16" t="s">
        <v>1174</v>
      </c>
      <c r="B90" s="17" t="s">
        <v>2673</v>
      </c>
      <c r="C90" s="18"/>
      <c r="D90" s="18"/>
      <c r="E90" s="18"/>
      <c r="F90" s="18"/>
      <c r="G90" s="18"/>
      <c r="H90" s="18"/>
      <c r="I90" s="16"/>
    </row>
    <row r="91" ht="60.0" customHeight="1">
      <c r="A91" s="20" t="s">
        <v>1176</v>
      </c>
      <c r="B91" s="21" t="str">
        <f t="array" ref="B91">iferror(VLOOKUP(INDIRECT(ADDRESS(ROW()+1,COLUMN(), 4)),Dex!$A$2:$C367,3,false),"")</f>
        <v/>
      </c>
      <c r="C91" s="39" t="str">
        <f t="array" ref="C91">iferror(VLOOKUP(INDIRECT(ADDRESS(ROW()+1,COLUMN(), 4)),Dex!$A$2:$C367,3,false),"")</f>
        <v/>
      </c>
      <c r="D91" s="21" t="str">
        <f t="array" ref="D91">iferror(VLOOKUP(INDIRECT(ADDRESS(ROW()+1,COLUMN(), 4)),Dex!$A$2:$C367,3,false),"")</f>
        <v/>
      </c>
      <c r="E91" s="21" t="str">
        <f t="array" ref="E91">iferror(VLOOKUP(INDIRECT(ADDRESS(ROW()+1,COLUMN(), 4)),Dex!$A$2:$C367,3,false),"")</f>
        <v/>
      </c>
      <c r="F91" s="21" t="str">
        <f t="array" ref="F91">iferror(VLOOKUP(INDIRECT(ADDRESS(ROW()+1,COLUMN(), 4)),Dex!$A$2:$C367,3,false),"")</f>
        <v/>
      </c>
      <c r="G91" s="21" t="str">
        <f t="array" ref="G91">iferror(VLOOKUP(INDIRECT(ADDRESS(ROW()+1,COLUMN(), 4)),Dex!$A$2:$C367,3,false),"")</f>
        <v/>
      </c>
      <c r="H91" s="22" t="str">
        <f t="array" ref="H91">iferror(VLOOKUP("TRAINER_PIC_COOLTRAINER_F",Sprites!$A$1:$B367,2,false),"")</f>
        <v/>
      </c>
      <c r="I91" s="23"/>
    </row>
    <row r="92">
      <c r="A92" s="24"/>
      <c r="B92" s="25" t="s">
        <v>945</v>
      </c>
      <c r="C92" s="25" t="s">
        <v>757</v>
      </c>
      <c r="D92" s="25" t="s">
        <v>18</v>
      </c>
      <c r="E92" s="25" t="s">
        <v>729</v>
      </c>
      <c r="F92" s="25" t="s">
        <v>789</v>
      </c>
      <c r="G92" s="25" t="s">
        <v>599</v>
      </c>
      <c r="H92" s="26"/>
    </row>
    <row r="93">
      <c r="A93" s="16" t="s">
        <v>1178</v>
      </c>
      <c r="B93" s="27" t="s">
        <v>2660</v>
      </c>
      <c r="C93" s="27" t="s">
        <v>2660</v>
      </c>
      <c r="D93" s="27" t="s">
        <v>2660</v>
      </c>
      <c r="E93" s="27" t="s">
        <v>2661</v>
      </c>
      <c r="F93" s="27" t="s">
        <v>2661</v>
      </c>
      <c r="G93" s="27" t="s">
        <v>2661</v>
      </c>
      <c r="H93" s="26"/>
    </row>
    <row r="94">
      <c r="A94" s="16" t="s">
        <v>1181</v>
      </c>
      <c r="B94" s="28" t="s">
        <v>1838</v>
      </c>
      <c r="C94" s="28" t="s">
        <v>2045</v>
      </c>
      <c r="D94" s="28" t="s">
        <v>1572</v>
      </c>
      <c r="E94" s="28" t="s">
        <v>1247</v>
      </c>
      <c r="F94" s="28" t="s">
        <v>1882</v>
      </c>
      <c r="G94" s="28" t="s">
        <v>2674</v>
      </c>
      <c r="H94" s="26"/>
    </row>
    <row r="95">
      <c r="A95" s="16" t="s">
        <v>1182</v>
      </c>
      <c r="B95" s="21" t="s">
        <v>1982</v>
      </c>
      <c r="C95" s="21" t="s">
        <v>1946</v>
      </c>
      <c r="D95" s="21" t="s">
        <v>1648</v>
      </c>
      <c r="E95" s="21" t="s">
        <v>1906</v>
      </c>
      <c r="F95" s="21" t="s">
        <v>1938</v>
      </c>
      <c r="G95" s="21" t="s">
        <v>1356</v>
      </c>
      <c r="H95" s="26"/>
    </row>
    <row r="96">
      <c r="A96" s="16" t="s">
        <v>1186</v>
      </c>
      <c r="B96" s="28" t="s">
        <v>1248</v>
      </c>
      <c r="C96" s="28" t="s">
        <v>1383</v>
      </c>
      <c r="D96" s="28" t="s">
        <v>1269</v>
      </c>
      <c r="E96" s="28" t="s">
        <v>1284</v>
      </c>
      <c r="F96" s="28" t="s">
        <v>1284</v>
      </c>
      <c r="G96" s="28" t="s">
        <v>1235</v>
      </c>
      <c r="H96" s="26"/>
    </row>
    <row r="97">
      <c r="A97" s="20" t="s">
        <v>1188</v>
      </c>
      <c r="B97" s="21" t="s">
        <v>1677</v>
      </c>
      <c r="C97" s="21" t="s">
        <v>1983</v>
      </c>
      <c r="D97" s="21" t="s">
        <v>1695</v>
      </c>
      <c r="E97" s="21" t="s">
        <v>1778</v>
      </c>
      <c r="F97" s="21" t="s">
        <v>1822</v>
      </c>
      <c r="G97" s="21" t="s">
        <v>1874</v>
      </c>
      <c r="H97" s="26"/>
    </row>
    <row r="98">
      <c r="A98" s="29"/>
      <c r="B98" s="21" t="s">
        <v>1804</v>
      </c>
      <c r="C98" s="21" t="s">
        <v>2110</v>
      </c>
      <c r="D98" s="21" t="s">
        <v>1677</v>
      </c>
      <c r="E98" s="21" t="s">
        <v>1740</v>
      </c>
      <c r="F98" s="21" t="s">
        <v>1731</v>
      </c>
      <c r="G98" s="21" t="s">
        <v>1469</v>
      </c>
      <c r="H98" s="26"/>
    </row>
    <row r="99">
      <c r="A99" s="29"/>
      <c r="B99" s="21" t="s">
        <v>1385</v>
      </c>
      <c r="C99" s="21" t="s">
        <v>2026</v>
      </c>
      <c r="D99" s="21" t="s">
        <v>1468</v>
      </c>
      <c r="E99" s="21" t="s">
        <v>1652</v>
      </c>
      <c r="F99" s="21" t="s">
        <v>1629</v>
      </c>
      <c r="G99" s="21" t="s">
        <v>1749</v>
      </c>
      <c r="H99" s="26"/>
    </row>
    <row r="100">
      <c r="A100" s="24"/>
      <c r="B100" s="21" t="s">
        <v>1758</v>
      </c>
      <c r="C100" s="21" t="s">
        <v>1705</v>
      </c>
      <c r="D100" s="21" t="s">
        <v>2019</v>
      </c>
      <c r="E100" s="21" t="s">
        <v>1771</v>
      </c>
      <c r="F100" s="21" t="s">
        <v>1891</v>
      </c>
      <c r="G100" s="21" t="s">
        <v>1307</v>
      </c>
      <c r="H100" s="30"/>
      <c r="I100" s="14"/>
    </row>
    <row r="101">
      <c r="A101" s="16" t="s">
        <v>1174</v>
      </c>
      <c r="B101" s="17" t="s">
        <v>2675</v>
      </c>
      <c r="C101" s="18"/>
      <c r="D101" s="18"/>
      <c r="E101" s="18"/>
      <c r="F101" s="18"/>
      <c r="G101" s="18"/>
      <c r="H101" s="18"/>
      <c r="I101" s="16"/>
    </row>
    <row r="102" ht="60.0" customHeight="1">
      <c r="A102" s="20" t="s">
        <v>1176</v>
      </c>
      <c r="B102" s="21" t="str">
        <f t="array" ref="B102">iferror(VLOOKUP(INDIRECT(ADDRESS(ROW()+1,COLUMN(), 4)),Dex!$A$2:$C367,3,false),"")</f>
        <v/>
      </c>
      <c r="C102" s="21" t="str">
        <f t="array" ref="C102">iferror(VLOOKUP(INDIRECT(ADDRESS(ROW()+1,COLUMN(), 4)),Dex!$A$2:$C367,3,false),"")</f>
        <v/>
      </c>
      <c r="D102" s="21" t="str">
        <f t="array" ref="D102">iferror(VLOOKUP(INDIRECT(ADDRESS(ROW()+1,COLUMN(), 4)),Dex!$A$2:$C367,3,false),"")</f>
        <v/>
      </c>
      <c r="E102" s="21" t="str">
        <f t="array" ref="E102">iferror(VLOOKUP(INDIRECT(ADDRESS(ROW()+1,COLUMN(), 4)),Dex!$A$2:$C367,3,false),"")</f>
        <v/>
      </c>
      <c r="F102" s="21" t="str">
        <f t="array" ref="F102">iferror(VLOOKUP(INDIRECT(ADDRESS(ROW()+1,COLUMN(), 4)),Dex!$A$2:$C367,3,false),"")</f>
        <v/>
      </c>
      <c r="G102" s="21" t="str">
        <f t="array" ref="G102">iferror(VLOOKUP(INDIRECT(ADDRESS(ROW()+1,COLUMN(), 4)),Dex!$A$2:$C367,3,false),"")</f>
        <v/>
      </c>
      <c r="H102" s="22" t="str">
        <f t="array" ref="H102">iferror(VLOOKUP("TRAINER_PIC_COOLTRAINER_F",Sprites!$A$1:$B367,2,false),"")</f>
        <v/>
      </c>
      <c r="I102" s="23"/>
    </row>
    <row r="103">
      <c r="A103" s="24"/>
      <c r="B103" s="25" t="s">
        <v>859</v>
      </c>
      <c r="C103" s="25" t="s">
        <v>709</v>
      </c>
      <c r="D103" s="25" t="s">
        <v>768</v>
      </c>
      <c r="E103" s="25" t="s">
        <v>594</v>
      </c>
      <c r="F103" s="25" t="s">
        <v>796</v>
      </c>
      <c r="G103" s="25" t="s">
        <v>297</v>
      </c>
      <c r="H103" s="26"/>
    </row>
    <row r="104">
      <c r="A104" s="16" t="s">
        <v>1178</v>
      </c>
      <c r="B104" s="27" t="s">
        <v>2660</v>
      </c>
      <c r="C104" s="27" t="s">
        <v>2660</v>
      </c>
      <c r="D104" s="27" t="s">
        <v>2660</v>
      </c>
      <c r="E104" s="27" t="s">
        <v>2661</v>
      </c>
      <c r="F104" s="27" t="s">
        <v>2661</v>
      </c>
      <c r="G104" s="27" t="s">
        <v>2661</v>
      </c>
      <c r="H104" s="26"/>
    </row>
    <row r="105">
      <c r="A105" s="16" t="s">
        <v>1181</v>
      </c>
      <c r="B105" s="28" t="s">
        <v>1247</v>
      </c>
      <c r="C105" s="28" t="s">
        <v>1882</v>
      </c>
      <c r="D105" s="28" t="s">
        <v>1341</v>
      </c>
      <c r="E105" s="28" t="s">
        <v>1434</v>
      </c>
      <c r="F105" s="28" t="s">
        <v>1209</v>
      </c>
      <c r="G105" s="28" t="s">
        <v>2676</v>
      </c>
      <c r="H105" s="26"/>
    </row>
    <row r="106">
      <c r="A106" s="16" t="s">
        <v>1182</v>
      </c>
      <c r="B106" s="21" t="s">
        <v>1222</v>
      </c>
      <c r="C106" s="21" t="s">
        <v>1938</v>
      </c>
      <c r="D106" s="21" t="s">
        <v>1730</v>
      </c>
      <c r="E106" s="21" t="s">
        <v>1436</v>
      </c>
      <c r="F106" s="21" t="s">
        <v>1368</v>
      </c>
      <c r="G106" s="21" t="s">
        <v>1774</v>
      </c>
      <c r="H106" s="26"/>
    </row>
    <row r="107">
      <c r="A107" s="16" t="s">
        <v>1186</v>
      </c>
      <c r="B107" s="28" t="s">
        <v>1284</v>
      </c>
      <c r="C107" s="28" t="s">
        <v>1235</v>
      </c>
      <c r="D107" s="28" t="s">
        <v>1284</v>
      </c>
      <c r="E107" s="28" t="s">
        <v>1235</v>
      </c>
      <c r="F107" s="28" t="s">
        <v>1284</v>
      </c>
      <c r="G107" s="28" t="s">
        <v>1235</v>
      </c>
      <c r="H107" s="26"/>
    </row>
    <row r="108">
      <c r="A108" s="20" t="s">
        <v>1188</v>
      </c>
      <c r="B108" s="21" t="s">
        <v>2451</v>
      </c>
      <c r="C108" s="21" t="s">
        <v>1737</v>
      </c>
      <c r="D108" s="21" t="s">
        <v>2104</v>
      </c>
      <c r="E108" s="21" t="s">
        <v>1677</v>
      </c>
      <c r="F108" s="21" t="s">
        <v>1828</v>
      </c>
      <c r="G108" s="21" t="s">
        <v>1874</v>
      </c>
      <c r="H108" s="26"/>
    </row>
    <row r="109">
      <c r="A109" s="29"/>
      <c r="B109" s="21" t="s">
        <v>2104</v>
      </c>
      <c r="C109" s="21" t="s">
        <v>1677</v>
      </c>
      <c r="D109" s="21" t="s">
        <v>1742</v>
      </c>
      <c r="E109" s="21" t="s">
        <v>1432</v>
      </c>
      <c r="F109" s="21" t="s">
        <v>1890</v>
      </c>
      <c r="G109" s="21" t="s">
        <v>1202</v>
      </c>
      <c r="H109" s="26"/>
    </row>
    <row r="110">
      <c r="A110" s="29"/>
      <c r="B110" s="21" t="s">
        <v>1836</v>
      </c>
      <c r="C110" s="21" t="s">
        <v>1469</v>
      </c>
      <c r="D110" s="21" t="s">
        <v>1371</v>
      </c>
      <c r="E110" s="21" t="s">
        <v>1307</v>
      </c>
      <c r="F110" s="21" t="s">
        <v>1740</v>
      </c>
      <c r="G110" s="21" t="s">
        <v>1303</v>
      </c>
      <c r="H110" s="26"/>
    </row>
    <row r="111">
      <c r="A111" s="24"/>
      <c r="B111" s="21" t="s">
        <v>1310</v>
      </c>
      <c r="C111" s="21" t="s">
        <v>1438</v>
      </c>
      <c r="D111" s="21" t="s">
        <v>1788</v>
      </c>
      <c r="E111" s="21" t="s">
        <v>1705</v>
      </c>
      <c r="F111" s="21" t="s">
        <v>1771</v>
      </c>
      <c r="G111" s="21" t="s">
        <v>1959</v>
      </c>
      <c r="H111" s="30"/>
      <c r="I111" s="14"/>
    </row>
    <row r="112">
      <c r="A112" s="16" t="s">
        <v>1174</v>
      </c>
      <c r="B112" s="17" t="s">
        <v>2677</v>
      </c>
      <c r="C112" s="18"/>
      <c r="D112" s="18"/>
      <c r="E112" s="18"/>
      <c r="F112" s="18"/>
      <c r="G112" s="18"/>
      <c r="H112" s="18"/>
      <c r="I112" s="16"/>
    </row>
    <row r="113" ht="60.0" customHeight="1">
      <c r="A113" s="20" t="s">
        <v>1176</v>
      </c>
      <c r="B113" s="21" t="str">
        <f t="array" ref="B113">iferror(VLOOKUP(INDIRECT(ADDRESS(ROW()+1,COLUMN(), 4)),Dex!$A$2:$C367,3,false),"")</f>
        <v/>
      </c>
      <c r="C113" s="21" t="str">
        <f t="array" ref="C113">iferror(VLOOKUP(INDIRECT(ADDRESS(ROW()+1,COLUMN(), 4)),Dex!$A$2:$C367,3,false),"")</f>
        <v/>
      </c>
      <c r="D113" s="21" t="str">
        <f t="array" ref="D113">iferror(VLOOKUP(INDIRECT(ADDRESS(ROW()+1,COLUMN(), 4)),Dex!$A$2:$C367,3,false),"")</f>
        <v/>
      </c>
      <c r="E113" s="21" t="str">
        <f t="array" ref="E113">iferror(VLOOKUP(INDIRECT(ADDRESS(ROW()+1,COLUMN(), 4)),Dex!$A$2:$C367,3,false),"")</f>
        <v/>
      </c>
      <c r="F113" s="21" t="str">
        <f t="array" ref="F113">iferror(VLOOKUP(INDIRECT(ADDRESS(ROW()+1,COLUMN(), 4)),Dex!$A$2:$C367,3,false),"")</f>
        <v/>
      </c>
      <c r="G113" s="21" t="str">
        <f t="array" ref="G113">iferror(VLOOKUP(INDIRECT(ADDRESS(ROW()+1,COLUMN(), 4)),Dex!$A$2:$C367,3,false),"")</f>
        <v/>
      </c>
      <c r="H113" s="22" t="str">
        <f t="array" ref="H113">iferror(VLOOKUP("TRAINER_PIC_COOLTRAINER_M",Sprites!$A$1:$B367,2,false),"")</f>
        <v/>
      </c>
      <c r="I113" s="23"/>
    </row>
    <row r="114">
      <c r="A114" s="24"/>
      <c r="B114" s="25" t="s">
        <v>210</v>
      </c>
      <c r="C114" s="25" t="s">
        <v>478</v>
      </c>
      <c r="D114" s="25" t="s">
        <v>380</v>
      </c>
      <c r="E114" s="25" t="s">
        <v>482</v>
      </c>
      <c r="F114" s="25" t="s">
        <v>177</v>
      </c>
      <c r="G114" s="25" t="s">
        <v>397</v>
      </c>
      <c r="H114" s="26"/>
    </row>
    <row r="115">
      <c r="A115" s="16" t="s">
        <v>1178</v>
      </c>
      <c r="B115" s="27" t="s">
        <v>2661</v>
      </c>
      <c r="C115" s="27" t="s">
        <v>2660</v>
      </c>
      <c r="D115" s="27" t="s">
        <v>2660</v>
      </c>
      <c r="E115" s="27" t="s">
        <v>2661</v>
      </c>
      <c r="F115" s="27" t="s">
        <v>2661</v>
      </c>
      <c r="G115" s="27" t="s">
        <v>2678</v>
      </c>
      <c r="H115" s="26"/>
    </row>
    <row r="116">
      <c r="A116" s="16" t="s">
        <v>1181</v>
      </c>
      <c r="B116" s="28" t="s">
        <v>1703</v>
      </c>
      <c r="C116" s="28" t="s">
        <v>1882</v>
      </c>
      <c r="D116" s="28" t="s">
        <v>1247</v>
      </c>
      <c r="E116" s="28" t="s">
        <v>1701</v>
      </c>
      <c r="F116" s="28" t="s">
        <v>1901</v>
      </c>
      <c r="G116" s="28" t="s">
        <v>2679</v>
      </c>
      <c r="H116" s="26"/>
    </row>
    <row r="117">
      <c r="A117" s="16" t="s">
        <v>1182</v>
      </c>
      <c r="B117" s="21" t="s">
        <v>1299</v>
      </c>
      <c r="C117" s="21" t="s">
        <v>1298</v>
      </c>
      <c r="D117" s="21" t="s">
        <v>1461</v>
      </c>
      <c r="E117" s="21" t="s">
        <v>1783</v>
      </c>
      <c r="F117" s="21" t="s">
        <v>1811</v>
      </c>
      <c r="G117" s="21" t="s">
        <v>1877</v>
      </c>
      <c r="H117" s="26"/>
    </row>
    <row r="118">
      <c r="A118" s="16" t="s">
        <v>1186</v>
      </c>
      <c r="B118" s="28" t="s">
        <v>1446</v>
      </c>
      <c r="C118" s="28" t="s">
        <v>1249</v>
      </c>
      <c r="D118" s="28" t="s">
        <v>1235</v>
      </c>
      <c r="E118" s="28" t="s">
        <v>1235</v>
      </c>
      <c r="F118" s="28" t="s">
        <v>1284</v>
      </c>
      <c r="G118" s="28" t="s">
        <v>1394</v>
      </c>
      <c r="H118" s="26"/>
    </row>
    <row r="119">
      <c r="A119" s="20" t="s">
        <v>1188</v>
      </c>
      <c r="B119" s="21" t="s">
        <v>2167</v>
      </c>
      <c r="C119" s="21" t="s">
        <v>2268</v>
      </c>
      <c r="D119" s="21" t="s">
        <v>1874</v>
      </c>
      <c r="E119" s="21" t="s">
        <v>2317</v>
      </c>
      <c r="F119" s="21" t="s">
        <v>1251</v>
      </c>
      <c r="G119" s="21" t="s">
        <v>1288</v>
      </c>
      <c r="H119" s="26"/>
    </row>
    <row r="120">
      <c r="A120" s="29"/>
      <c r="B120" s="21" t="s">
        <v>1677</v>
      </c>
      <c r="C120" s="21" t="s">
        <v>1415</v>
      </c>
      <c r="D120" s="21" t="s">
        <v>1324</v>
      </c>
      <c r="E120" s="21" t="s">
        <v>1804</v>
      </c>
      <c r="F120" s="21" t="s">
        <v>1731</v>
      </c>
      <c r="G120" s="21" t="s">
        <v>1395</v>
      </c>
      <c r="H120" s="26"/>
    </row>
    <row r="121">
      <c r="A121" s="29"/>
      <c r="B121" s="21" t="s">
        <v>1594</v>
      </c>
      <c r="C121" s="21" t="s">
        <v>1677</v>
      </c>
      <c r="D121" s="21" t="s">
        <v>1273</v>
      </c>
      <c r="E121" s="21" t="s">
        <v>1711</v>
      </c>
      <c r="F121" s="21" t="s">
        <v>2214</v>
      </c>
      <c r="G121" s="21" t="s">
        <v>1590</v>
      </c>
      <c r="H121" s="26"/>
    </row>
    <row r="122">
      <c r="A122" s="24"/>
      <c r="B122" s="21" t="s">
        <v>1896</v>
      </c>
      <c r="C122" s="21" t="s">
        <v>1309</v>
      </c>
      <c r="D122" s="21" t="s">
        <v>1360</v>
      </c>
      <c r="E122" s="21" t="s">
        <v>1984</v>
      </c>
      <c r="F122" s="21" t="s">
        <v>1468</v>
      </c>
      <c r="G122" s="21" t="s">
        <v>1398</v>
      </c>
      <c r="H122" s="30"/>
      <c r="I122" s="14"/>
    </row>
    <row r="123">
      <c r="A123" s="16" t="s">
        <v>1174</v>
      </c>
      <c r="B123" s="17" t="s">
        <v>2680</v>
      </c>
      <c r="C123" s="18"/>
      <c r="D123" s="18"/>
      <c r="E123" s="18"/>
      <c r="F123" s="18"/>
      <c r="G123" s="18"/>
      <c r="H123" s="18"/>
      <c r="I123" s="16"/>
    </row>
    <row r="124" ht="60.0" customHeight="1">
      <c r="A124" s="20" t="s">
        <v>1176</v>
      </c>
      <c r="B124" s="21" t="str">
        <f t="array" ref="B124">iferror(VLOOKUP(INDIRECT(ADDRESS(ROW()+1,COLUMN(), 4)),Dex!$A$2:$C367,3,false),"")</f>
        <v/>
      </c>
      <c r="C124" s="21" t="str">
        <f t="array" ref="C124">iferror(VLOOKUP(INDIRECT(ADDRESS(ROW()+1,COLUMN(), 4)),Dex!$A$2:$C367,3,false),"")</f>
        <v/>
      </c>
      <c r="D124" s="21" t="str">
        <f t="array" ref="D124">iferror(VLOOKUP(INDIRECT(ADDRESS(ROW()+1,COLUMN(), 4)),Dex!$A$2:$C367,3,false),"")</f>
        <v/>
      </c>
      <c r="E124" s="21" t="str">
        <f t="array" ref="E124">iferror(VLOOKUP(INDIRECT(ADDRESS(ROW()+1,COLUMN(), 4)),Dex!$A$2:$C367,3,false),"")</f>
        <v/>
      </c>
      <c r="F124" s="21" t="str">
        <f t="array" ref="F124">iferror(VLOOKUP(INDIRECT(ADDRESS(ROW()+1,COLUMN(), 4)),Dex!$A$2:$C367,3,false),"")</f>
        <v/>
      </c>
      <c r="G124" s="21" t="str">
        <f t="array" ref="G124">iferror(VLOOKUP(INDIRECT(ADDRESS(ROW()+1,COLUMN(), 4)),Dex!$A$2:$C367,3,false),"")</f>
        <v/>
      </c>
      <c r="H124" s="22" t="str">
        <f t="array" ref="H124">iferror(VLOOKUP("TRAINER_PIC_COOLTRAINER_M",Sprites!$A$1:$B367,2,false),"")</f>
        <v/>
      </c>
      <c r="I124" s="23"/>
    </row>
    <row r="125">
      <c r="A125" s="24"/>
      <c r="B125" s="25" t="s">
        <v>14</v>
      </c>
      <c r="C125" s="25" t="s">
        <v>586</v>
      </c>
      <c r="D125" s="25" t="s">
        <v>702</v>
      </c>
      <c r="E125" s="25" t="s">
        <v>62</v>
      </c>
      <c r="F125" s="25" t="s">
        <v>5</v>
      </c>
      <c r="G125" s="25" t="s">
        <v>881</v>
      </c>
      <c r="H125" s="26"/>
    </row>
    <row r="126">
      <c r="A126" s="16" t="s">
        <v>1178</v>
      </c>
      <c r="B126" s="27" t="s">
        <v>2681</v>
      </c>
      <c r="C126" s="27" t="s">
        <v>2660</v>
      </c>
      <c r="D126" s="27" t="s">
        <v>2661</v>
      </c>
      <c r="E126" s="27" t="s">
        <v>2660</v>
      </c>
      <c r="F126" s="27" t="s">
        <v>2661</v>
      </c>
      <c r="G126" s="27" t="s">
        <v>2660</v>
      </c>
      <c r="H126" s="26"/>
    </row>
    <row r="127">
      <c r="A127" s="16" t="s">
        <v>1181</v>
      </c>
      <c r="B127" s="28" t="s">
        <v>2189</v>
      </c>
      <c r="C127" s="28" t="s">
        <v>1295</v>
      </c>
      <c r="D127" s="28" t="s">
        <v>1282</v>
      </c>
      <c r="E127" s="28" t="s">
        <v>1247</v>
      </c>
      <c r="F127" s="28" t="s">
        <v>1882</v>
      </c>
      <c r="G127" s="28" t="s">
        <v>1838</v>
      </c>
      <c r="H127" s="26"/>
    </row>
    <row r="128">
      <c r="A128" s="16" t="s">
        <v>1182</v>
      </c>
      <c r="B128" s="21" t="s">
        <v>2065</v>
      </c>
      <c r="C128" s="21" t="s">
        <v>1692</v>
      </c>
      <c r="D128" s="21" t="s">
        <v>1369</v>
      </c>
      <c r="E128" s="21" t="s">
        <v>2401</v>
      </c>
      <c r="F128" s="21" t="s">
        <v>1369</v>
      </c>
      <c r="G128" s="21" t="s">
        <v>2472</v>
      </c>
      <c r="H128" s="26"/>
    </row>
    <row r="129">
      <c r="A129" s="16" t="s">
        <v>1186</v>
      </c>
      <c r="B129" s="28" t="s">
        <v>1284</v>
      </c>
      <c r="C129" s="28" t="s">
        <v>1248</v>
      </c>
      <c r="D129" s="28" t="s">
        <v>1248</v>
      </c>
      <c r="E129" s="28" t="s">
        <v>1284</v>
      </c>
      <c r="F129" s="28" t="s">
        <v>1334</v>
      </c>
      <c r="G129" s="28" t="s">
        <v>1234</v>
      </c>
      <c r="H129" s="26"/>
    </row>
    <row r="130">
      <c r="A130" s="20" t="s">
        <v>1188</v>
      </c>
      <c r="B130" s="21" t="s">
        <v>1629</v>
      </c>
      <c r="C130" s="21" t="s">
        <v>1974</v>
      </c>
      <c r="D130" s="21" t="s">
        <v>2067</v>
      </c>
      <c r="E130" s="21" t="s">
        <v>1815</v>
      </c>
      <c r="F130" s="21" t="s">
        <v>1914</v>
      </c>
      <c r="G130" s="21" t="s">
        <v>1828</v>
      </c>
      <c r="H130" s="26"/>
    </row>
    <row r="131">
      <c r="A131" s="29"/>
      <c r="B131" s="21" t="s">
        <v>1619</v>
      </c>
      <c r="C131" s="21" t="s">
        <v>1677</v>
      </c>
      <c r="D131" s="21" t="s">
        <v>1874</v>
      </c>
      <c r="E131" s="21" t="s">
        <v>1835</v>
      </c>
      <c r="F131" s="21" t="s">
        <v>1677</v>
      </c>
      <c r="G131" s="21" t="s">
        <v>1677</v>
      </c>
      <c r="H131" s="26"/>
    </row>
    <row r="132">
      <c r="A132" s="29"/>
      <c r="B132" s="21" t="s">
        <v>1878</v>
      </c>
      <c r="C132" s="21" t="s">
        <v>1755</v>
      </c>
      <c r="D132" s="21" t="s">
        <v>1238</v>
      </c>
      <c r="E132" s="21" t="s">
        <v>2022</v>
      </c>
      <c r="F132" s="21" t="s">
        <v>2022</v>
      </c>
      <c r="G132" s="21" t="s">
        <v>2022</v>
      </c>
      <c r="H132" s="26"/>
    </row>
    <row r="133">
      <c r="A133" s="24"/>
      <c r="B133" s="21" t="s">
        <v>1914</v>
      </c>
      <c r="C133" s="21" t="s">
        <v>1705</v>
      </c>
      <c r="D133" s="21" t="s">
        <v>1622</v>
      </c>
      <c r="E133" s="21" t="s">
        <v>1771</v>
      </c>
      <c r="F133" s="21" t="s">
        <v>2438</v>
      </c>
      <c r="G133" s="21" t="s">
        <v>1896</v>
      </c>
      <c r="H133" s="30"/>
      <c r="I133" s="14"/>
    </row>
    <row r="134">
      <c r="A134" s="16" t="s">
        <v>1174</v>
      </c>
      <c r="B134" s="17" t="s">
        <v>2682</v>
      </c>
      <c r="C134" s="18"/>
      <c r="D134" s="18"/>
      <c r="E134" s="18"/>
      <c r="F134" s="18"/>
      <c r="G134" s="18"/>
      <c r="H134" s="18"/>
      <c r="I134" s="16"/>
    </row>
    <row r="135" ht="60.0" customHeight="1">
      <c r="A135" s="20" t="s">
        <v>1176</v>
      </c>
      <c r="B135" s="21" t="str">
        <f t="array" ref="B135">iferror(VLOOKUP(INDIRECT(ADDRESS(ROW()+1,COLUMN(), 4)),Dex!$A$2:$C367,3,false),"")</f>
        <v/>
      </c>
      <c r="C135" s="21" t="str">
        <f t="array" ref="C135">iferror(VLOOKUP(INDIRECT(ADDRESS(ROW()+1,COLUMN(), 4)),Dex!$A$2:$C367,3,false),"")</f>
        <v/>
      </c>
      <c r="D135" s="21" t="str">
        <f t="array" ref="D135">iferror(VLOOKUP(INDIRECT(ADDRESS(ROW()+1,COLUMN(), 4)),Dex!$A$2:$C367,3,false),"")</f>
        <v/>
      </c>
      <c r="E135" s="21" t="str">
        <f t="array" ref="E135">iferror(VLOOKUP(INDIRECT(ADDRESS(ROW()+1,COLUMN(), 4)),Dex!$A$2:$C367,3,false),"")</f>
        <v/>
      </c>
      <c r="F135" s="21" t="str">
        <f t="array" ref="F135">iferror(VLOOKUP(INDIRECT(ADDRESS(ROW()+1,COLUMN(), 4)),Dex!$A$2:$C367,3,false),"")</f>
        <v/>
      </c>
      <c r="G135" s="21" t="str">
        <f t="array" ref="G135">iferror(VLOOKUP(INDIRECT(ADDRESS(ROW()+1,COLUMN(), 4)),Dex!$A$2:$C367,3,false),"")</f>
        <v/>
      </c>
      <c r="H135" s="22" t="str">
        <f t="array" ref="H135">iferror(VLOOKUP("TRAINER_PIC_RUNNING_TRIATHLETE_M",Sprites!$A$1:$B367,2,false),"")</f>
        <v/>
      </c>
      <c r="I135" s="23"/>
    </row>
    <row r="136">
      <c r="A136" s="24"/>
      <c r="B136" s="25" t="s">
        <v>723</v>
      </c>
      <c r="C136" s="25" t="s">
        <v>281</v>
      </c>
      <c r="D136" s="25" t="s">
        <v>56</v>
      </c>
      <c r="E136" s="25" t="s">
        <v>1136</v>
      </c>
      <c r="F136" s="25" t="s">
        <v>41</v>
      </c>
      <c r="G136" s="25" t="s">
        <v>12</v>
      </c>
      <c r="H136" s="26"/>
    </row>
    <row r="137">
      <c r="A137" s="16" t="s">
        <v>1178</v>
      </c>
      <c r="B137" s="27" t="s">
        <v>2660</v>
      </c>
      <c r="C137" s="27" t="s">
        <v>2660</v>
      </c>
      <c r="D137" s="27" t="s">
        <v>2660</v>
      </c>
      <c r="E137" s="27" t="s">
        <v>2661</v>
      </c>
      <c r="F137" s="27" t="s">
        <v>2683</v>
      </c>
      <c r="G137" s="27" t="s">
        <v>2681</v>
      </c>
      <c r="H137" s="26"/>
    </row>
    <row r="138">
      <c r="A138" s="16" t="s">
        <v>1181</v>
      </c>
      <c r="B138" s="28" t="s">
        <v>1282</v>
      </c>
      <c r="C138" s="28" t="s">
        <v>1457</v>
      </c>
      <c r="D138" s="28" t="s">
        <v>1247</v>
      </c>
      <c r="E138" s="28" t="s">
        <v>1882</v>
      </c>
      <c r="F138" s="28" t="s">
        <v>1859</v>
      </c>
      <c r="G138" s="28" t="s">
        <v>2533</v>
      </c>
      <c r="H138" s="26"/>
    </row>
    <row r="139">
      <c r="A139" s="16" t="s">
        <v>1182</v>
      </c>
      <c r="B139" s="21" t="s">
        <v>1689</v>
      </c>
      <c r="C139" s="21" t="s">
        <v>1730</v>
      </c>
      <c r="D139" s="21" t="s">
        <v>1938</v>
      </c>
      <c r="E139" s="21" t="s">
        <v>1783</v>
      </c>
      <c r="F139" s="21" t="s">
        <v>1357</v>
      </c>
      <c r="G139" s="21" t="s">
        <v>1926</v>
      </c>
      <c r="H139" s="26"/>
    </row>
    <row r="140">
      <c r="A140" s="16" t="s">
        <v>1186</v>
      </c>
      <c r="B140" s="28" t="s">
        <v>1269</v>
      </c>
      <c r="C140" s="28" t="s">
        <v>1235</v>
      </c>
      <c r="D140" s="28" t="s">
        <v>1284</v>
      </c>
      <c r="E140" s="28" t="s">
        <v>1249</v>
      </c>
      <c r="F140" s="28" t="s">
        <v>1269</v>
      </c>
      <c r="G140" s="28" t="s">
        <v>1235</v>
      </c>
      <c r="H140" s="26"/>
    </row>
    <row r="141">
      <c r="A141" s="20" t="s">
        <v>1188</v>
      </c>
      <c r="B141" s="21" t="s">
        <v>1713</v>
      </c>
      <c r="C141" s="21" t="s">
        <v>1896</v>
      </c>
      <c r="D141" s="21" t="s">
        <v>1618</v>
      </c>
      <c r="E141" s="21" t="s">
        <v>2479</v>
      </c>
      <c r="F141" s="21" t="s">
        <v>1862</v>
      </c>
      <c r="G141" s="21" t="s">
        <v>1737</v>
      </c>
      <c r="H141" s="26"/>
    </row>
    <row r="142">
      <c r="A142" s="29"/>
      <c r="B142" s="21" t="s">
        <v>1238</v>
      </c>
      <c r="C142" s="21" t="s">
        <v>2095</v>
      </c>
      <c r="D142" s="21" t="s">
        <v>2198</v>
      </c>
      <c r="E142" s="21" t="s">
        <v>2104</v>
      </c>
      <c r="F142" s="21" t="s">
        <v>1663</v>
      </c>
      <c r="G142" s="21" t="s">
        <v>1712</v>
      </c>
      <c r="H142" s="26"/>
    </row>
    <row r="143">
      <c r="A143" s="29"/>
      <c r="B143" s="21" t="s">
        <v>1629</v>
      </c>
      <c r="C143" s="21" t="s">
        <v>1924</v>
      </c>
      <c r="D143" s="21" t="s">
        <v>1468</v>
      </c>
      <c r="E143" s="21" t="s">
        <v>1663</v>
      </c>
      <c r="F143" s="21" t="s">
        <v>1617</v>
      </c>
      <c r="G143" s="21" t="s">
        <v>1915</v>
      </c>
      <c r="H143" s="26"/>
    </row>
    <row r="144">
      <c r="A144" s="24"/>
      <c r="B144" s="21" t="s">
        <v>1705</v>
      </c>
      <c r="C144" s="21" t="s">
        <v>2153</v>
      </c>
      <c r="D144" s="21" t="s">
        <v>1896</v>
      </c>
      <c r="E144" s="21" t="s">
        <v>1329</v>
      </c>
      <c r="F144" s="21" t="s">
        <v>1652</v>
      </c>
      <c r="G144" s="21" t="s">
        <v>1377</v>
      </c>
      <c r="H144" s="30"/>
      <c r="I144" s="14"/>
    </row>
    <row r="145">
      <c r="A145" s="16" t="s">
        <v>1174</v>
      </c>
      <c r="B145" s="17" t="s">
        <v>2684</v>
      </c>
      <c r="C145" s="18"/>
      <c r="D145" s="18"/>
      <c r="E145" s="18"/>
      <c r="F145" s="18"/>
      <c r="G145" s="18"/>
      <c r="H145" s="18"/>
      <c r="I145" s="16"/>
    </row>
    <row r="146" ht="60.0" customHeight="1">
      <c r="A146" s="20" t="s">
        <v>1176</v>
      </c>
      <c r="B146" s="21" t="str">
        <f t="array" ref="B146">iferror(VLOOKUP(INDIRECT(ADDRESS(ROW()+1,COLUMN(), 4)),Dex!$A$2:$C367,3,false),"")</f>
        <v/>
      </c>
      <c r="C146" s="21" t="str">
        <f t="array" ref="C146">iferror(VLOOKUP(INDIRECT(ADDRESS(ROW()+1,COLUMN(), 4)),Dex!$A$2:$C367,3,false),"")</f>
        <v/>
      </c>
      <c r="D146" s="21" t="str">
        <f t="array" ref="D146">iferror(VLOOKUP(INDIRECT(ADDRESS(ROW()+1,COLUMN(), 4)),Dex!$A$2:$C367,3,false),"")</f>
        <v/>
      </c>
      <c r="E146" s="21" t="str">
        <f t="array" ref="E146">iferror(VLOOKUP(INDIRECT(ADDRESS(ROW()+1,COLUMN(), 4)),Dex!$A$2:$C367,3,false),"")</f>
        <v/>
      </c>
      <c r="F146" s="21" t="str">
        <f t="array" ref="F146">iferror(VLOOKUP(INDIRECT(ADDRESS(ROW()+1,COLUMN(), 4)),Dex!$A$2:$C367,3,false),"")</f>
        <v/>
      </c>
      <c r="G146" s="21" t="str">
        <f t="array" ref="G146">iferror(VLOOKUP(INDIRECT(ADDRESS(ROW()+1,COLUMN(), 4)),Dex!$A$2:$C367,3,false),"")</f>
        <v/>
      </c>
      <c r="H146" s="22" t="str">
        <f t="array" ref="H146">iferror(VLOOKUP("TRAINER_PIC_COOLTRAINER_F",Sprites!$A$1:$B367,2,false),"")</f>
        <v/>
      </c>
      <c r="I146" s="23"/>
    </row>
    <row r="147">
      <c r="A147" s="24"/>
      <c r="B147" s="25" t="s">
        <v>112</v>
      </c>
      <c r="C147" s="25" t="s">
        <v>991</v>
      </c>
      <c r="D147" s="25" t="s">
        <v>842</v>
      </c>
      <c r="E147" s="25" t="s">
        <v>748</v>
      </c>
      <c r="F147" s="25" t="s">
        <v>583</v>
      </c>
      <c r="G147" s="25" t="s">
        <v>399</v>
      </c>
      <c r="H147" s="26"/>
    </row>
    <row r="148">
      <c r="A148" s="16" t="s">
        <v>1178</v>
      </c>
      <c r="B148" s="27" t="s">
        <v>2661</v>
      </c>
      <c r="C148" s="27" t="s">
        <v>2660</v>
      </c>
      <c r="D148" s="27" t="s">
        <v>2660</v>
      </c>
      <c r="E148" s="27" t="s">
        <v>2661</v>
      </c>
      <c r="F148" s="27" t="s">
        <v>2661</v>
      </c>
      <c r="G148" s="27" t="s">
        <v>2681</v>
      </c>
      <c r="H148" s="26"/>
    </row>
    <row r="149">
      <c r="A149" s="16" t="s">
        <v>1181</v>
      </c>
      <c r="B149" s="28" t="s">
        <v>1703</v>
      </c>
      <c r="C149" s="28" t="s">
        <v>1295</v>
      </c>
      <c r="D149" s="28" t="s">
        <v>1366</v>
      </c>
      <c r="E149" s="28" t="s">
        <v>1838</v>
      </c>
      <c r="F149" s="28" t="s">
        <v>1247</v>
      </c>
      <c r="G149" s="28" t="s">
        <v>2685</v>
      </c>
      <c r="H149" s="26"/>
    </row>
    <row r="150">
      <c r="A150" s="16" t="s">
        <v>1182</v>
      </c>
      <c r="B150" s="21" t="s">
        <v>1199</v>
      </c>
      <c r="C150" s="21" t="s">
        <v>1231</v>
      </c>
      <c r="D150" s="21" t="s">
        <v>1951</v>
      </c>
      <c r="E150" s="21" t="s">
        <v>1445</v>
      </c>
      <c r="F150" s="21" t="s">
        <v>1356</v>
      </c>
      <c r="G150" s="21" t="s">
        <v>2004</v>
      </c>
      <c r="H150" s="26"/>
    </row>
    <row r="151">
      <c r="A151" s="16" t="s">
        <v>1186</v>
      </c>
      <c r="B151" s="28" t="s">
        <v>1248</v>
      </c>
      <c r="C151" s="28" t="s">
        <v>1248</v>
      </c>
      <c r="D151" s="28" t="s">
        <v>1284</v>
      </c>
      <c r="E151" s="28" t="s">
        <v>1248</v>
      </c>
      <c r="F151" s="28" t="s">
        <v>1235</v>
      </c>
      <c r="G151" s="28" t="s">
        <v>1248</v>
      </c>
      <c r="H151" s="26"/>
    </row>
    <row r="152">
      <c r="A152" s="20" t="s">
        <v>1188</v>
      </c>
      <c r="B152" s="21" t="s">
        <v>1677</v>
      </c>
      <c r="C152" s="21" t="s">
        <v>1755</v>
      </c>
      <c r="D152" s="21" t="s">
        <v>1990</v>
      </c>
      <c r="E152" s="21" t="s">
        <v>1777</v>
      </c>
      <c r="F152" s="21" t="s">
        <v>1307</v>
      </c>
      <c r="G152" s="21" t="s">
        <v>1372</v>
      </c>
      <c r="H152" s="26"/>
    </row>
    <row r="153">
      <c r="A153" s="29"/>
      <c r="B153" s="21" t="s">
        <v>1678</v>
      </c>
      <c r="C153" s="21" t="s">
        <v>1830</v>
      </c>
      <c r="D153" s="21" t="s">
        <v>1731</v>
      </c>
      <c r="E153" s="21" t="s">
        <v>1607</v>
      </c>
      <c r="F153" s="21" t="s">
        <v>1440</v>
      </c>
      <c r="G153" s="21" t="s">
        <v>1607</v>
      </c>
      <c r="H153" s="26"/>
    </row>
    <row r="154">
      <c r="A154" s="29"/>
      <c r="B154" s="21" t="s">
        <v>1830</v>
      </c>
      <c r="C154" s="21" t="s">
        <v>1804</v>
      </c>
      <c r="D154" s="21" t="s">
        <v>2021</v>
      </c>
      <c r="E154" s="21" t="s">
        <v>1772</v>
      </c>
      <c r="F154" s="21" t="s">
        <v>1759</v>
      </c>
      <c r="G154" s="21" t="s">
        <v>1471</v>
      </c>
      <c r="H154" s="26"/>
    </row>
    <row r="155">
      <c r="A155" s="24"/>
      <c r="B155" s="21" t="s">
        <v>1705</v>
      </c>
      <c r="C155" s="21" t="s">
        <v>1761</v>
      </c>
      <c r="D155" s="21" t="s">
        <v>1698</v>
      </c>
      <c r="E155" s="21" t="s">
        <v>1307</v>
      </c>
      <c r="F155" s="21" t="s">
        <v>1641</v>
      </c>
      <c r="G155" s="21" t="s">
        <v>1641</v>
      </c>
      <c r="H155" s="30"/>
      <c r="I155" s="14"/>
    </row>
    <row r="156">
      <c r="A156" s="16" t="s">
        <v>1174</v>
      </c>
      <c r="B156" s="17" t="s">
        <v>2078</v>
      </c>
      <c r="C156" s="18"/>
      <c r="D156" s="18"/>
      <c r="E156" s="18"/>
      <c r="F156" s="18"/>
      <c r="G156" s="18"/>
      <c r="H156" s="18"/>
      <c r="I156" s="16"/>
    </row>
    <row r="157" ht="60.0" customHeight="1">
      <c r="A157" s="20" t="s">
        <v>1176</v>
      </c>
      <c r="B157" s="21" t="str">
        <f t="array" ref="B157">iferror(VLOOKUP(INDIRECT(ADDRESS(ROW()+1,COLUMN(), 4)),Dex!$A$2:$C367,3,false),"")</f>
        <v/>
      </c>
      <c r="C157" s="21" t="str">
        <f t="array" ref="C157">iferror(VLOOKUP(INDIRECT(ADDRESS(ROW()+1,COLUMN(), 4)),Dex!$A$2:$C367,3,false),"")</f>
        <v/>
      </c>
      <c r="D157" s="21" t="str">
        <f t="array" ref="D157">iferror(VLOOKUP(INDIRECT(ADDRESS(ROW()+1,COLUMN(), 4)),Dex!$A$2:$C367,3,false),"")</f>
        <v/>
      </c>
      <c r="E157" s="21" t="str">
        <f t="array" ref="E157">iferror(VLOOKUP(INDIRECT(ADDRESS(ROW()+1,COLUMN(), 4)),Dex!$A$2:$C367,3,false),"")</f>
        <v/>
      </c>
      <c r="F157" s="21" t="str">
        <f t="array" ref="F157">iferror(VLOOKUP(INDIRECT(ADDRESS(ROW()+1,COLUMN(), 4)),Dex!$A$2:$C367,3,false),"")</f>
        <v/>
      </c>
      <c r="G157" s="21" t="str">
        <f t="array" ref="G157">iferror(VLOOKUP(INDIRECT(ADDRESS(ROW()+1,COLUMN(), 4)),Dex!$A$2:$C367,3,false),"")</f>
        <v/>
      </c>
      <c r="H157" s="22" t="str">
        <f t="array" ref="H157">iferror(VLOOKUP("TRAINER_PIC_COOLTRAINER_M",Sprites!$A$1:$B367,2,false),"")</f>
        <v/>
      </c>
      <c r="I157" s="23"/>
    </row>
    <row r="158">
      <c r="A158" s="24"/>
      <c r="B158" s="25" t="s">
        <v>1122</v>
      </c>
      <c r="C158" s="25" t="s">
        <v>402</v>
      </c>
      <c r="D158" s="25" t="s">
        <v>1017</v>
      </c>
      <c r="E158" s="25" t="s">
        <v>138</v>
      </c>
      <c r="F158" s="25" t="s">
        <v>875</v>
      </c>
      <c r="G158" s="25" t="s">
        <v>98</v>
      </c>
      <c r="H158" s="26"/>
    </row>
    <row r="159">
      <c r="A159" s="16" t="s">
        <v>1178</v>
      </c>
      <c r="B159" s="27" t="s">
        <v>2681</v>
      </c>
      <c r="C159" s="27" t="s">
        <v>2661</v>
      </c>
      <c r="D159" s="27" t="s">
        <v>2681</v>
      </c>
      <c r="E159" s="27" t="s">
        <v>2661</v>
      </c>
      <c r="F159" s="27" t="s">
        <v>2661</v>
      </c>
      <c r="G159" s="27" t="s">
        <v>2678</v>
      </c>
      <c r="H159" s="26"/>
    </row>
    <row r="160">
      <c r="A160" s="16" t="s">
        <v>1181</v>
      </c>
      <c r="B160" s="28" t="s">
        <v>1247</v>
      </c>
      <c r="C160" s="28" t="s">
        <v>1703</v>
      </c>
      <c r="D160" s="28" t="s">
        <v>1882</v>
      </c>
      <c r="E160" s="28" t="s">
        <v>1247</v>
      </c>
      <c r="F160" s="28" t="s">
        <v>1911</v>
      </c>
      <c r="G160" s="28" t="s">
        <v>2686</v>
      </c>
      <c r="H160" s="26"/>
    </row>
    <row r="161">
      <c r="A161" s="16" t="s">
        <v>1182</v>
      </c>
      <c r="B161" s="21" t="s">
        <v>1912</v>
      </c>
      <c r="C161" s="21" t="s">
        <v>1199</v>
      </c>
      <c r="D161" s="21" t="s">
        <v>2309</v>
      </c>
      <c r="E161" s="21" t="s">
        <v>1445</v>
      </c>
      <c r="F161" s="21" t="s">
        <v>1222</v>
      </c>
      <c r="G161" s="21" t="s">
        <v>2687</v>
      </c>
      <c r="H161" s="26"/>
    </row>
    <row r="162">
      <c r="A162" s="16" t="s">
        <v>1186</v>
      </c>
      <c r="B162" s="28" t="s">
        <v>1284</v>
      </c>
      <c r="C162" s="28" t="s">
        <v>1754</v>
      </c>
      <c r="D162" s="28" t="s">
        <v>1269</v>
      </c>
      <c r="E162" s="28" t="s">
        <v>1269</v>
      </c>
      <c r="F162" s="28" t="s">
        <v>1248</v>
      </c>
      <c r="G162" s="28" t="s">
        <v>1284</v>
      </c>
      <c r="H162" s="26"/>
    </row>
    <row r="163">
      <c r="A163" s="20" t="s">
        <v>1188</v>
      </c>
      <c r="B163" s="21" t="s">
        <v>2147</v>
      </c>
      <c r="C163" s="21" t="s">
        <v>1678</v>
      </c>
      <c r="D163" s="21" t="s">
        <v>1874</v>
      </c>
      <c r="E163" s="21" t="s">
        <v>1251</v>
      </c>
      <c r="F163" s="21" t="s">
        <v>1874</v>
      </c>
      <c r="G163" s="21" t="s">
        <v>1913</v>
      </c>
      <c r="H163" s="26"/>
    </row>
    <row r="164">
      <c r="A164" s="29"/>
      <c r="B164" s="21" t="s">
        <v>1913</v>
      </c>
      <c r="C164" s="21" t="s">
        <v>1758</v>
      </c>
      <c r="D164" s="21" t="s">
        <v>1650</v>
      </c>
      <c r="E164" s="21" t="s">
        <v>1835</v>
      </c>
      <c r="F164" s="21" t="s">
        <v>1238</v>
      </c>
      <c r="G164" s="21" t="s">
        <v>1605</v>
      </c>
      <c r="H164" s="26"/>
    </row>
    <row r="165">
      <c r="A165" s="29"/>
      <c r="B165" s="21" t="s">
        <v>1605</v>
      </c>
      <c r="C165" s="21" t="s">
        <v>2141</v>
      </c>
      <c r="D165" s="21" t="s">
        <v>1468</v>
      </c>
      <c r="E165" s="21" t="s">
        <v>1830</v>
      </c>
      <c r="F165" s="21" t="s">
        <v>1678</v>
      </c>
      <c r="G165" s="21" t="s">
        <v>1742</v>
      </c>
      <c r="H165" s="26"/>
    </row>
    <row r="166">
      <c r="A166" s="24"/>
      <c r="B166" s="21" t="s">
        <v>1726</v>
      </c>
      <c r="C166" s="21" t="s">
        <v>1705</v>
      </c>
      <c r="D166" s="21" t="s">
        <v>1967</v>
      </c>
      <c r="E166" s="21" t="s">
        <v>2019</v>
      </c>
      <c r="F166" s="21" t="s">
        <v>1641</v>
      </c>
      <c r="G166" s="21" t="s">
        <v>1959</v>
      </c>
      <c r="H166" s="30"/>
      <c r="I166" s="14"/>
    </row>
    <row r="167">
      <c r="A167" s="37"/>
      <c r="B167" s="38" t="s">
        <v>2688</v>
      </c>
      <c r="C167" s="14"/>
      <c r="D167" s="14"/>
      <c r="E167" s="14"/>
      <c r="F167" s="14"/>
      <c r="G167" s="14"/>
      <c r="H167" s="24"/>
      <c r="I167" s="33"/>
    </row>
    <row r="168">
      <c r="A168" s="16" t="s">
        <v>1174</v>
      </c>
      <c r="B168" s="17" t="s">
        <v>2689</v>
      </c>
      <c r="C168" s="18"/>
      <c r="D168" s="18"/>
      <c r="E168" s="18"/>
      <c r="F168" s="18"/>
      <c r="G168" s="18"/>
      <c r="H168" s="18"/>
      <c r="I168" s="16"/>
    </row>
    <row r="169" ht="60.0" customHeight="1">
      <c r="A169" s="20" t="s">
        <v>1176</v>
      </c>
      <c r="B169" s="21" t="str">
        <f t="array" ref="B169">iferror(VLOOKUP(INDIRECT(ADDRESS(ROW()+1,COLUMN(), 4)),Dex!$A$2:$C367,3,false),"")</f>
        <v/>
      </c>
      <c r="C169" s="21" t="str">
        <f t="array" ref="C169">iferror(VLOOKUP(INDIRECT(ADDRESS(ROW()+1,COLUMN(), 4)),Dex!$A$2:$C367,3,false),"")</f>
        <v/>
      </c>
      <c r="D169" s="21" t="str">
        <f t="array" ref="D169">iferror(VLOOKUP(INDIRECT(ADDRESS(ROW()+1,COLUMN(), 4)),Dex!$A$2:$C367,3,false),"")</f>
        <v/>
      </c>
      <c r="E169" s="21" t="str">
        <f t="array" ref="E169">iferror(VLOOKUP(INDIRECT(ADDRESS(ROW()+1,COLUMN(), 4)),Dex!$A$2:$C367,3,false),"")</f>
        <v/>
      </c>
      <c r="F169" s="21" t="str">
        <f t="array" ref="F169">iferror(VLOOKUP(INDIRECT(ADDRESS(ROW()+1,COLUMN(), 4)),Dex!$A$2:$C367,3,false),"")</f>
        <v/>
      </c>
      <c r="G169" s="21" t="str">
        <f t="array" ref="G169">iferror(VLOOKUP(INDIRECT(ADDRESS(ROW()+1,COLUMN(), 4)),Dex!$A$2:$C367,3,false),"")</f>
        <v/>
      </c>
      <c r="H169" s="22" t="str">
        <f t="array" ref="H169">iferror(VLOOKUP("TRAINER_PIC_POKEMANIAC",Sprites!$A$1:$B367,2,false),"")</f>
        <v/>
      </c>
      <c r="I169" s="23"/>
    </row>
    <row r="170">
      <c r="A170" s="24"/>
      <c r="B170" s="25" t="s">
        <v>590</v>
      </c>
      <c r="C170" s="25" t="s">
        <v>158</v>
      </c>
      <c r="D170" s="25" t="s">
        <v>647</v>
      </c>
      <c r="E170" s="25" t="s">
        <v>543</v>
      </c>
      <c r="F170" s="25" t="s">
        <v>1098</v>
      </c>
      <c r="G170" s="25" t="s">
        <v>520</v>
      </c>
      <c r="H170" s="26"/>
    </row>
    <row r="171">
      <c r="A171" s="16" t="s">
        <v>1178</v>
      </c>
      <c r="B171" s="27" t="s">
        <v>2660</v>
      </c>
      <c r="C171" s="27" t="s">
        <v>2660</v>
      </c>
      <c r="D171" s="27" t="s">
        <v>2660</v>
      </c>
      <c r="E171" s="27" t="s">
        <v>2661</v>
      </c>
      <c r="F171" s="27" t="s">
        <v>2661</v>
      </c>
      <c r="G171" s="27" t="s">
        <v>2661</v>
      </c>
      <c r="H171" s="26"/>
    </row>
    <row r="172">
      <c r="A172" s="16" t="s">
        <v>1181</v>
      </c>
      <c r="B172" s="28" t="s">
        <v>1209</v>
      </c>
      <c r="C172" s="28" t="s">
        <v>1995</v>
      </c>
      <c r="D172" s="28" t="s">
        <v>1247</v>
      </c>
      <c r="E172" s="28" t="s">
        <v>1282</v>
      </c>
      <c r="F172" s="28" t="s">
        <v>2347</v>
      </c>
      <c r="G172" s="28" t="s">
        <v>1417</v>
      </c>
      <c r="H172" s="26"/>
    </row>
    <row r="173">
      <c r="A173" s="16" t="s">
        <v>1182</v>
      </c>
      <c r="B173" s="21" t="s">
        <v>1902</v>
      </c>
      <c r="C173" s="21" t="s">
        <v>2156</v>
      </c>
      <c r="D173" s="21" t="s">
        <v>1950</v>
      </c>
      <c r="E173" s="21" t="s">
        <v>1222</v>
      </c>
      <c r="F173" s="21" t="s">
        <v>1877</v>
      </c>
      <c r="G173" s="21" t="s">
        <v>1419</v>
      </c>
      <c r="H173" s="26"/>
    </row>
    <row r="174">
      <c r="A174" s="16" t="s">
        <v>1186</v>
      </c>
      <c r="B174" s="28" t="s">
        <v>1284</v>
      </c>
      <c r="C174" s="28" t="s">
        <v>1248</v>
      </c>
      <c r="D174" s="28" t="s">
        <v>1284</v>
      </c>
      <c r="E174" s="28" t="s">
        <v>1269</v>
      </c>
      <c r="F174" s="28" t="s">
        <v>1256</v>
      </c>
      <c r="G174" s="28" t="s">
        <v>1248</v>
      </c>
      <c r="H174" s="26"/>
    </row>
    <row r="175">
      <c r="A175" s="20" t="s">
        <v>1188</v>
      </c>
      <c r="B175" s="21" t="s">
        <v>1619</v>
      </c>
      <c r="C175" s="21" t="s">
        <v>1999</v>
      </c>
      <c r="D175" s="21" t="s">
        <v>1823</v>
      </c>
      <c r="E175" s="21" t="s">
        <v>1742</v>
      </c>
      <c r="F175" s="21" t="s">
        <v>2451</v>
      </c>
      <c r="G175" s="21" t="s">
        <v>1609</v>
      </c>
      <c r="H175" s="26"/>
    </row>
    <row r="176">
      <c r="A176" s="29"/>
      <c r="B176" s="21" t="s">
        <v>1739</v>
      </c>
      <c r="C176" s="21" t="s">
        <v>1678</v>
      </c>
      <c r="D176" s="21" t="s">
        <v>1828</v>
      </c>
      <c r="E176" s="21" t="s">
        <v>1238</v>
      </c>
      <c r="F176" s="21" t="s">
        <v>1731</v>
      </c>
      <c r="G176" s="21" t="s">
        <v>1432</v>
      </c>
      <c r="H176" s="26"/>
    </row>
    <row r="177">
      <c r="A177" s="29"/>
      <c r="B177" s="21" t="s">
        <v>1726</v>
      </c>
      <c r="C177" s="21" t="s">
        <v>1320</v>
      </c>
      <c r="D177" s="21" t="s">
        <v>2021</v>
      </c>
      <c r="E177" s="21" t="s">
        <v>1830</v>
      </c>
      <c r="F177" s="21" t="s">
        <v>1726</v>
      </c>
      <c r="G177" s="21" t="s">
        <v>1594</v>
      </c>
      <c r="H177" s="26"/>
    </row>
    <row r="178">
      <c r="A178" s="24"/>
      <c r="B178" s="21" t="s">
        <v>1262</v>
      </c>
      <c r="C178" s="21" t="s">
        <v>1705</v>
      </c>
      <c r="D178" s="21" t="s">
        <v>1725</v>
      </c>
      <c r="E178" s="21" t="s">
        <v>2021</v>
      </c>
      <c r="F178" s="21" t="s">
        <v>1899</v>
      </c>
      <c r="G178" s="21" t="s">
        <v>1891</v>
      </c>
      <c r="H178" s="30"/>
      <c r="I178" s="14"/>
    </row>
    <row r="179">
      <c r="A179" s="16" t="s">
        <v>1174</v>
      </c>
      <c r="B179" s="17" t="s">
        <v>2690</v>
      </c>
      <c r="C179" s="18"/>
      <c r="D179" s="18"/>
      <c r="E179" s="18"/>
      <c r="F179" s="18"/>
      <c r="G179" s="18"/>
      <c r="H179" s="18"/>
      <c r="I179" s="16"/>
    </row>
    <row r="180" ht="60.0" customHeight="1">
      <c r="A180" s="20" t="s">
        <v>1176</v>
      </c>
      <c r="B180" s="21" t="str">
        <f t="array" ref="B180">iferror(VLOOKUP(INDIRECT(ADDRESS(ROW()+1,COLUMN(), 4)),Dex!$A$2:$C367,3,false),"")</f>
        <v/>
      </c>
      <c r="C180" s="21" t="str">
        <f t="array" ref="C180">iferror(VLOOKUP(INDIRECT(ADDRESS(ROW()+1,COLUMN(), 4)),Dex!$A$2:$C367,3,false),"")</f>
        <v/>
      </c>
      <c r="D180" s="21" t="str">
        <f t="array" ref="D180">iferror(VLOOKUP(INDIRECT(ADDRESS(ROW()+1,COLUMN(), 4)),Dex!$A$2:$C367,3,false),"")</f>
        <v/>
      </c>
      <c r="E180" s="21" t="str">
        <f t="array" ref="E180">iferror(VLOOKUP(INDIRECT(ADDRESS(ROW()+1,COLUMN(), 4)),Dex!$A$2:$C367,3,false),"")</f>
        <v/>
      </c>
      <c r="F180" s="21" t="str">
        <f t="array" ref="F180">iferror(VLOOKUP(INDIRECT(ADDRESS(ROW()+1,COLUMN(), 4)),Dex!$A$2:$C367,3,false),"")</f>
        <v/>
      </c>
      <c r="G180" s="21" t="str">
        <f t="array" ref="G180">iferror(VLOOKUP(INDIRECT(ADDRESS(ROW()+1,COLUMN(), 4)),Dex!$A$2:$C367,3,false),"")</f>
        <v/>
      </c>
      <c r="H180" s="22" t="str">
        <f t="array" ref="H180">iferror(VLOOKUP("TRAINER_PIC_COOLTRAINER_M",Sprites!$A$1:$B367,2,false),"")</f>
        <v/>
      </c>
      <c r="I180" s="23"/>
    </row>
    <row r="181">
      <c r="A181" s="24"/>
      <c r="B181" s="25" t="s">
        <v>960</v>
      </c>
      <c r="C181" s="25" t="s">
        <v>843</v>
      </c>
      <c r="D181" s="25" t="s">
        <v>837</v>
      </c>
      <c r="E181" s="25" t="s">
        <v>1051</v>
      </c>
      <c r="F181" s="25" t="s">
        <v>416</v>
      </c>
      <c r="G181" s="25" t="s">
        <v>210</v>
      </c>
      <c r="H181" s="26"/>
    </row>
    <row r="182">
      <c r="A182" s="16" t="s">
        <v>1178</v>
      </c>
      <c r="B182" s="27" t="s">
        <v>2681</v>
      </c>
      <c r="C182" s="27" t="s">
        <v>2661</v>
      </c>
      <c r="D182" s="27" t="s">
        <v>2661</v>
      </c>
      <c r="E182" s="27" t="s">
        <v>2661</v>
      </c>
      <c r="F182" s="27" t="s">
        <v>2661</v>
      </c>
      <c r="G182" s="27" t="s">
        <v>2681</v>
      </c>
      <c r="H182" s="26"/>
    </row>
    <row r="183">
      <c r="A183" s="16" t="s">
        <v>1181</v>
      </c>
      <c r="B183" s="28" t="s">
        <v>2060</v>
      </c>
      <c r="C183" s="28" t="s">
        <v>2060</v>
      </c>
      <c r="D183" s="28" t="s">
        <v>1247</v>
      </c>
      <c r="E183" s="28" t="s">
        <v>2060</v>
      </c>
      <c r="F183" s="28" t="s">
        <v>2060</v>
      </c>
      <c r="G183" s="28" t="s">
        <v>2060</v>
      </c>
      <c r="H183" s="26"/>
    </row>
    <row r="184">
      <c r="A184" s="16" t="s">
        <v>1182</v>
      </c>
      <c r="B184" s="21" t="s">
        <v>2669</v>
      </c>
      <c r="C184" s="21" t="s">
        <v>2669</v>
      </c>
      <c r="D184" s="21" t="s">
        <v>1603</v>
      </c>
      <c r="E184" s="21" t="s">
        <v>1602</v>
      </c>
      <c r="F184" s="21" t="s">
        <v>1767</v>
      </c>
      <c r="G184" s="21" t="s">
        <v>1299</v>
      </c>
      <c r="H184" s="26"/>
    </row>
    <row r="185">
      <c r="A185" s="16" t="s">
        <v>1186</v>
      </c>
      <c r="B185" s="28" t="s">
        <v>1257</v>
      </c>
      <c r="C185" s="28" t="s">
        <v>1257</v>
      </c>
      <c r="D185" s="28" t="s">
        <v>1284</v>
      </c>
      <c r="E185" s="28" t="s">
        <v>1234</v>
      </c>
      <c r="F185" s="28" t="s">
        <v>1234</v>
      </c>
      <c r="G185" s="28" t="s">
        <v>1234</v>
      </c>
      <c r="H185" s="26"/>
    </row>
    <row r="186">
      <c r="A186" s="20" t="s">
        <v>1188</v>
      </c>
      <c r="B186" s="21" t="s">
        <v>1731</v>
      </c>
      <c r="C186" s="21" t="s">
        <v>1815</v>
      </c>
      <c r="D186" s="21" t="s">
        <v>2112</v>
      </c>
      <c r="E186" s="21" t="s">
        <v>1738</v>
      </c>
      <c r="F186" s="21" t="s">
        <v>1270</v>
      </c>
      <c r="G186" s="21" t="s">
        <v>1407</v>
      </c>
      <c r="H186" s="26"/>
    </row>
    <row r="187">
      <c r="A187" s="29"/>
      <c r="B187" s="21" t="s">
        <v>1711</v>
      </c>
      <c r="C187" s="21" t="s">
        <v>1605</v>
      </c>
      <c r="D187" s="21" t="s">
        <v>2691</v>
      </c>
      <c r="E187" s="21" t="s">
        <v>1804</v>
      </c>
      <c r="F187" s="21" t="s">
        <v>1804</v>
      </c>
      <c r="G187" s="21" t="s">
        <v>1779</v>
      </c>
      <c r="H187" s="26"/>
    </row>
    <row r="188">
      <c r="A188" s="29"/>
      <c r="B188" s="21" t="s">
        <v>2502</v>
      </c>
      <c r="C188" s="21" t="s">
        <v>2112</v>
      </c>
      <c r="D188" s="21" t="s">
        <v>1622</v>
      </c>
      <c r="E188" s="21" t="s">
        <v>1594</v>
      </c>
      <c r="F188" s="21" t="s">
        <v>1320</v>
      </c>
      <c r="G188" s="21" t="s">
        <v>1594</v>
      </c>
      <c r="H188" s="26"/>
    </row>
    <row r="189">
      <c r="A189" s="24"/>
      <c r="B189" s="21" t="s">
        <v>1954</v>
      </c>
      <c r="C189" s="21" t="s">
        <v>2344</v>
      </c>
      <c r="D189" s="21" t="s">
        <v>1277</v>
      </c>
      <c r="E189" s="21" t="s">
        <v>2692</v>
      </c>
      <c r="F189" s="21" t="s">
        <v>2692</v>
      </c>
      <c r="G189" s="21" t="s">
        <v>1761</v>
      </c>
      <c r="H189" s="30"/>
      <c r="I189" s="14"/>
    </row>
    <row r="190">
      <c r="A190" s="16" t="s">
        <v>1174</v>
      </c>
      <c r="B190" s="17" t="s">
        <v>2693</v>
      </c>
      <c r="C190" s="18"/>
      <c r="D190" s="18"/>
      <c r="E190" s="18"/>
      <c r="F190" s="18"/>
      <c r="G190" s="18"/>
      <c r="H190" s="18"/>
      <c r="I190" s="16"/>
    </row>
    <row r="191" ht="60.0" customHeight="1">
      <c r="A191" s="20" t="s">
        <v>1176</v>
      </c>
      <c r="B191" s="21" t="str">
        <f t="array" ref="B191">iferror(VLOOKUP(INDIRECT(ADDRESS(ROW()+1,COLUMN(), 4)),Dex!$A$2:$C367,3,false),"")</f>
        <v/>
      </c>
      <c r="C191" s="21" t="str">
        <f t="array" ref="C191">iferror(VLOOKUP(INDIRECT(ADDRESS(ROW()+1,COLUMN(), 4)),Dex!$A$2:$C367,3,false),"")</f>
        <v/>
      </c>
      <c r="D191" s="21" t="str">
        <f t="array" ref="D191">iferror(VLOOKUP(INDIRECT(ADDRESS(ROW()+1,COLUMN(), 4)),Dex!$A$2:$C367,3,false),"")</f>
        <v/>
      </c>
      <c r="E191" s="21" t="str">
        <f t="array" ref="E191">iferror(VLOOKUP(INDIRECT(ADDRESS(ROW()+1,COLUMN(), 4)),Dex!$A$2:$C367,3,false),"")</f>
        <v/>
      </c>
      <c r="F191" s="21" t="str">
        <f t="array" ref="F191">iferror(VLOOKUP(INDIRECT(ADDRESS(ROW()+1,COLUMN(), 4)),Dex!$A$2:$C367,3,false),"")</f>
        <v/>
      </c>
      <c r="G191" s="21" t="str">
        <f t="array" ref="G191">iferror(VLOOKUP(INDIRECT(ADDRESS(ROW()+1,COLUMN(), 4)),Dex!$A$2:$C367,3,false),"")</f>
        <v/>
      </c>
      <c r="H191" s="22" t="str">
        <f t="array" ref="H191">iferror(VLOOKUP("TRAINER_PIC_EXPERT_M",Sprites!$A$1:$B367,2,false),"")</f>
        <v/>
      </c>
      <c r="I191" s="23"/>
    </row>
    <row r="192">
      <c r="A192" s="24"/>
      <c r="B192" s="25" t="s">
        <v>590</v>
      </c>
      <c r="C192" s="25" t="s">
        <v>1168</v>
      </c>
      <c r="D192" s="25" t="s">
        <v>318</v>
      </c>
      <c r="E192" s="25" t="s">
        <v>1109</v>
      </c>
      <c r="F192" s="25" t="s">
        <v>910</v>
      </c>
      <c r="G192" s="25" t="s">
        <v>342</v>
      </c>
      <c r="H192" s="26"/>
    </row>
    <row r="193">
      <c r="A193" s="16" t="s">
        <v>1178</v>
      </c>
      <c r="B193" s="27" t="s">
        <v>2661</v>
      </c>
      <c r="C193" s="27" t="s">
        <v>2681</v>
      </c>
      <c r="D193" s="27" t="s">
        <v>2661</v>
      </c>
      <c r="E193" s="27" t="s">
        <v>2681</v>
      </c>
      <c r="F193" s="27" t="s">
        <v>2661</v>
      </c>
      <c r="G193" s="27" t="s">
        <v>2661</v>
      </c>
      <c r="H193" s="26"/>
    </row>
    <row r="194">
      <c r="A194" s="16" t="s">
        <v>1181</v>
      </c>
      <c r="B194" s="28" t="s">
        <v>1265</v>
      </c>
      <c r="C194" s="28" t="s">
        <v>1265</v>
      </c>
      <c r="D194" s="28" t="s">
        <v>1703</v>
      </c>
      <c r="E194" s="28" t="s">
        <v>1701</v>
      </c>
      <c r="F194" s="28" t="s">
        <v>1701</v>
      </c>
      <c r="G194" s="28" t="s">
        <v>1701</v>
      </c>
      <c r="H194" s="26"/>
    </row>
    <row r="195">
      <c r="A195" s="16" t="s">
        <v>1182</v>
      </c>
      <c r="B195" s="21" t="s">
        <v>1797</v>
      </c>
      <c r="C195" s="21" t="s">
        <v>1356</v>
      </c>
      <c r="D195" s="21" t="s">
        <v>1199</v>
      </c>
      <c r="E195" s="21" t="s">
        <v>2087</v>
      </c>
      <c r="F195" s="21" t="s">
        <v>1821</v>
      </c>
      <c r="G195" s="21" t="s">
        <v>1222</v>
      </c>
      <c r="H195" s="26"/>
    </row>
    <row r="196">
      <c r="A196" s="16" t="s">
        <v>1186</v>
      </c>
      <c r="B196" s="28" t="s">
        <v>1284</v>
      </c>
      <c r="C196" s="28" t="s">
        <v>1235</v>
      </c>
      <c r="D196" s="28" t="s">
        <v>1248</v>
      </c>
      <c r="E196" s="28" t="s">
        <v>1284</v>
      </c>
      <c r="F196" s="28" t="s">
        <v>1284</v>
      </c>
      <c r="G196" s="28" t="s">
        <v>1334</v>
      </c>
      <c r="H196" s="26"/>
    </row>
    <row r="197">
      <c r="A197" s="20" t="s">
        <v>1188</v>
      </c>
      <c r="B197" s="21" t="s">
        <v>1605</v>
      </c>
      <c r="C197" s="21" t="s">
        <v>1874</v>
      </c>
      <c r="D197" s="21" t="s">
        <v>1779</v>
      </c>
      <c r="E197" s="21" t="s">
        <v>2054</v>
      </c>
      <c r="F197" s="21" t="s">
        <v>1371</v>
      </c>
      <c r="G197" s="21" t="s">
        <v>1371</v>
      </c>
      <c r="H197" s="26"/>
    </row>
    <row r="198">
      <c r="A198" s="29"/>
      <c r="B198" s="21" t="s">
        <v>1711</v>
      </c>
      <c r="C198" s="21" t="s">
        <v>1749</v>
      </c>
      <c r="D198" s="21" t="s">
        <v>1678</v>
      </c>
      <c r="E198" s="21" t="s">
        <v>1711</v>
      </c>
      <c r="F198" s="21" t="s">
        <v>1742</v>
      </c>
      <c r="G198" s="21" t="s">
        <v>1878</v>
      </c>
      <c r="H198" s="26"/>
    </row>
    <row r="199">
      <c r="A199" s="29"/>
      <c r="B199" s="21" t="s">
        <v>2507</v>
      </c>
      <c r="C199" s="21" t="s">
        <v>1651</v>
      </c>
      <c r="D199" s="21" t="s">
        <v>1651</v>
      </c>
      <c r="E199" s="21" t="s">
        <v>1835</v>
      </c>
      <c r="F199" s="21" t="s">
        <v>2021</v>
      </c>
      <c r="G199" s="21" t="s">
        <v>1438</v>
      </c>
      <c r="H199" s="26"/>
    </row>
    <row r="200">
      <c r="A200" s="24"/>
      <c r="B200" s="21" t="s">
        <v>2502</v>
      </c>
      <c r="C200" s="21" t="s">
        <v>2507</v>
      </c>
      <c r="D200" s="21" t="s">
        <v>1836</v>
      </c>
      <c r="E200" s="21" t="s">
        <v>1225</v>
      </c>
      <c r="F200" s="21" t="s">
        <v>1944</v>
      </c>
      <c r="G200" s="21" t="s">
        <v>1238</v>
      </c>
      <c r="H200" s="30"/>
      <c r="I200" s="14"/>
    </row>
    <row r="201">
      <c r="A201" s="16" t="s">
        <v>1174</v>
      </c>
      <c r="B201" s="17" t="s">
        <v>2694</v>
      </c>
      <c r="C201" s="18"/>
      <c r="D201" s="18"/>
      <c r="E201" s="18"/>
      <c r="F201" s="18"/>
      <c r="G201" s="18"/>
      <c r="H201" s="18"/>
      <c r="I201" s="16"/>
    </row>
    <row r="202" ht="60.0" customHeight="1">
      <c r="A202" s="20" t="s">
        <v>1176</v>
      </c>
      <c r="B202" s="21" t="str">
        <f t="array" ref="B202">iferror(VLOOKUP(INDIRECT(ADDRESS(ROW()+1,COLUMN(), 4)),Dex!$A$2:$C367,3,false),"")</f>
        <v/>
      </c>
      <c r="C202" s="21" t="str">
        <f t="array" ref="C202">iferror(VLOOKUP(INDIRECT(ADDRESS(ROW()+1,COLUMN(), 4)),Dex!$A$2:$C367,3,false),"")</f>
        <v/>
      </c>
      <c r="D202" s="21" t="str">
        <f t="array" ref="D202">iferror(VLOOKUP(INDIRECT(ADDRESS(ROW()+1,COLUMN(), 4)),Dex!$A$2:$C367,3,false),"")</f>
        <v/>
      </c>
      <c r="E202" s="21" t="str">
        <f t="array" ref="E202">iferror(VLOOKUP(INDIRECT(ADDRESS(ROW()+1,COLUMN(), 4)),Dex!$A$2:$C367,3,false),"")</f>
        <v/>
      </c>
      <c r="F202" s="21" t="str">
        <f t="array" ref="F202">iferror(VLOOKUP(INDIRECT(ADDRESS(ROW()+1,COLUMN(), 4)),Dex!$A$2:$C367,3,false),"")</f>
        <v/>
      </c>
      <c r="G202" s="21" t="str">
        <f t="array" ref="G202">iferror(VLOOKUP(INDIRECT(ADDRESS(ROW()+1,COLUMN(), 4)),Dex!$A$2:$C367,3,false),"")</f>
        <v/>
      </c>
      <c r="H202" s="22" t="str">
        <f t="array" ref="H202">iferror(VLOOKUP("TRAINER_PIC_HEX_MANIAC",Sprites!$A$1:$B367,2,false),"")</f>
        <v/>
      </c>
      <c r="I202" s="23"/>
    </row>
    <row r="203">
      <c r="A203" s="24"/>
      <c r="B203" s="25" t="s">
        <v>43</v>
      </c>
      <c r="C203" s="25" t="s">
        <v>593</v>
      </c>
      <c r="D203" s="25" t="s">
        <v>370</v>
      </c>
      <c r="E203" s="25" t="s">
        <v>587</v>
      </c>
      <c r="F203" s="25" t="s">
        <v>798</v>
      </c>
      <c r="G203" s="25" t="s">
        <v>120</v>
      </c>
      <c r="H203" s="26"/>
    </row>
    <row r="204">
      <c r="A204" s="16" t="s">
        <v>1178</v>
      </c>
      <c r="B204" s="27" t="s">
        <v>2661</v>
      </c>
      <c r="C204" s="27" t="s">
        <v>2661</v>
      </c>
      <c r="D204" s="27" t="s">
        <v>2661</v>
      </c>
      <c r="E204" s="27" t="s">
        <v>2661</v>
      </c>
      <c r="F204" s="27" t="s">
        <v>2661</v>
      </c>
      <c r="G204" s="27" t="s">
        <v>2681</v>
      </c>
      <c r="H204" s="26"/>
    </row>
    <row r="205">
      <c r="A205" s="16" t="s">
        <v>1181</v>
      </c>
      <c r="B205" s="28" t="s">
        <v>1247</v>
      </c>
      <c r="C205" s="28" t="s">
        <v>2045</v>
      </c>
      <c r="D205" s="28" t="s">
        <v>1882</v>
      </c>
      <c r="E205" s="28" t="s">
        <v>1838</v>
      </c>
      <c r="F205" s="28" t="s">
        <v>2135</v>
      </c>
      <c r="G205" s="28" t="s">
        <v>1295</v>
      </c>
      <c r="H205" s="26"/>
    </row>
    <row r="206">
      <c r="A206" s="16" t="s">
        <v>1182</v>
      </c>
      <c r="B206" s="21" t="s">
        <v>1357</v>
      </c>
      <c r="C206" s="21" t="s">
        <v>2401</v>
      </c>
      <c r="D206" s="21" t="s">
        <v>1907</v>
      </c>
      <c r="E206" s="21" t="s">
        <v>1667</v>
      </c>
      <c r="F206" s="21" t="s">
        <v>1318</v>
      </c>
      <c r="G206" s="21" t="s">
        <v>1667</v>
      </c>
      <c r="H206" s="26"/>
    </row>
    <row r="207">
      <c r="A207" s="16" t="s">
        <v>1186</v>
      </c>
      <c r="B207" s="28" t="s">
        <v>1284</v>
      </c>
      <c r="C207" s="28" t="s">
        <v>1284</v>
      </c>
      <c r="D207" s="28" t="s">
        <v>1269</v>
      </c>
      <c r="E207" s="28" t="s">
        <v>1406</v>
      </c>
      <c r="F207" s="28" t="s">
        <v>1284</v>
      </c>
      <c r="G207" s="28" t="s">
        <v>1257</v>
      </c>
      <c r="H207" s="26"/>
    </row>
    <row r="208">
      <c r="A208" s="20" t="s">
        <v>1188</v>
      </c>
      <c r="B208" s="21" t="s">
        <v>1663</v>
      </c>
      <c r="C208" s="21" t="s">
        <v>2054</v>
      </c>
      <c r="D208" s="21" t="s">
        <v>1933</v>
      </c>
      <c r="E208" s="21" t="s">
        <v>1983</v>
      </c>
      <c r="F208" s="21" t="s">
        <v>1650</v>
      </c>
      <c r="G208" s="21" t="s">
        <v>2147</v>
      </c>
      <c r="H208" s="26"/>
    </row>
    <row r="209">
      <c r="A209" s="29"/>
      <c r="B209" s="21" t="s">
        <v>1617</v>
      </c>
      <c r="C209" s="21" t="s">
        <v>1835</v>
      </c>
      <c r="D209" s="21" t="s">
        <v>1776</v>
      </c>
      <c r="E209" s="21" t="s">
        <v>1677</v>
      </c>
      <c r="F209" s="21" t="s">
        <v>2343</v>
      </c>
      <c r="G209" s="21" t="s">
        <v>1695</v>
      </c>
      <c r="H209" s="26"/>
    </row>
    <row r="210">
      <c r="A210" s="29"/>
      <c r="B210" s="21" t="s">
        <v>1652</v>
      </c>
      <c r="C210" s="21" t="s">
        <v>2334</v>
      </c>
      <c r="D210" s="21" t="s">
        <v>1629</v>
      </c>
      <c r="E210" s="21" t="s">
        <v>1307</v>
      </c>
      <c r="F210" s="21" t="s">
        <v>1285</v>
      </c>
      <c r="G210" s="21" t="s">
        <v>1804</v>
      </c>
      <c r="H210" s="26"/>
    </row>
    <row r="211">
      <c r="A211" s="24"/>
      <c r="B211" s="21" t="s">
        <v>1896</v>
      </c>
      <c r="C211" s="21" t="s">
        <v>1698</v>
      </c>
      <c r="D211" s="21" t="s">
        <v>1886</v>
      </c>
      <c r="E211" s="21" t="s">
        <v>1374</v>
      </c>
      <c r="F211" s="21" t="s">
        <v>1657</v>
      </c>
      <c r="G211" s="21" t="s">
        <v>1806</v>
      </c>
      <c r="H211" s="30"/>
      <c r="I211" s="14"/>
    </row>
    <row r="212">
      <c r="A212" s="16" t="s">
        <v>1174</v>
      </c>
      <c r="B212" s="17" t="s">
        <v>2695</v>
      </c>
      <c r="C212" s="18"/>
      <c r="D212" s="18"/>
      <c r="E212" s="18"/>
      <c r="F212" s="18"/>
      <c r="G212" s="18"/>
      <c r="H212" s="18"/>
      <c r="I212" s="16"/>
    </row>
    <row r="213" ht="60.0" customHeight="1">
      <c r="A213" s="20" t="s">
        <v>1176</v>
      </c>
      <c r="B213" s="21" t="str">
        <f t="array" ref="B213">iferror(VLOOKUP(INDIRECT(ADDRESS(ROW()+1,COLUMN(), 4)),Dex!$A$2:$C367,3,false),"")</f>
        <v/>
      </c>
      <c r="C213" s="21" t="str">
        <f t="array" ref="C213">iferror(VLOOKUP(INDIRECT(ADDRESS(ROW()+1,COLUMN(), 4)),Dex!$A$2:$C367,3,false),"")</f>
        <v/>
      </c>
      <c r="D213" s="21" t="str">
        <f t="array" ref="D213">iferror(VLOOKUP(INDIRECT(ADDRESS(ROW()+1,COLUMN(), 4)),Dex!$A$2:$C367,3,false),"")</f>
        <v/>
      </c>
      <c r="E213" s="21" t="str">
        <f t="array" ref="E213">iferror(VLOOKUP(INDIRECT(ADDRESS(ROW()+1,COLUMN(), 4)),Dex!$A$2:$C367,3,false),"")</f>
        <v/>
      </c>
      <c r="F213" s="21" t="str">
        <f t="array" ref="F213">iferror(VLOOKUP(INDIRECT(ADDRESS(ROW()+1,COLUMN(), 4)),Dex!$A$2:$C367,3,false),"")</f>
        <v/>
      </c>
      <c r="G213" s="21" t="str">
        <f t="array" ref="G213">iferror(VLOOKUP(INDIRECT(ADDRESS(ROW()+1,COLUMN(), 4)),Dex!$A$2:$C367,3,false),"")</f>
        <v/>
      </c>
      <c r="H213" s="22" t="str">
        <f t="array" ref="H213">iferror(VLOOKUP("TRAINER_PIC_TWINS",Sprites!$A$1:$B367,2,false),"")</f>
        <v/>
      </c>
      <c r="I213" s="23"/>
    </row>
    <row r="214">
      <c r="A214" s="24"/>
      <c r="B214" s="25" t="s">
        <v>418</v>
      </c>
      <c r="C214" s="25" t="s">
        <v>159</v>
      </c>
      <c r="D214" s="25" t="s">
        <v>735</v>
      </c>
      <c r="E214" s="25" t="s">
        <v>290</v>
      </c>
      <c r="F214" s="25" t="s">
        <v>575</v>
      </c>
      <c r="G214" s="25" t="s">
        <v>91</v>
      </c>
      <c r="H214" s="26"/>
    </row>
    <row r="215">
      <c r="A215" s="16" t="s">
        <v>1178</v>
      </c>
      <c r="B215" s="27" t="s">
        <v>2661</v>
      </c>
      <c r="C215" s="27" t="s">
        <v>2661</v>
      </c>
      <c r="D215" s="27" t="s">
        <v>2661</v>
      </c>
      <c r="E215" s="27" t="s">
        <v>2661</v>
      </c>
      <c r="F215" s="27" t="s">
        <v>2661</v>
      </c>
      <c r="G215" s="27" t="s">
        <v>2681</v>
      </c>
      <c r="H215" s="26"/>
    </row>
    <row r="216">
      <c r="A216" s="16" t="s">
        <v>1181</v>
      </c>
      <c r="B216" s="28" t="s">
        <v>1247</v>
      </c>
      <c r="C216" s="28" t="s">
        <v>1995</v>
      </c>
      <c r="D216" s="28" t="s">
        <v>1295</v>
      </c>
      <c r="E216" s="28" t="s">
        <v>1457</v>
      </c>
      <c r="F216" s="28" t="s">
        <v>1572</v>
      </c>
      <c r="G216" s="28" t="s">
        <v>2036</v>
      </c>
      <c r="H216" s="26"/>
    </row>
    <row r="217">
      <c r="A217" s="16" t="s">
        <v>1182</v>
      </c>
      <c r="B217" s="21" t="s">
        <v>1233</v>
      </c>
      <c r="C217" s="21" t="s">
        <v>1669</v>
      </c>
      <c r="D217" s="21" t="s">
        <v>1730</v>
      </c>
      <c r="E217" s="21" t="s">
        <v>1298</v>
      </c>
      <c r="F217" s="21" t="s">
        <v>1267</v>
      </c>
      <c r="G217" s="21" t="s">
        <v>1298</v>
      </c>
      <c r="H217" s="26"/>
    </row>
    <row r="218">
      <c r="A218" s="16" t="s">
        <v>1186</v>
      </c>
      <c r="B218" s="28" t="s">
        <v>1284</v>
      </c>
      <c r="C218" s="28" t="s">
        <v>1235</v>
      </c>
      <c r="D218" s="28" t="s">
        <v>1284</v>
      </c>
      <c r="E218" s="28" t="s">
        <v>1235</v>
      </c>
      <c r="F218" s="28" t="s">
        <v>1235</v>
      </c>
      <c r="G218" s="28" t="s">
        <v>1235</v>
      </c>
      <c r="H218" s="26"/>
    </row>
    <row r="219">
      <c r="A219" s="20" t="s">
        <v>1188</v>
      </c>
      <c r="B219" s="21" t="s">
        <v>1251</v>
      </c>
      <c r="C219" s="21" t="s">
        <v>1737</v>
      </c>
      <c r="D219" s="21" t="s">
        <v>1731</v>
      </c>
      <c r="E219" s="21" t="s">
        <v>1372</v>
      </c>
      <c r="F219" s="21" t="s">
        <v>1874</v>
      </c>
      <c r="G219" s="21" t="s">
        <v>1737</v>
      </c>
      <c r="H219" s="26"/>
    </row>
    <row r="220">
      <c r="A220" s="29"/>
      <c r="B220" s="21" t="s">
        <v>1890</v>
      </c>
      <c r="C220" s="21" t="s">
        <v>1999</v>
      </c>
      <c r="D220" s="21" t="s">
        <v>1225</v>
      </c>
      <c r="E220" s="21" t="s">
        <v>1874</v>
      </c>
      <c r="F220" s="21" t="s">
        <v>1749</v>
      </c>
      <c r="G220" s="21" t="s">
        <v>1438</v>
      </c>
      <c r="H220" s="26"/>
    </row>
    <row r="221">
      <c r="A221" s="29"/>
      <c r="B221" s="21" t="s">
        <v>1621</v>
      </c>
      <c r="C221" s="21" t="s">
        <v>1389</v>
      </c>
      <c r="D221" s="21" t="s">
        <v>1389</v>
      </c>
      <c r="E221" s="21" t="s">
        <v>1411</v>
      </c>
      <c r="F221" s="21" t="s">
        <v>1307</v>
      </c>
      <c r="G221" s="21" t="s">
        <v>1672</v>
      </c>
      <c r="H221" s="26"/>
    </row>
    <row r="222">
      <c r="A222" s="24"/>
      <c r="B222" s="21" t="s">
        <v>1924</v>
      </c>
      <c r="C222" s="21" t="s">
        <v>1705</v>
      </c>
      <c r="D222" s="21" t="s">
        <v>1262</v>
      </c>
      <c r="E222" s="21" t="s">
        <v>1262</v>
      </c>
      <c r="F222" s="21" t="s">
        <v>1225</v>
      </c>
      <c r="G222" s="21" t="s">
        <v>1353</v>
      </c>
      <c r="H222" s="30"/>
      <c r="I222" s="14"/>
    </row>
    <row r="223">
      <c r="A223" s="16" t="s">
        <v>1174</v>
      </c>
      <c r="B223" s="17" t="s">
        <v>2696</v>
      </c>
      <c r="C223" s="18"/>
      <c r="D223" s="18"/>
      <c r="E223" s="18"/>
      <c r="F223" s="18"/>
      <c r="G223" s="18"/>
      <c r="H223" s="18"/>
      <c r="I223" s="19"/>
    </row>
    <row r="224" ht="60.0" customHeight="1">
      <c r="A224" s="20" t="s">
        <v>1176</v>
      </c>
      <c r="B224" s="21" t="str">
        <f t="array" ref="B224">iferror(VLOOKUP(INDIRECT(ADDRESS(ROW()+1,COLUMN(), 4)),Dex!$A$2:$C367,3,false),"")</f>
        <v/>
      </c>
      <c r="C224" s="21" t="str">
        <f t="array" ref="C224">iferror(VLOOKUP(INDIRECT(ADDRESS(ROW()+1,COLUMN(), 4)),Dex!$A$2:$C367,3,false),"")</f>
        <v/>
      </c>
      <c r="D224" s="21" t="str">
        <f t="array" ref="D224">iferror(VLOOKUP(INDIRECT(ADDRESS(ROW()+1,COLUMN(), 4)),Dex!$A$2:$C367,3,false),"")</f>
        <v/>
      </c>
      <c r="E224" s="21" t="str">
        <f t="array" ref="E224">iferror(VLOOKUP(INDIRECT(ADDRESS(ROW()+1,COLUMN(), 4)),Dex!$A$2:$C367,3,false),"")</f>
        <v/>
      </c>
      <c r="F224" s="21" t="str">
        <f t="array" ref="F224">iferror(VLOOKUP(INDIRECT(ADDRESS(ROW()+1,COLUMN(), 4)),Dex!$A$2:$C367,3,false),"")</f>
        <v/>
      </c>
      <c r="G224" s="21" t="str">
        <f t="array" ref="G224">iferror(VLOOKUP(INDIRECT(ADDRESS(ROW()+1,COLUMN(), 4)),Dex!$A$2:$C367,3,false),"")</f>
        <v/>
      </c>
      <c r="H224" s="22" t="str">
        <f t="array" ref="H224">iferror(VLOOKUP("TRAINER_PIC_BUG_CATCHER",Sprites!$A$1:$B367,2,false),"")</f>
        <v/>
      </c>
      <c r="I224" s="23"/>
    </row>
    <row r="225">
      <c r="A225" s="24"/>
      <c r="B225" s="25" t="s">
        <v>316</v>
      </c>
      <c r="C225" s="25" t="s">
        <v>1166</v>
      </c>
      <c r="D225" s="25" t="s">
        <v>156</v>
      </c>
      <c r="E225" s="25" t="s">
        <v>581</v>
      </c>
      <c r="F225" s="25" t="s">
        <v>437</v>
      </c>
      <c r="G225" s="25" t="s">
        <v>294</v>
      </c>
      <c r="H225" s="26"/>
    </row>
    <row r="226">
      <c r="A226" s="16" t="s">
        <v>1178</v>
      </c>
      <c r="B226" s="27" t="s">
        <v>2661</v>
      </c>
      <c r="C226" s="27" t="s">
        <v>2661</v>
      </c>
      <c r="D226" s="27" t="s">
        <v>2661</v>
      </c>
      <c r="E226" s="27" t="s">
        <v>2661</v>
      </c>
      <c r="F226" s="27" t="s">
        <v>2660</v>
      </c>
      <c r="G226" s="27" t="s">
        <v>2681</v>
      </c>
      <c r="H226" s="26"/>
    </row>
    <row r="227">
      <c r="A227" s="16" t="s">
        <v>1181</v>
      </c>
      <c r="B227" s="28" t="s">
        <v>1882</v>
      </c>
      <c r="C227" s="28" t="s">
        <v>1882</v>
      </c>
      <c r="D227" s="28" t="s">
        <v>1581</v>
      </c>
      <c r="E227" s="28" t="s">
        <v>1961</v>
      </c>
      <c r="F227" s="28" t="s">
        <v>1366</v>
      </c>
      <c r="G227" s="28" t="s">
        <v>2697</v>
      </c>
      <c r="H227" s="26"/>
    </row>
    <row r="228">
      <c r="A228" s="16" t="s">
        <v>1182</v>
      </c>
      <c r="B228" s="21" t="s">
        <v>1212</v>
      </c>
      <c r="C228" s="21" t="s">
        <v>1690</v>
      </c>
      <c r="D228" s="21" t="s">
        <v>1268</v>
      </c>
      <c r="E228" s="21" t="s">
        <v>2011</v>
      </c>
      <c r="F228" s="21" t="s">
        <v>2132</v>
      </c>
      <c r="G228" s="21" t="s">
        <v>1461</v>
      </c>
      <c r="H228" s="26"/>
    </row>
    <row r="229">
      <c r="A229" s="16" t="s">
        <v>1186</v>
      </c>
      <c r="B229" s="28" t="s">
        <v>1256</v>
      </c>
      <c r="C229" s="28" t="s">
        <v>1248</v>
      </c>
      <c r="D229" s="28" t="s">
        <v>1754</v>
      </c>
      <c r="E229" s="28" t="s">
        <v>1248</v>
      </c>
      <c r="F229" s="28" t="s">
        <v>1235</v>
      </c>
      <c r="G229" s="28" t="s">
        <v>1235</v>
      </c>
      <c r="H229" s="26"/>
    </row>
    <row r="230">
      <c r="A230" s="20" t="s">
        <v>1188</v>
      </c>
      <c r="B230" s="21" t="s">
        <v>1828</v>
      </c>
      <c r="C230" s="21" t="s">
        <v>1817</v>
      </c>
      <c r="D230" s="21" t="s">
        <v>1823</v>
      </c>
      <c r="E230" s="21" t="s">
        <v>1646</v>
      </c>
      <c r="F230" s="21" t="s">
        <v>1192</v>
      </c>
      <c r="G230" s="21" t="s">
        <v>1426</v>
      </c>
      <c r="H230" s="26"/>
    </row>
    <row r="231">
      <c r="A231" s="29"/>
      <c r="B231" s="21" t="s">
        <v>1987</v>
      </c>
      <c r="C231" s="21" t="s">
        <v>2658</v>
      </c>
      <c r="D231" s="21" t="s">
        <v>1953</v>
      </c>
      <c r="E231" s="21" t="s">
        <v>1651</v>
      </c>
      <c r="F231" s="21" t="s">
        <v>1874</v>
      </c>
      <c r="G231" s="21" t="s">
        <v>1874</v>
      </c>
      <c r="H231" s="26"/>
    </row>
    <row r="232">
      <c r="A232" s="29"/>
      <c r="B232" s="21" t="s">
        <v>2098</v>
      </c>
      <c r="C232" s="21" t="s">
        <v>1974</v>
      </c>
      <c r="D232" s="21" t="s">
        <v>1830</v>
      </c>
      <c r="E232" s="21" t="s">
        <v>1677</v>
      </c>
      <c r="F232" s="21" t="s">
        <v>1577</v>
      </c>
      <c r="G232" s="21" t="s">
        <v>1307</v>
      </c>
      <c r="H232" s="26"/>
    </row>
    <row r="233">
      <c r="A233" s="24"/>
      <c r="B233" s="21" t="s">
        <v>1822</v>
      </c>
      <c r="C233" s="21" t="s">
        <v>1924</v>
      </c>
      <c r="D233" s="21" t="s">
        <v>1759</v>
      </c>
      <c r="E233" s="21" t="s">
        <v>1641</v>
      </c>
      <c r="F233" s="21" t="s">
        <v>1306</v>
      </c>
      <c r="G233" s="21" t="s">
        <v>1641</v>
      </c>
      <c r="H233" s="30"/>
      <c r="I233" s="14"/>
    </row>
    <row r="234">
      <c r="A234" s="16" t="s">
        <v>1174</v>
      </c>
      <c r="B234" s="17" t="s">
        <v>2698</v>
      </c>
      <c r="C234" s="18"/>
      <c r="D234" s="18"/>
      <c r="E234" s="18"/>
      <c r="F234" s="18"/>
      <c r="G234" s="18"/>
      <c r="H234" s="18"/>
      <c r="I234" s="16"/>
    </row>
    <row r="235" ht="60.0" customHeight="1">
      <c r="A235" s="20" t="s">
        <v>1176</v>
      </c>
      <c r="B235" s="21" t="str">
        <f t="array" ref="B235">iferror(VLOOKUP(INDIRECT(ADDRESS(ROW()+1,COLUMN(), 4)),Dex!$A$2:$C367,3,false),"")</f>
        <v/>
      </c>
      <c r="C235" s="21" t="str">
        <f t="array" ref="C235">iferror(VLOOKUP(INDIRECT(ADDRESS(ROW()+1,COLUMN(), 4)),Dex!$A$2:$C367,3,false),"")</f>
        <v/>
      </c>
      <c r="D235" s="21" t="str">
        <f t="array" ref="D235">iferror(VLOOKUP(INDIRECT(ADDRESS(ROW()+1,COLUMN(), 4)),Dex!$A$2:$C367,3,false),"")</f>
        <v/>
      </c>
      <c r="E235" s="21" t="str">
        <f t="array" ref="E235">iferror(VLOOKUP(INDIRECT(ADDRESS(ROW()+1,COLUMN(), 4)),Dex!$A$2:$C367,3,false),"")</f>
        <v/>
      </c>
      <c r="F235" s="21" t="str">
        <f t="array" ref="F235">iferror(VLOOKUP(INDIRECT(ADDRESS(ROW()+1,COLUMN(), 4)),Dex!$A$2:$C367,3,false),"")</f>
        <v/>
      </c>
      <c r="G235" s="21" t="str">
        <f t="array" ref="G235">iferror(VLOOKUP(INDIRECT(ADDRESS(ROW()+1,COLUMN(), 4)),Dex!$A$2:$C367,3,false),"")</f>
        <v/>
      </c>
      <c r="H235" s="22" t="str">
        <f t="array" ref="H235">iferror(VLOOKUP("TRAINER_PIC_BIRD_KEEPER",Sprites!$A$1:$B367,2,false),"")</f>
        <v/>
      </c>
      <c r="I235" s="23"/>
    </row>
    <row r="236">
      <c r="A236" s="24"/>
      <c r="B236" s="25" t="s">
        <v>1163</v>
      </c>
      <c r="C236" s="25" t="s">
        <v>482</v>
      </c>
      <c r="D236" s="25" t="s">
        <v>405</v>
      </c>
      <c r="E236" s="25" t="s">
        <v>372</v>
      </c>
      <c r="F236" s="25" t="s">
        <v>460</v>
      </c>
      <c r="G236" s="25" t="s">
        <v>10</v>
      </c>
      <c r="H236" s="26"/>
    </row>
    <row r="237">
      <c r="A237" s="16" t="s">
        <v>1178</v>
      </c>
      <c r="B237" s="27" t="s">
        <v>2661</v>
      </c>
      <c r="C237" s="27" t="s">
        <v>2661</v>
      </c>
      <c r="D237" s="27" t="s">
        <v>2681</v>
      </c>
      <c r="E237" s="27" t="s">
        <v>2661</v>
      </c>
      <c r="F237" s="27" t="s">
        <v>2681</v>
      </c>
      <c r="G237" s="27" t="s">
        <v>2661</v>
      </c>
      <c r="H237" s="26"/>
    </row>
    <row r="238">
      <c r="A238" s="16" t="s">
        <v>1181</v>
      </c>
      <c r="B238" s="28" t="s">
        <v>1882</v>
      </c>
      <c r="C238" s="28" t="s">
        <v>2239</v>
      </c>
      <c r="D238" s="28" t="s">
        <v>1247</v>
      </c>
      <c r="E238" s="28" t="s">
        <v>1962</v>
      </c>
      <c r="F238" s="28" t="s">
        <v>1366</v>
      </c>
      <c r="G238" s="28" t="s">
        <v>1282</v>
      </c>
      <c r="H238" s="26"/>
    </row>
    <row r="239">
      <c r="A239" s="16" t="s">
        <v>1182</v>
      </c>
      <c r="B239" s="21" t="s">
        <v>1298</v>
      </c>
      <c r="C239" s="21" t="s">
        <v>1783</v>
      </c>
      <c r="D239" s="21" t="s">
        <v>1429</v>
      </c>
      <c r="E239" s="21" t="s">
        <v>2097</v>
      </c>
      <c r="F239" s="21" t="s">
        <v>1268</v>
      </c>
      <c r="G239" s="21" t="s">
        <v>1444</v>
      </c>
      <c r="H239" s="26"/>
    </row>
    <row r="240">
      <c r="A240" s="16" t="s">
        <v>1186</v>
      </c>
      <c r="B240" s="28" t="s">
        <v>1249</v>
      </c>
      <c r="C240" s="28" t="s">
        <v>1235</v>
      </c>
      <c r="D240" s="28" t="s">
        <v>1235</v>
      </c>
      <c r="E240" s="28" t="s">
        <v>1284</v>
      </c>
      <c r="F240" s="28" t="s">
        <v>1284</v>
      </c>
      <c r="G240" s="28" t="s">
        <v>1284</v>
      </c>
      <c r="H240" s="26"/>
    </row>
    <row r="241">
      <c r="A241" s="20" t="s">
        <v>1188</v>
      </c>
      <c r="B241" s="21" t="s">
        <v>1731</v>
      </c>
      <c r="C241" s="21" t="s">
        <v>2317</v>
      </c>
      <c r="D241" s="21" t="s">
        <v>1874</v>
      </c>
      <c r="E241" s="21" t="s">
        <v>1822</v>
      </c>
      <c r="F241" s="21" t="s">
        <v>1822</v>
      </c>
      <c r="G241" s="21" t="s">
        <v>2185</v>
      </c>
      <c r="H241" s="26"/>
    </row>
    <row r="242">
      <c r="A242" s="29"/>
      <c r="B242" s="21" t="s">
        <v>1777</v>
      </c>
      <c r="C242" s="21" t="s">
        <v>1469</v>
      </c>
      <c r="D242" s="21" t="s">
        <v>1469</v>
      </c>
      <c r="E242" s="21" t="s">
        <v>2022</v>
      </c>
      <c r="F242" s="21" t="s">
        <v>1652</v>
      </c>
      <c r="G242" s="21" t="s">
        <v>1822</v>
      </c>
      <c r="H242" s="26"/>
    </row>
    <row r="243">
      <c r="A243" s="29"/>
      <c r="B243" s="21" t="s">
        <v>1663</v>
      </c>
      <c r="C243" s="21" t="s">
        <v>1677</v>
      </c>
      <c r="D243" s="21" t="s">
        <v>1359</v>
      </c>
      <c r="E243" s="21" t="s">
        <v>1243</v>
      </c>
      <c r="F243" s="21" t="s">
        <v>1361</v>
      </c>
      <c r="G243" s="21" t="s">
        <v>1878</v>
      </c>
      <c r="H243" s="26"/>
    </row>
    <row r="244">
      <c r="A244" s="24"/>
      <c r="B244" s="21" t="s">
        <v>1677</v>
      </c>
      <c r="C244" s="21" t="s">
        <v>1323</v>
      </c>
      <c r="D244" s="21" t="s">
        <v>1425</v>
      </c>
      <c r="E244" s="21" t="s">
        <v>1944</v>
      </c>
      <c r="F244" s="21" t="s">
        <v>1944</v>
      </c>
      <c r="G244" s="21" t="s">
        <v>2022</v>
      </c>
      <c r="H244" s="30"/>
      <c r="I244" s="14"/>
    </row>
    <row r="245">
      <c r="A245" s="16" t="s">
        <v>1174</v>
      </c>
      <c r="B245" s="17" t="s">
        <v>2699</v>
      </c>
      <c r="C245" s="18"/>
      <c r="D245" s="18"/>
      <c r="E245" s="18"/>
      <c r="F245" s="18"/>
      <c r="G245" s="18"/>
      <c r="H245" s="18"/>
      <c r="I245" s="16"/>
    </row>
    <row r="246" ht="60.0" customHeight="1">
      <c r="A246" s="20" t="s">
        <v>1176</v>
      </c>
      <c r="B246" s="21" t="str">
        <f t="array" ref="B246">iferror(VLOOKUP(INDIRECT(ADDRESS(ROW()+1,COLUMN(), 4)),Dex!$A$2:$C367,3,false),"")</f>
        <v/>
      </c>
      <c r="C246" s="21" t="str">
        <f t="array" ref="C246">iferror(VLOOKUP(INDIRECT(ADDRESS(ROW()+1,COLUMN(), 4)),Dex!$A$2:$C367,3,false),"")</f>
        <v/>
      </c>
      <c r="D246" s="21" t="str">
        <f t="array" ref="D246">iferror(VLOOKUP(INDIRECT(ADDRESS(ROW()+1,COLUMN(), 4)),Dex!$A$2:$C367,3,false),"")</f>
        <v/>
      </c>
      <c r="E246" s="21" t="str">
        <f t="array" ref="E246">iferror(VLOOKUP(INDIRECT(ADDRESS(ROW()+1,COLUMN(), 4)),Dex!$A$2:$C367,3,false),"")</f>
        <v/>
      </c>
      <c r="F246" s="21" t="str">
        <f t="array" ref="F246">iferror(VLOOKUP(INDIRECT(ADDRESS(ROW()+1,COLUMN(), 4)),Dex!$A$2:$C367,3,false),"")</f>
        <v/>
      </c>
      <c r="G246" s="21" t="str">
        <f t="array" ref="G246">iferror(VLOOKUP(INDIRECT(ADDRESS(ROW()+1,COLUMN(), 4)),Dex!$A$2:$C367,3,false),"")</f>
        <v/>
      </c>
      <c r="H246" s="22" t="str">
        <f t="array" ref="H246">iferror(VLOOKUP("TRAINER_PIC_BLACK_BELT",Sprites!$A$1:$B367,2,false),"")</f>
        <v/>
      </c>
      <c r="I246" s="23"/>
    </row>
    <row r="247">
      <c r="A247" s="24"/>
      <c r="B247" s="25" t="s">
        <v>327</v>
      </c>
      <c r="C247" s="25" t="s">
        <v>323</v>
      </c>
      <c r="D247" s="25" t="s">
        <v>706</v>
      </c>
      <c r="E247" s="25" t="s">
        <v>895</v>
      </c>
      <c r="F247" s="25" t="s">
        <v>293</v>
      </c>
      <c r="G247" s="25" t="s">
        <v>945</v>
      </c>
      <c r="H247" s="26"/>
    </row>
    <row r="248">
      <c r="A248" s="16" t="s">
        <v>1178</v>
      </c>
      <c r="B248" s="27" t="s">
        <v>2661</v>
      </c>
      <c r="C248" s="27" t="s">
        <v>2681</v>
      </c>
      <c r="D248" s="27" t="s">
        <v>2661</v>
      </c>
      <c r="E248" s="27" t="s">
        <v>2661</v>
      </c>
      <c r="F248" s="27" t="s">
        <v>2661</v>
      </c>
      <c r="G248" s="27" t="s">
        <v>2661</v>
      </c>
      <c r="H248" s="26"/>
    </row>
    <row r="249">
      <c r="A249" s="16" t="s">
        <v>1181</v>
      </c>
      <c r="B249" s="28" t="s">
        <v>1643</v>
      </c>
      <c r="C249" s="28" t="s">
        <v>1882</v>
      </c>
      <c r="D249" s="28" t="s">
        <v>2139</v>
      </c>
      <c r="E249" s="28" t="s">
        <v>1282</v>
      </c>
      <c r="F249" s="28" t="s">
        <v>1247</v>
      </c>
      <c r="G249" s="28" t="s">
        <v>1838</v>
      </c>
      <c r="H249" s="26"/>
    </row>
    <row r="250">
      <c r="A250" s="16" t="s">
        <v>1182</v>
      </c>
      <c r="B250" s="21" t="s">
        <v>1907</v>
      </c>
      <c r="C250" s="21" t="s">
        <v>1461</v>
      </c>
      <c r="D250" s="21" t="s">
        <v>2015</v>
      </c>
      <c r="E250" s="21" t="s">
        <v>1884</v>
      </c>
      <c r="F250" s="21" t="s">
        <v>1461</v>
      </c>
      <c r="G250" s="21" t="s">
        <v>1356</v>
      </c>
      <c r="H250" s="26"/>
    </row>
    <row r="251">
      <c r="A251" s="16" t="s">
        <v>1186</v>
      </c>
      <c r="B251" s="28" t="s">
        <v>1235</v>
      </c>
      <c r="C251" s="28" t="s">
        <v>1248</v>
      </c>
      <c r="D251" s="28" t="s">
        <v>1235</v>
      </c>
      <c r="E251" s="28" t="s">
        <v>1464</v>
      </c>
      <c r="F251" s="28" t="s">
        <v>1248</v>
      </c>
      <c r="G251" s="28" t="s">
        <v>1248</v>
      </c>
      <c r="H251" s="26"/>
    </row>
    <row r="252">
      <c r="A252" s="20" t="s">
        <v>1188</v>
      </c>
      <c r="B252" s="21" t="s">
        <v>1407</v>
      </c>
      <c r="C252" s="21" t="s">
        <v>1874</v>
      </c>
      <c r="D252" s="21" t="s">
        <v>1677</v>
      </c>
      <c r="E252" s="21" t="s">
        <v>2039</v>
      </c>
      <c r="F252" s="21" t="s">
        <v>1201</v>
      </c>
      <c r="G252" s="21" t="s">
        <v>1677</v>
      </c>
      <c r="H252" s="26"/>
    </row>
    <row r="253">
      <c r="A253" s="29"/>
      <c r="B253" s="21" t="s">
        <v>2440</v>
      </c>
      <c r="C253" s="21" t="s">
        <v>1324</v>
      </c>
      <c r="D253" s="21" t="s">
        <v>1336</v>
      </c>
      <c r="E253" s="21" t="s">
        <v>1238</v>
      </c>
      <c r="F253" s="21" t="s">
        <v>1426</v>
      </c>
      <c r="G253" s="21" t="s">
        <v>1678</v>
      </c>
      <c r="H253" s="26"/>
    </row>
    <row r="254">
      <c r="A254" s="29"/>
      <c r="B254" s="21" t="s">
        <v>1705</v>
      </c>
      <c r="C254" s="21" t="s">
        <v>1426</v>
      </c>
      <c r="D254" s="21" t="s">
        <v>1678</v>
      </c>
      <c r="E254" s="21" t="s">
        <v>1629</v>
      </c>
      <c r="F254" s="21" t="s">
        <v>1874</v>
      </c>
      <c r="G254" s="21" t="s">
        <v>1758</v>
      </c>
      <c r="H254" s="26"/>
    </row>
    <row r="255">
      <c r="A255" s="24"/>
      <c r="B255" s="21" t="s">
        <v>1262</v>
      </c>
      <c r="C255" s="21" t="s">
        <v>1440</v>
      </c>
      <c r="D255" s="21" t="s">
        <v>1817</v>
      </c>
      <c r="E255" s="21" t="s">
        <v>1915</v>
      </c>
      <c r="F255" s="21" t="s">
        <v>1641</v>
      </c>
      <c r="G255" s="21" t="s">
        <v>1896</v>
      </c>
      <c r="H255" s="30"/>
      <c r="I255" s="14"/>
    </row>
    <row r="256">
      <c r="A256" s="16" t="s">
        <v>1174</v>
      </c>
      <c r="B256" s="17" t="s">
        <v>2700</v>
      </c>
      <c r="C256" s="18"/>
      <c r="D256" s="18"/>
      <c r="E256" s="18"/>
      <c r="F256" s="18"/>
      <c r="G256" s="18"/>
      <c r="H256" s="18"/>
      <c r="I256" s="16"/>
    </row>
    <row r="257" ht="60.0" customHeight="1">
      <c r="A257" s="20" t="s">
        <v>1176</v>
      </c>
      <c r="B257" s="21" t="str">
        <f t="array" ref="B257">iferror(VLOOKUP(INDIRECT(ADDRESS(ROW()+1,COLUMN(), 4)),Dex!$A$2:$C367,3,false),"")</f>
        <v/>
      </c>
      <c r="C257" s="21" t="str">
        <f t="array" ref="C257">iferror(VLOOKUP(INDIRECT(ADDRESS(ROW()+1,COLUMN(), 4)),Dex!$A$2:$C367,3,false),"")</f>
        <v/>
      </c>
      <c r="D257" s="21" t="str">
        <f t="array" ref="D257">iferror(VLOOKUP(INDIRECT(ADDRESS(ROW()+1,COLUMN(), 4)),Dex!$A$2:$C367,3,false),"")</f>
        <v/>
      </c>
      <c r="E257" s="21" t="str">
        <f t="array" ref="E257">iferror(VLOOKUP(INDIRECT(ADDRESS(ROW()+1,COLUMN(), 4)),Dex!$A$2:$C367,3,false),"")</f>
        <v/>
      </c>
      <c r="F257" s="21" t="str">
        <f t="array" ref="F257">iferror(VLOOKUP(INDIRECT(ADDRESS(ROW()+1,COLUMN(), 4)),Dex!$A$2:$C367,3,false),"")</f>
        <v/>
      </c>
      <c r="G257" s="21" t="str">
        <f t="array" ref="G257">iferror(VLOOKUP(INDIRECT(ADDRESS(ROW()+1,COLUMN(), 4)),Dex!$A$2:$C367,3,false),"")</f>
        <v/>
      </c>
      <c r="H257" s="22" t="str">
        <f t="array" ref="H257">iferror(VLOOKUP("TRAINER_PIC_COOLTRAINER_F",Sprites!$A$1:$B367,2,false),"")</f>
        <v/>
      </c>
      <c r="I257" s="23"/>
    </row>
    <row r="258">
      <c r="A258" s="24"/>
      <c r="B258" s="25" t="s">
        <v>981</v>
      </c>
      <c r="C258" s="25" t="s">
        <v>1001</v>
      </c>
      <c r="D258" s="25" t="s">
        <v>112</v>
      </c>
      <c r="E258" s="25" t="s">
        <v>602</v>
      </c>
      <c r="F258" s="25" t="s">
        <v>1058</v>
      </c>
      <c r="G258" s="25" t="s">
        <v>141</v>
      </c>
      <c r="H258" s="26"/>
    </row>
    <row r="259">
      <c r="A259" s="16" t="s">
        <v>1178</v>
      </c>
      <c r="B259" s="27" t="s">
        <v>2661</v>
      </c>
      <c r="C259" s="27" t="s">
        <v>2681</v>
      </c>
      <c r="D259" s="27" t="s">
        <v>2661</v>
      </c>
      <c r="E259" s="27" t="s">
        <v>2661</v>
      </c>
      <c r="F259" s="27" t="s">
        <v>2661</v>
      </c>
      <c r="G259" s="27" t="s">
        <v>2681</v>
      </c>
      <c r="H259" s="26"/>
    </row>
    <row r="260">
      <c r="A260" s="16" t="s">
        <v>1181</v>
      </c>
      <c r="B260" s="28" t="s">
        <v>2701</v>
      </c>
      <c r="C260" s="28" t="s">
        <v>1833</v>
      </c>
      <c r="D260" s="28" t="s">
        <v>1703</v>
      </c>
      <c r="E260" s="28" t="s">
        <v>1961</v>
      </c>
      <c r="F260" s="28" t="s">
        <v>1457</v>
      </c>
      <c r="G260" s="28" t="s">
        <v>1247</v>
      </c>
      <c r="H260" s="26"/>
    </row>
    <row r="261">
      <c r="A261" s="16" t="s">
        <v>1182</v>
      </c>
      <c r="B261" s="21" t="s">
        <v>2381</v>
      </c>
      <c r="C261" s="21" t="s">
        <v>1445</v>
      </c>
      <c r="D261" s="21" t="s">
        <v>1199</v>
      </c>
      <c r="E261" s="21" t="s">
        <v>1393</v>
      </c>
      <c r="F261" s="21" t="s">
        <v>2286</v>
      </c>
      <c r="G261" s="21" t="s">
        <v>1368</v>
      </c>
      <c r="H261" s="26"/>
    </row>
    <row r="262">
      <c r="A262" s="16" t="s">
        <v>1186</v>
      </c>
      <c r="B262" s="28" t="s">
        <v>1249</v>
      </c>
      <c r="C262" s="28" t="s">
        <v>1284</v>
      </c>
      <c r="D262" s="28" t="s">
        <v>1248</v>
      </c>
      <c r="E262" s="28" t="s">
        <v>1284</v>
      </c>
      <c r="F262" s="28" t="s">
        <v>1284</v>
      </c>
      <c r="G262" s="28" t="s">
        <v>1284</v>
      </c>
      <c r="H262" s="26"/>
    </row>
    <row r="263">
      <c r="A263" s="20" t="s">
        <v>1188</v>
      </c>
      <c r="B263" s="21" t="s">
        <v>2382</v>
      </c>
      <c r="C263" s="21" t="s">
        <v>1828</v>
      </c>
      <c r="D263" s="21" t="s">
        <v>1677</v>
      </c>
      <c r="E263" s="21" t="s">
        <v>2054</v>
      </c>
      <c r="F263" s="21" t="s">
        <v>2147</v>
      </c>
      <c r="G263" s="21" t="s">
        <v>2198</v>
      </c>
      <c r="H263" s="26"/>
    </row>
    <row r="264">
      <c r="A264" s="29"/>
      <c r="B264" s="21" t="s">
        <v>1830</v>
      </c>
      <c r="C264" s="21" t="s">
        <v>1739</v>
      </c>
      <c r="D264" s="21" t="s">
        <v>1678</v>
      </c>
      <c r="E264" s="21" t="s">
        <v>1742</v>
      </c>
      <c r="F264" s="21" t="s">
        <v>1650</v>
      </c>
      <c r="G264" s="21" t="s">
        <v>1742</v>
      </c>
      <c r="H264" s="26"/>
    </row>
    <row r="265">
      <c r="A265" s="29"/>
      <c r="B265" s="21" t="s">
        <v>2447</v>
      </c>
      <c r="C265" s="21" t="s">
        <v>1933</v>
      </c>
      <c r="D265" s="21" t="s">
        <v>1438</v>
      </c>
      <c r="E265" s="21" t="s">
        <v>1395</v>
      </c>
      <c r="F265" s="21" t="s">
        <v>1374</v>
      </c>
      <c r="G265" s="21" t="s">
        <v>1878</v>
      </c>
      <c r="H265" s="26"/>
    </row>
    <row r="266">
      <c r="A266" s="24"/>
      <c r="B266" s="21" t="s">
        <v>1944</v>
      </c>
      <c r="C266" s="21" t="s">
        <v>1177</v>
      </c>
      <c r="D266" s="21" t="s">
        <v>1830</v>
      </c>
      <c r="E266" s="21" t="s">
        <v>1322</v>
      </c>
      <c r="F266" s="21" t="s">
        <v>1311</v>
      </c>
      <c r="G266" s="21" t="s">
        <v>1311</v>
      </c>
      <c r="H266" s="30"/>
      <c r="I266" s="14"/>
    </row>
    <row r="267">
      <c r="A267" s="16" t="s">
        <v>1174</v>
      </c>
      <c r="B267" s="17" t="s">
        <v>2702</v>
      </c>
      <c r="C267" s="18"/>
      <c r="D267" s="18"/>
      <c r="E267" s="18"/>
      <c r="F267" s="18"/>
      <c r="G267" s="18"/>
      <c r="H267" s="18"/>
      <c r="I267" s="16"/>
    </row>
    <row r="268" ht="60.0" customHeight="1">
      <c r="A268" s="20" t="s">
        <v>1176</v>
      </c>
      <c r="B268" s="21" t="str">
        <f t="array" ref="B268">iferror(VLOOKUP(INDIRECT(ADDRESS(ROW()+1,COLUMN(), 4)),Dex!$A$2:$C367,3,false),"")</f>
        <v/>
      </c>
      <c r="C268" s="21" t="str">
        <f t="array" ref="C268">iferror(VLOOKUP(INDIRECT(ADDRESS(ROW()+1,COLUMN(), 4)),Dex!$A$2:$C367,3,false),"")</f>
        <v/>
      </c>
      <c r="D268" s="21" t="str">
        <f t="array" ref="D268">iferror(VLOOKUP(INDIRECT(ADDRESS(ROW()+1,COLUMN(), 4)),Dex!$A$2:$C367,3,false),"")</f>
        <v/>
      </c>
      <c r="E268" s="21" t="str">
        <f t="array" ref="E268">iferror(VLOOKUP(INDIRECT(ADDRESS(ROW()+1,COLUMN(), 4)),Dex!$A$2:$C367,3,false),"")</f>
        <v/>
      </c>
      <c r="F268" s="21" t="str">
        <f t="array" ref="F268">iferror(VLOOKUP(INDIRECT(ADDRESS(ROW()+1,COLUMN(), 4)),Dex!$A$2:$C367,3,false),"")</f>
        <v/>
      </c>
      <c r="G268" s="21" t="str">
        <f t="array" ref="G268">iferror(VLOOKUP(INDIRECT(ADDRESS(ROW()+1,COLUMN(), 4)),Dex!$A$2:$C367,3,false),"")</f>
        <v/>
      </c>
      <c r="H268" s="22" t="str">
        <f t="array" ref="H268">iferror(VLOOKUP("TRAINER_PIC_HEX_MANIAC",Sprites!$A$1:$B367,2,false),"")</f>
        <v/>
      </c>
      <c r="I268" s="23"/>
    </row>
    <row r="269">
      <c r="A269" s="24"/>
      <c r="B269" s="25" t="s">
        <v>780</v>
      </c>
      <c r="C269" s="25" t="s">
        <v>993</v>
      </c>
      <c r="D269" s="25" t="s">
        <v>1061</v>
      </c>
      <c r="E269" s="25" t="s">
        <v>1123</v>
      </c>
      <c r="F269" s="25" t="s">
        <v>97</v>
      </c>
      <c r="G269" s="25" t="s">
        <v>177</v>
      </c>
      <c r="H269" s="26"/>
    </row>
    <row r="270">
      <c r="A270" s="16" t="s">
        <v>1178</v>
      </c>
      <c r="B270" s="27" t="s">
        <v>2661</v>
      </c>
      <c r="C270" s="27" t="s">
        <v>2681</v>
      </c>
      <c r="D270" s="27" t="s">
        <v>2681</v>
      </c>
      <c r="E270" s="27" t="s">
        <v>2661</v>
      </c>
      <c r="F270" s="27" t="s">
        <v>2681</v>
      </c>
      <c r="G270" s="27" t="s">
        <v>2681</v>
      </c>
      <c r="H270" s="26"/>
    </row>
    <row r="271">
      <c r="A271" s="16" t="s">
        <v>1181</v>
      </c>
      <c r="B271" s="28" t="s">
        <v>1882</v>
      </c>
      <c r="C271" s="28" t="s">
        <v>2151</v>
      </c>
      <c r="D271" s="28" t="s">
        <v>1911</v>
      </c>
      <c r="E271" s="28" t="s">
        <v>1898</v>
      </c>
      <c r="F271" s="28" t="s">
        <v>1882</v>
      </c>
      <c r="G271" s="28" t="s">
        <v>1247</v>
      </c>
      <c r="H271" s="26"/>
    </row>
    <row r="272">
      <c r="A272" s="16" t="s">
        <v>1182</v>
      </c>
      <c r="B272" s="21" t="s">
        <v>1356</v>
      </c>
      <c r="C272" s="21" t="s">
        <v>1947</v>
      </c>
      <c r="D272" s="21" t="s">
        <v>1222</v>
      </c>
      <c r="E272" s="21" t="s">
        <v>1912</v>
      </c>
      <c r="F272" s="21" t="s">
        <v>1604</v>
      </c>
      <c r="G272" s="21" t="s">
        <v>1811</v>
      </c>
      <c r="H272" s="26"/>
    </row>
    <row r="273">
      <c r="A273" s="16" t="s">
        <v>1186</v>
      </c>
      <c r="B273" s="28" t="s">
        <v>1235</v>
      </c>
      <c r="C273" s="28" t="s">
        <v>1235</v>
      </c>
      <c r="D273" s="28" t="s">
        <v>1256</v>
      </c>
      <c r="E273" s="28" t="s">
        <v>1284</v>
      </c>
      <c r="F273" s="28" t="s">
        <v>1284</v>
      </c>
      <c r="G273" s="28" t="s">
        <v>1284</v>
      </c>
      <c r="H273" s="26"/>
    </row>
    <row r="274">
      <c r="A274" s="20" t="s">
        <v>1188</v>
      </c>
      <c r="B274" s="21" t="s">
        <v>1874</v>
      </c>
      <c r="C274" s="21" t="s">
        <v>1372</v>
      </c>
      <c r="D274" s="21" t="s">
        <v>1732</v>
      </c>
      <c r="E274" s="21" t="s">
        <v>1913</v>
      </c>
      <c r="F274" s="21" t="s">
        <v>1913</v>
      </c>
      <c r="G274" s="21" t="s">
        <v>1251</v>
      </c>
      <c r="H274" s="26"/>
    </row>
    <row r="275">
      <c r="A275" s="29"/>
      <c r="B275" s="21" t="s">
        <v>1438</v>
      </c>
      <c r="C275" s="21" t="s">
        <v>1952</v>
      </c>
      <c r="D275" s="21" t="s">
        <v>1890</v>
      </c>
      <c r="E275" s="21" t="s">
        <v>2153</v>
      </c>
      <c r="F275" s="21" t="s">
        <v>1739</v>
      </c>
      <c r="G275" s="21" t="s">
        <v>1913</v>
      </c>
      <c r="H275" s="26"/>
    </row>
    <row r="276">
      <c r="A276" s="29"/>
      <c r="B276" s="21" t="s">
        <v>1307</v>
      </c>
      <c r="C276" s="21" t="s">
        <v>1423</v>
      </c>
      <c r="D276" s="21" t="s">
        <v>2115</v>
      </c>
      <c r="E276" s="21" t="s">
        <v>1880</v>
      </c>
      <c r="F276" s="21" t="s">
        <v>1605</v>
      </c>
      <c r="G276" s="21" t="s">
        <v>1598</v>
      </c>
      <c r="H276" s="26"/>
    </row>
    <row r="277">
      <c r="A277" s="24"/>
      <c r="B277" s="21" t="s">
        <v>1243</v>
      </c>
      <c r="C277" s="21" t="s">
        <v>1641</v>
      </c>
      <c r="D277" s="21" t="s">
        <v>1591</v>
      </c>
      <c r="E277" s="21" t="s">
        <v>1879</v>
      </c>
      <c r="F277" s="21" t="s">
        <v>1389</v>
      </c>
      <c r="G277" s="21" t="s">
        <v>1663</v>
      </c>
      <c r="H277" s="30"/>
      <c r="I277" s="14"/>
    </row>
    <row r="278">
      <c r="A278" s="37"/>
      <c r="B278" s="38" t="s">
        <v>2703</v>
      </c>
      <c r="C278" s="14"/>
      <c r="D278" s="14"/>
      <c r="E278" s="14"/>
      <c r="F278" s="14"/>
      <c r="G278" s="14"/>
      <c r="H278" s="24"/>
      <c r="I278" s="33"/>
    </row>
    <row r="279">
      <c r="A279" s="16" t="s">
        <v>1174</v>
      </c>
      <c r="B279" s="17" t="s">
        <v>2704</v>
      </c>
      <c r="C279" s="18"/>
      <c r="D279" s="18"/>
      <c r="E279" s="18"/>
      <c r="F279" s="18"/>
      <c r="G279" s="18"/>
      <c r="H279" s="18"/>
      <c r="I279" s="16"/>
    </row>
    <row r="280" ht="60.0" customHeight="1">
      <c r="A280" s="20" t="s">
        <v>1176</v>
      </c>
      <c r="B280" s="21" t="str">
        <f t="array" ref="B280">iferror(VLOOKUP(INDIRECT(ADDRESS(ROW()+1,COLUMN(), 4)),Dex!$A$2:$C367,3,false),"")</f>
        <v/>
      </c>
      <c r="C280" s="21" t="str">
        <f t="array" ref="C280">iferror(VLOOKUP(INDIRECT(ADDRESS(ROW()+1,COLUMN(), 4)),Dex!$A$2:$C367,3,false),"")</f>
        <v/>
      </c>
      <c r="D280" s="21" t="str">
        <f t="array" ref="D280">iferror(VLOOKUP(INDIRECT(ADDRESS(ROW()+1,COLUMN(), 4)),Dex!$A$2:$C367,3,false),"")</f>
        <v/>
      </c>
      <c r="E280" s="21" t="str">
        <f t="array" ref="E280">iferror(VLOOKUP(INDIRECT(ADDRESS(ROW()+1,COLUMN(), 4)),Dex!$A$2:$C367,3,false),"")</f>
        <v/>
      </c>
      <c r="F280" s="21" t="str">
        <f t="array" ref="F280">iferror(VLOOKUP(INDIRECT(ADDRESS(ROW()+1,COLUMN(), 4)),Dex!$A$2:$C367,3,false),"")</f>
        <v/>
      </c>
      <c r="G280" s="21" t="str">
        <f t="array" ref="G280">iferror(VLOOKUP(INDIRECT(ADDRESS(ROW()+1,COLUMN(), 4)),Dex!$A$2:$C367,3,false),"")</f>
        <v/>
      </c>
      <c r="H280" s="22" t="str">
        <f t="array" ref="H280">iferror(VLOOKUP("TRAINER_PIC_OLD_COUPLE",Sprites!$A$1:$B367,2,false),"")</f>
        <v/>
      </c>
      <c r="I280" s="23"/>
    </row>
    <row r="281">
      <c r="A281" s="24"/>
      <c r="B281" s="25" t="s">
        <v>699</v>
      </c>
      <c r="C281" s="25" t="s">
        <v>939</v>
      </c>
      <c r="D281" s="25" t="s">
        <v>701</v>
      </c>
      <c r="E281" s="25" t="s">
        <v>58</v>
      </c>
      <c r="F281" s="25" t="s">
        <v>869</v>
      </c>
      <c r="G281" s="25" t="s">
        <v>52</v>
      </c>
      <c r="H281" s="26"/>
    </row>
    <row r="282">
      <c r="A282" s="16" t="s">
        <v>1178</v>
      </c>
      <c r="B282" s="27" t="s">
        <v>2660</v>
      </c>
      <c r="C282" s="27" t="s">
        <v>2660</v>
      </c>
      <c r="D282" s="27" t="s">
        <v>2661</v>
      </c>
      <c r="E282" s="27" t="s">
        <v>2661</v>
      </c>
      <c r="F282" s="27" t="s">
        <v>2681</v>
      </c>
      <c r="G282" s="27" t="s">
        <v>2681</v>
      </c>
      <c r="H282" s="26"/>
    </row>
    <row r="283">
      <c r="A283" s="16" t="s">
        <v>1181</v>
      </c>
      <c r="B283" s="28" t="s">
        <v>2151</v>
      </c>
      <c r="C283" s="28" t="s">
        <v>1247</v>
      </c>
      <c r="D283" s="28" t="s">
        <v>1295</v>
      </c>
      <c r="E283" s="28" t="s">
        <v>1457</v>
      </c>
      <c r="F283" s="28" t="s">
        <v>1833</v>
      </c>
      <c r="G283" s="28" t="s">
        <v>1882</v>
      </c>
      <c r="H283" s="26"/>
    </row>
    <row r="284">
      <c r="A284" s="16" t="s">
        <v>1182</v>
      </c>
      <c r="B284" s="21" t="s">
        <v>1636</v>
      </c>
      <c r="C284" s="21" t="s">
        <v>1971</v>
      </c>
      <c r="D284" s="21" t="s">
        <v>1223</v>
      </c>
      <c r="E284" s="21" t="s">
        <v>1367</v>
      </c>
      <c r="F284" s="21" t="s">
        <v>1931</v>
      </c>
      <c r="G284" s="21" t="s">
        <v>1938</v>
      </c>
      <c r="H284" s="26"/>
    </row>
    <row r="285">
      <c r="A285" s="16" t="s">
        <v>1186</v>
      </c>
      <c r="B285" s="28" t="s">
        <v>1284</v>
      </c>
      <c r="C285" s="28" t="s">
        <v>1235</v>
      </c>
      <c r="D285" s="28" t="s">
        <v>1284</v>
      </c>
      <c r="E285" s="28" t="s">
        <v>1234</v>
      </c>
      <c r="F285" s="28" t="s">
        <v>1284</v>
      </c>
      <c r="G285" s="28" t="s">
        <v>1284</v>
      </c>
      <c r="H285" s="26"/>
    </row>
    <row r="286">
      <c r="A286" s="20" t="s">
        <v>1188</v>
      </c>
      <c r="B286" s="21" t="s">
        <v>1815</v>
      </c>
      <c r="C286" s="21" t="s">
        <v>1678</v>
      </c>
      <c r="D286" s="21" t="s">
        <v>1371</v>
      </c>
      <c r="E286" s="21" t="s">
        <v>1815</v>
      </c>
      <c r="F286" s="21" t="s">
        <v>1663</v>
      </c>
      <c r="G286" s="21" t="s">
        <v>2198</v>
      </c>
      <c r="H286" s="26"/>
    </row>
    <row r="287">
      <c r="A287" s="29"/>
      <c r="B287" s="21" t="s">
        <v>2153</v>
      </c>
      <c r="C287" s="21" t="s">
        <v>1438</v>
      </c>
      <c r="D287" s="21" t="s">
        <v>2021</v>
      </c>
      <c r="E287" s="21" t="s">
        <v>2104</v>
      </c>
      <c r="F287" s="21" t="s">
        <v>1608</v>
      </c>
      <c r="G287" s="21" t="s">
        <v>1618</v>
      </c>
      <c r="H287" s="26"/>
    </row>
    <row r="288">
      <c r="A288" s="29"/>
      <c r="B288" s="21" t="s">
        <v>1378</v>
      </c>
      <c r="C288" s="21" t="s">
        <v>1874</v>
      </c>
      <c r="D288" s="21" t="s">
        <v>1657</v>
      </c>
      <c r="E288" s="21" t="s">
        <v>1307</v>
      </c>
      <c r="F288" s="21" t="s">
        <v>1778</v>
      </c>
      <c r="G288" s="21" t="s">
        <v>2054</v>
      </c>
      <c r="H288" s="26"/>
    </row>
    <row r="289">
      <c r="A289" s="24"/>
      <c r="B289" s="21" t="s">
        <v>1944</v>
      </c>
      <c r="C289" s="21" t="s">
        <v>1836</v>
      </c>
      <c r="D289" s="21" t="s">
        <v>1622</v>
      </c>
      <c r="E289" s="21" t="s">
        <v>1606</v>
      </c>
      <c r="F289" s="21" t="s">
        <v>1652</v>
      </c>
      <c r="G289" s="21" t="s">
        <v>2104</v>
      </c>
      <c r="H289" s="30"/>
      <c r="I289" s="14"/>
    </row>
    <row r="290">
      <c r="A290" s="16" t="s">
        <v>1174</v>
      </c>
      <c r="B290" s="17" t="s">
        <v>2705</v>
      </c>
      <c r="C290" s="18"/>
      <c r="D290" s="18"/>
      <c r="E290" s="18"/>
      <c r="F290" s="18"/>
      <c r="G290" s="18"/>
      <c r="H290" s="18"/>
      <c r="I290" s="16"/>
    </row>
    <row r="291" ht="60.0" customHeight="1">
      <c r="A291" s="20" t="s">
        <v>1176</v>
      </c>
      <c r="B291" s="21" t="str">
        <f t="array" ref="B291">iferror(VLOOKUP(INDIRECT(ADDRESS(ROW()+1,COLUMN(), 4)),Dex!$A$2:$C367,3,false),"")</f>
        <v/>
      </c>
      <c r="C291" s="21" t="str">
        <f t="array" ref="C291">iferror(VLOOKUP(INDIRECT(ADDRESS(ROW()+1,COLUMN(), 4)),Dex!$A$2:$C367,3,false),"")</f>
        <v/>
      </c>
      <c r="D291" s="21" t="str">
        <f t="array" ref="D291">iferror(VLOOKUP(INDIRECT(ADDRESS(ROW()+1,COLUMN(), 4)),Dex!$A$2:$C367,3,false),"")</f>
        <v/>
      </c>
      <c r="E291" s="21" t="str">
        <f t="array" ref="E291">iferror(VLOOKUP(INDIRECT(ADDRESS(ROW()+1,COLUMN(), 4)),Dex!$A$2:$C367,3,false),"")</f>
        <v/>
      </c>
      <c r="F291" s="21" t="str">
        <f t="array" ref="F291">iferror(VLOOKUP(INDIRECT(ADDRESS(ROW()+1,COLUMN(), 4)),Dex!$A$2:$C367,3,false),"")</f>
        <v/>
      </c>
      <c r="G291" s="21" t="str">
        <f t="array" ref="G291">iferror(VLOOKUP(INDIRECT(ADDRESS(ROW()+1,COLUMN(), 4)),Dex!$A$2:$C367,3,false),"")</f>
        <v/>
      </c>
      <c r="H291" s="22" t="str">
        <f t="array" ref="H291">iferror(VLOOKUP("TRAINER_PIC_DRAGON_TAMER",Sprites!$A$1:$B367,2,false),"")</f>
        <v/>
      </c>
      <c r="I291" s="23"/>
    </row>
    <row r="292">
      <c r="A292" s="24"/>
      <c r="B292" s="25" t="s">
        <v>193</v>
      </c>
      <c r="C292" s="25" t="s">
        <v>1081</v>
      </c>
      <c r="D292" s="25" t="s">
        <v>482</v>
      </c>
      <c r="E292" s="25" t="s">
        <v>564</v>
      </c>
      <c r="F292" s="25" t="s">
        <v>882</v>
      </c>
      <c r="G292" s="25" t="s">
        <v>488</v>
      </c>
      <c r="H292" s="26"/>
    </row>
    <row r="293">
      <c r="A293" s="16" t="s">
        <v>1178</v>
      </c>
      <c r="B293" s="27" t="s">
        <v>2661</v>
      </c>
      <c r="C293" s="27" t="s">
        <v>2661</v>
      </c>
      <c r="D293" s="27" t="s">
        <v>2661</v>
      </c>
      <c r="E293" s="27" t="s">
        <v>2661</v>
      </c>
      <c r="F293" s="27" t="s">
        <v>2661</v>
      </c>
      <c r="G293" s="27" t="s">
        <v>2681</v>
      </c>
      <c r="H293" s="26"/>
    </row>
    <row r="294">
      <c r="A294" s="16" t="s">
        <v>1181</v>
      </c>
      <c r="B294" s="28" t="s">
        <v>2201</v>
      </c>
      <c r="C294" s="28" t="s">
        <v>1457</v>
      </c>
      <c r="D294" s="28" t="s">
        <v>1209</v>
      </c>
      <c r="E294" s="28" t="s">
        <v>1295</v>
      </c>
      <c r="F294" s="28" t="s">
        <v>1838</v>
      </c>
      <c r="G294" s="28" t="s">
        <v>2706</v>
      </c>
      <c r="H294" s="26"/>
    </row>
    <row r="295">
      <c r="A295" s="16" t="s">
        <v>1182</v>
      </c>
      <c r="B295" s="21" t="s">
        <v>1298</v>
      </c>
      <c r="C295" s="21" t="s">
        <v>1720</v>
      </c>
      <c r="D295" s="21" t="s">
        <v>1783</v>
      </c>
      <c r="E295" s="21" t="s">
        <v>2032</v>
      </c>
      <c r="F295" s="21" t="s">
        <v>2472</v>
      </c>
      <c r="G295" s="21" t="s">
        <v>1368</v>
      </c>
      <c r="H295" s="26"/>
    </row>
    <row r="296">
      <c r="A296" s="16" t="s">
        <v>1186</v>
      </c>
      <c r="B296" s="28" t="s">
        <v>1235</v>
      </c>
      <c r="C296" s="28" t="s">
        <v>1406</v>
      </c>
      <c r="D296" s="28" t="s">
        <v>1235</v>
      </c>
      <c r="E296" s="28" t="s">
        <v>1235</v>
      </c>
      <c r="F296" s="28" t="s">
        <v>1234</v>
      </c>
      <c r="G296" s="28" t="s">
        <v>1284</v>
      </c>
      <c r="H296" s="26"/>
    </row>
    <row r="297">
      <c r="A297" s="20" t="s">
        <v>1188</v>
      </c>
      <c r="B297" s="21" t="s">
        <v>1834</v>
      </c>
      <c r="C297" s="21" t="s">
        <v>1677</v>
      </c>
      <c r="D297" s="21" t="s">
        <v>2317</v>
      </c>
      <c r="E297" s="21" t="s">
        <v>2277</v>
      </c>
      <c r="F297" s="21" t="s">
        <v>1828</v>
      </c>
      <c r="G297" s="21" t="s">
        <v>1731</v>
      </c>
      <c r="H297" s="26"/>
    </row>
    <row r="298">
      <c r="A298" s="29"/>
      <c r="B298" s="21" t="s">
        <v>1983</v>
      </c>
      <c r="C298" s="21" t="s">
        <v>1678</v>
      </c>
      <c r="D298" s="21" t="s">
        <v>1469</v>
      </c>
      <c r="E298" s="21" t="s">
        <v>1662</v>
      </c>
      <c r="F298" s="21" t="s">
        <v>1758</v>
      </c>
      <c r="G298" s="21" t="s">
        <v>1726</v>
      </c>
      <c r="H298" s="26"/>
    </row>
    <row r="299">
      <c r="A299" s="29"/>
      <c r="B299" s="21" t="s">
        <v>1677</v>
      </c>
      <c r="C299" s="21" t="s">
        <v>1725</v>
      </c>
      <c r="D299" s="21" t="s">
        <v>1830</v>
      </c>
      <c r="E299" s="21" t="s">
        <v>1959</v>
      </c>
      <c r="F299" s="21" t="s">
        <v>2104</v>
      </c>
      <c r="G299" s="21" t="s">
        <v>1698</v>
      </c>
      <c r="H299" s="26"/>
    </row>
    <row r="300">
      <c r="A300" s="24"/>
      <c r="B300" s="21" t="s">
        <v>1919</v>
      </c>
      <c r="C300" s="21" t="s">
        <v>1705</v>
      </c>
      <c r="D300" s="21" t="s">
        <v>1323</v>
      </c>
      <c r="E300" s="21" t="s">
        <v>1641</v>
      </c>
      <c r="F300" s="21" t="s">
        <v>1804</v>
      </c>
      <c r="G300" s="21" t="s">
        <v>1398</v>
      </c>
      <c r="H300" s="30"/>
      <c r="I300" s="14"/>
    </row>
    <row r="301">
      <c r="A301" s="37"/>
      <c r="B301" s="38" t="s">
        <v>2707</v>
      </c>
      <c r="C301" s="14"/>
      <c r="D301" s="14"/>
      <c r="E301" s="14"/>
      <c r="F301" s="14"/>
      <c r="G301" s="14"/>
      <c r="H301" s="24"/>
      <c r="I301" s="33"/>
    </row>
    <row r="302">
      <c r="A302" s="16" t="s">
        <v>1174</v>
      </c>
      <c r="B302" s="17" t="s">
        <v>2708</v>
      </c>
      <c r="C302" s="18"/>
      <c r="D302" s="18"/>
      <c r="E302" s="18"/>
      <c r="F302" s="18"/>
      <c r="G302" s="18"/>
      <c r="H302" s="18"/>
      <c r="I302" s="16"/>
    </row>
    <row r="303" ht="60.0" customHeight="1">
      <c r="A303" s="20" t="s">
        <v>1176</v>
      </c>
      <c r="B303" s="21" t="str">
        <f t="array" ref="B303">iferror(VLOOKUP(INDIRECT(ADDRESS(ROW()+1,COLUMN(), 4)),Dex!$A$2:$C367,3,false),"")</f>
        <v/>
      </c>
      <c r="C303" s="21" t="str">
        <f t="array" ref="C303">iferror(VLOOKUP(INDIRECT(ADDRESS(ROW()+1,COLUMN(), 4)),Dex!$A$2:$C367,3,false),"")</f>
        <v/>
      </c>
      <c r="D303" s="21" t="str">
        <f t="array" ref="D303">iferror(VLOOKUP(INDIRECT(ADDRESS(ROW()+1,COLUMN(), 4)),Dex!$A$2:$C367,3,false),"")</f>
        <v/>
      </c>
      <c r="E303" s="21" t="str">
        <f t="array" ref="E303">iferror(VLOOKUP(INDIRECT(ADDRESS(ROW()+1,COLUMN(), 4)),Dex!$A$2:$C367,3,false),"")</f>
        <v/>
      </c>
      <c r="F303" s="21" t="str">
        <f t="array" ref="F303">iferror(VLOOKUP(INDIRECT(ADDRESS(ROW()+1,COLUMN(), 4)),Dex!$A$2:$C367,3,false),"")</f>
        <v/>
      </c>
      <c r="G303" s="21" t="str">
        <f t="array" ref="G303">iferror(VLOOKUP(INDIRECT(ADDRESS(ROW()+1,COLUMN(), 4)),Dex!$A$2:$C367,3,false),"")</f>
        <v/>
      </c>
      <c r="H303" s="22" t="str">
        <f t="array" ref="H303">iferror(VLOOKUP("TRAINER_PIC_RUNNING_TRIATHLETE_F",Sprites!$A$1:$B367,2,false),"")</f>
        <v/>
      </c>
      <c r="I303" s="23"/>
    </row>
    <row r="304">
      <c r="A304" s="24"/>
      <c r="B304" s="25" t="s">
        <v>992</v>
      </c>
      <c r="C304" s="25" t="s">
        <v>370</v>
      </c>
      <c r="D304" s="25" t="s">
        <v>76</v>
      </c>
      <c r="E304" s="25" t="s">
        <v>887</v>
      </c>
      <c r="F304" s="25" t="s">
        <v>667</v>
      </c>
      <c r="G304" s="25" t="s">
        <v>507</v>
      </c>
      <c r="H304" s="26"/>
    </row>
    <row r="305">
      <c r="A305" s="16" t="s">
        <v>1178</v>
      </c>
      <c r="B305" s="27" t="s">
        <v>2661</v>
      </c>
      <c r="C305" s="27" t="s">
        <v>2681</v>
      </c>
      <c r="D305" s="27" t="s">
        <v>2661</v>
      </c>
      <c r="E305" s="27" t="s">
        <v>2661</v>
      </c>
      <c r="F305" s="27" t="s">
        <v>2661</v>
      </c>
      <c r="G305" s="27" t="s">
        <v>2681</v>
      </c>
      <c r="H305" s="26"/>
    </row>
    <row r="306">
      <c r="A306" s="16" t="s">
        <v>1181</v>
      </c>
      <c r="B306" s="28" t="s">
        <v>2025</v>
      </c>
      <c r="C306" s="28" t="s">
        <v>1341</v>
      </c>
      <c r="D306" s="28" t="s">
        <v>1247</v>
      </c>
      <c r="E306" s="28" t="s">
        <v>2145</v>
      </c>
      <c r="F306" s="28" t="s">
        <v>2195</v>
      </c>
      <c r="G306" s="28" t="s">
        <v>1882</v>
      </c>
      <c r="H306" s="26"/>
    </row>
    <row r="307">
      <c r="A307" s="16" t="s">
        <v>1182</v>
      </c>
      <c r="B307" s="21" t="s">
        <v>1199</v>
      </c>
      <c r="C307" s="21" t="s">
        <v>1907</v>
      </c>
      <c r="D307" s="21" t="s">
        <v>1675</v>
      </c>
      <c r="E307" s="21" t="s">
        <v>1381</v>
      </c>
      <c r="F307" s="21" t="s">
        <v>1299</v>
      </c>
      <c r="G307" s="21" t="s">
        <v>1420</v>
      </c>
      <c r="H307" s="26"/>
    </row>
    <row r="308">
      <c r="A308" s="16" t="s">
        <v>1186</v>
      </c>
      <c r="B308" s="28" t="s">
        <v>1235</v>
      </c>
      <c r="C308" s="28" t="s">
        <v>1284</v>
      </c>
      <c r="D308" s="28" t="s">
        <v>1235</v>
      </c>
      <c r="E308" s="28" t="s">
        <v>1235</v>
      </c>
      <c r="F308" s="28" t="s">
        <v>1284</v>
      </c>
      <c r="G308" s="28" t="s">
        <v>1235</v>
      </c>
      <c r="H308" s="26"/>
    </row>
    <row r="309">
      <c r="A309" s="20" t="s">
        <v>1188</v>
      </c>
      <c r="B309" s="21" t="s">
        <v>1609</v>
      </c>
      <c r="C309" s="21" t="s">
        <v>1933</v>
      </c>
      <c r="D309" s="21" t="s">
        <v>1677</v>
      </c>
      <c r="E309" s="21" t="s">
        <v>1983</v>
      </c>
      <c r="F309" s="21" t="s">
        <v>1251</v>
      </c>
      <c r="G309" s="21" t="s">
        <v>1874</v>
      </c>
      <c r="H309" s="26"/>
    </row>
    <row r="310">
      <c r="A310" s="29"/>
      <c r="B310" s="21" t="s">
        <v>1607</v>
      </c>
      <c r="C310" s="21" t="s">
        <v>1822</v>
      </c>
      <c r="D310" s="21" t="s">
        <v>1577</v>
      </c>
      <c r="E310" s="21" t="s">
        <v>2192</v>
      </c>
      <c r="F310" s="21" t="s">
        <v>1468</v>
      </c>
      <c r="G310" s="21" t="s">
        <v>1320</v>
      </c>
      <c r="H310" s="26"/>
    </row>
    <row r="311">
      <c r="A311" s="29"/>
      <c r="B311" s="21" t="s">
        <v>1359</v>
      </c>
      <c r="C311" s="21" t="s">
        <v>1886</v>
      </c>
      <c r="D311" s="21" t="s">
        <v>1359</v>
      </c>
      <c r="E311" s="21" t="s">
        <v>1830</v>
      </c>
      <c r="F311" s="21" t="s">
        <v>1652</v>
      </c>
      <c r="G311" s="21" t="s">
        <v>1425</v>
      </c>
      <c r="H311" s="26"/>
    </row>
    <row r="312">
      <c r="A312" s="24"/>
      <c r="B312" s="21" t="s">
        <v>1836</v>
      </c>
      <c r="C312" s="21" t="s">
        <v>1177</v>
      </c>
      <c r="D312" s="21" t="s">
        <v>1888</v>
      </c>
      <c r="E312" s="21" t="s">
        <v>1924</v>
      </c>
      <c r="F312" s="21" t="s">
        <v>1771</v>
      </c>
      <c r="G312" s="21" t="s">
        <v>1886</v>
      </c>
      <c r="H312" s="30"/>
      <c r="I312" s="14"/>
    </row>
    <row r="313">
      <c r="A313" s="16" t="s">
        <v>1174</v>
      </c>
      <c r="B313" s="17" t="s">
        <v>2709</v>
      </c>
      <c r="C313" s="18"/>
      <c r="D313" s="18"/>
      <c r="E313" s="18"/>
      <c r="F313" s="18"/>
      <c r="G313" s="18"/>
      <c r="H313" s="18"/>
      <c r="I313" s="16"/>
    </row>
    <row r="314" ht="60.0" customHeight="1">
      <c r="A314" s="20" t="s">
        <v>1176</v>
      </c>
      <c r="B314" s="21" t="str">
        <f t="array" ref="B314">iferror(VLOOKUP(INDIRECT(ADDRESS(ROW()+1,COLUMN(), 4)),Dex!$A$2:$C367,3,false),"")</f>
        <v/>
      </c>
      <c r="C314" s="21" t="str">
        <f t="array" ref="C314">iferror(VLOOKUP(INDIRECT(ADDRESS(ROW()+1,COLUMN(), 4)),Dex!$A$2:$C367,3,false),"")</f>
        <v/>
      </c>
      <c r="D314" s="21" t="str">
        <f t="array" ref="D314">iferror(VLOOKUP(INDIRECT(ADDRESS(ROW()+1,COLUMN(), 4)),Dex!$A$2:$C367,3,false),"")</f>
        <v/>
      </c>
      <c r="E314" s="21" t="str">
        <f t="array" ref="E314">iferror(VLOOKUP(INDIRECT(ADDRESS(ROW()+1,COLUMN(), 4)),Dex!$A$2:$C367,3,false),"")</f>
        <v/>
      </c>
      <c r="F314" s="21" t="str">
        <f t="array" ref="F314">iferror(VLOOKUP(INDIRECT(ADDRESS(ROW()+1,COLUMN(), 4)),Dex!$A$2:$C367,3,false),"")</f>
        <v/>
      </c>
      <c r="G314" s="21" t="str">
        <f t="array" ref="G314">iferror(VLOOKUP(INDIRECT(ADDRESS(ROW()+1,COLUMN(), 4)),Dex!$A$2:$C367,3,false),"")</f>
        <v/>
      </c>
      <c r="H314" s="22" t="str">
        <f t="array" ref="H314">iferror(VLOOKUP("TRAINER_PIC_BATTLE_GIRL",Sprites!$A$1:$B367,2,false),"")</f>
        <v/>
      </c>
      <c r="I314" s="23"/>
    </row>
    <row r="315">
      <c r="A315" s="24"/>
      <c r="B315" s="25" t="s">
        <v>155</v>
      </c>
      <c r="C315" s="25" t="s">
        <v>875</v>
      </c>
      <c r="D315" s="25" t="s">
        <v>785</v>
      </c>
      <c r="E315" s="25" t="s">
        <v>1164</v>
      </c>
      <c r="F315" s="25" t="s">
        <v>595</v>
      </c>
      <c r="G315" s="25" t="s">
        <v>1044</v>
      </c>
      <c r="H315" s="26"/>
    </row>
    <row r="316">
      <c r="A316" s="16" t="s">
        <v>1178</v>
      </c>
      <c r="B316" s="27" t="s">
        <v>2661</v>
      </c>
      <c r="C316" s="27" t="s">
        <v>2681</v>
      </c>
      <c r="D316" s="27" t="s">
        <v>2661</v>
      </c>
      <c r="E316" s="27" t="s">
        <v>2661</v>
      </c>
      <c r="F316" s="27" t="s">
        <v>2661</v>
      </c>
      <c r="G316" s="27" t="s">
        <v>2661</v>
      </c>
      <c r="H316" s="26"/>
    </row>
    <row r="317">
      <c r="A317" s="16" t="s">
        <v>1181</v>
      </c>
      <c r="B317" s="28" t="s">
        <v>1703</v>
      </c>
      <c r="C317" s="28" t="s">
        <v>1282</v>
      </c>
      <c r="D317" s="28" t="s">
        <v>2284</v>
      </c>
      <c r="E317" s="28" t="s">
        <v>1882</v>
      </c>
      <c r="F317" s="28" t="s">
        <v>1572</v>
      </c>
      <c r="G317" s="28" t="s">
        <v>2102</v>
      </c>
      <c r="H317" s="26"/>
    </row>
    <row r="318">
      <c r="A318" s="16" t="s">
        <v>1182</v>
      </c>
      <c r="B318" s="21" t="s">
        <v>1268</v>
      </c>
      <c r="C318" s="21" t="s">
        <v>1222</v>
      </c>
      <c r="D318" s="21" t="s">
        <v>1405</v>
      </c>
      <c r="E318" s="21" t="s">
        <v>1938</v>
      </c>
      <c r="F318" s="21" t="s">
        <v>1748</v>
      </c>
      <c r="G318" s="21" t="s">
        <v>2172</v>
      </c>
      <c r="H318" s="26"/>
    </row>
    <row r="319">
      <c r="A319" s="16" t="s">
        <v>1186</v>
      </c>
      <c r="B319" s="28" t="s">
        <v>1447</v>
      </c>
      <c r="C319" s="28" t="s">
        <v>1235</v>
      </c>
      <c r="D319" s="28" t="s">
        <v>1235</v>
      </c>
      <c r="E319" s="28" t="s">
        <v>1235</v>
      </c>
      <c r="F319" s="28" t="s">
        <v>1235</v>
      </c>
      <c r="G319" s="28" t="s">
        <v>1235</v>
      </c>
      <c r="H319" s="26"/>
    </row>
    <row r="320">
      <c r="A320" s="20" t="s">
        <v>1188</v>
      </c>
      <c r="B320" s="21" t="s">
        <v>1731</v>
      </c>
      <c r="C320" s="21" t="s">
        <v>1874</v>
      </c>
      <c r="D320" s="21" t="s">
        <v>1607</v>
      </c>
      <c r="E320" s="21" t="s">
        <v>1438</v>
      </c>
      <c r="F320" s="21" t="s">
        <v>1677</v>
      </c>
      <c r="G320" s="21" t="s">
        <v>2173</v>
      </c>
      <c r="H320" s="26"/>
    </row>
    <row r="321">
      <c r="A321" s="29"/>
      <c r="B321" s="21" t="s">
        <v>1371</v>
      </c>
      <c r="C321" s="21" t="s">
        <v>1238</v>
      </c>
      <c r="D321" s="21" t="s">
        <v>1471</v>
      </c>
      <c r="E321" s="21" t="s">
        <v>1585</v>
      </c>
      <c r="F321" s="21" t="s">
        <v>2068</v>
      </c>
      <c r="G321" s="21" t="s">
        <v>1814</v>
      </c>
      <c r="H321" s="26"/>
    </row>
    <row r="322">
      <c r="A322" s="29"/>
      <c r="B322" s="21" t="s">
        <v>1830</v>
      </c>
      <c r="C322" s="21" t="s">
        <v>1856</v>
      </c>
      <c r="D322" s="21" t="s">
        <v>1307</v>
      </c>
      <c r="E322" s="21" t="s">
        <v>1891</v>
      </c>
      <c r="F322" s="21" t="s">
        <v>1651</v>
      </c>
      <c r="G322" s="21" t="s">
        <v>1471</v>
      </c>
      <c r="H322" s="26"/>
    </row>
    <row r="323">
      <c r="A323" s="24"/>
      <c r="B323" s="21" t="s">
        <v>2196</v>
      </c>
      <c r="C323" s="21" t="s">
        <v>1641</v>
      </c>
      <c r="D323" s="21" t="s">
        <v>1959</v>
      </c>
      <c r="E323" s="21" t="s">
        <v>1856</v>
      </c>
      <c r="F323" s="21" t="s">
        <v>1472</v>
      </c>
      <c r="G323" s="21" t="s">
        <v>1959</v>
      </c>
      <c r="H323" s="30"/>
      <c r="I323" s="14"/>
    </row>
    <row r="324">
      <c r="A324" s="16" t="s">
        <v>1174</v>
      </c>
      <c r="B324" s="17" t="s">
        <v>2710</v>
      </c>
      <c r="C324" s="18"/>
      <c r="D324" s="18"/>
      <c r="E324" s="18"/>
      <c r="F324" s="18"/>
      <c r="G324" s="18"/>
      <c r="H324" s="18"/>
      <c r="I324" s="16"/>
    </row>
    <row r="325" ht="60.0" customHeight="1">
      <c r="A325" s="20" t="s">
        <v>1176</v>
      </c>
      <c r="B325" s="21" t="str">
        <f t="array" ref="B325">iferror(VLOOKUP(INDIRECT(ADDRESS(ROW()+1,COLUMN(), 4)),Dex!$A$2:$C367,3,false),"")</f>
        <v/>
      </c>
      <c r="C325" s="21" t="str">
        <f t="array" ref="C325">iferror(VLOOKUP(INDIRECT(ADDRESS(ROW()+1,COLUMN(), 4)),Dex!$A$2:$C367,3,false),"")</f>
        <v/>
      </c>
      <c r="D325" s="21" t="str">
        <f t="array" ref="D325">iferror(VLOOKUP(INDIRECT(ADDRESS(ROW()+1,COLUMN(), 4)),Dex!$A$2:$C367,3,false),"")</f>
        <v/>
      </c>
      <c r="E325" s="39" t="str">
        <f t="array" ref="E325">iferror(VLOOKUP(INDIRECT(ADDRESS(ROW()+1,COLUMN(), 4)),Dex!$A$2:$C367,3,false),"")</f>
        <v/>
      </c>
      <c r="F325" s="21" t="str">
        <f t="array" ref="F325">iferror(VLOOKUP(INDIRECT(ADDRESS(ROW()+1,COLUMN(), 4)),Dex!$A$2:$C367,3,false),"")</f>
        <v/>
      </c>
      <c r="G325" s="21" t="str">
        <f t="array" ref="G325">iferror(VLOOKUP(INDIRECT(ADDRESS(ROW()+1,COLUMN(), 4)),Dex!$A$2:$C367,3,false),"")</f>
        <v/>
      </c>
      <c r="H325" s="22" t="str">
        <f t="array" ref="H325">iferror(VLOOKUP("TRAINER_PIC_NINJA_BOY",Sprites!$A$1:$B367,2,false),"")</f>
        <v/>
      </c>
      <c r="I325" s="23"/>
    </row>
    <row r="326">
      <c r="A326" s="24"/>
      <c r="B326" s="25" t="s">
        <v>1163</v>
      </c>
      <c r="C326" s="25" t="s">
        <v>730</v>
      </c>
      <c r="D326" s="25" t="s">
        <v>197</v>
      </c>
      <c r="E326" s="25" t="s">
        <v>757</v>
      </c>
      <c r="F326" s="25" t="s">
        <v>454</v>
      </c>
      <c r="G326" s="25" t="s">
        <v>281</v>
      </c>
      <c r="H326" s="26"/>
    </row>
    <row r="327">
      <c r="A327" s="16" t="s">
        <v>1178</v>
      </c>
      <c r="B327" s="27" t="s">
        <v>2661</v>
      </c>
      <c r="C327" s="27" t="s">
        <v>2661</v>
      </c>
      <c r="D327" s="27" t="s">
        <v>2683</v>
      </c>
      <c r="E327" s="27" t="s">
        <v>2681</v>
      </c>
      <c r="F327" s="27" t="s">
        <v>2661</v>
      </c>
      <c r="G327" s="27" t="s">
        <v>2661</v>
      </c>
      <c r="H327" s="26"/>
    </row>
    <row r="328">
      <c r="A328" s="16" t="s">
        <v>1181</v>
      </c>
      <c r="B328" s="28" t="s">
        <v>1457</v>
      </c>
      <c r="C328" s="28" t="s">
        <v>1882</v>
      </c>
      <c r="D328" s="28" t="s">
        <v>1582</v>
      </c>
      <c r="E328" s="28" t="s">
        <v>1796</v>
      </c>
      <c r="F328" s="28" t="s">
        <v>1838</v>
      </c>
      <c r="G328" s="28" t="s">
        <v>1295</v>
      </c>
      <c r="H328" s="26"/>
    </row>
    <row r="329">
      <c r="A329" s="16" t="s">
        <v>1182</v>
      </c>
      <c r="B329" s="21" t="s">
        <v>1298</v>
      </c>
      <c r="C329" s="21" t="s">
        <v>1906</v>
      </c>
      <c r="D329" s="21" t="s">
        <v>2088</v>
      </c>
      <c r="E329" s="21" t="s">
        <v>1946</v>
      </c>
      <c r="F329" s="21" t="s">
        <v>2711</v>
      </c>
      <c r="G329" s="21" t="s">
        <v>1730</v>
      </c>
      <c r="H329" s="26"/>
    </row>
    <row r="330">
      <c r="A330" s="16" t="s">
        <v>1186</v>
      </c>
      <c r="B330" s="28" t="s">
        <v>1249</v>
      </c>
      <c r="C330" s="28" t="s">
        <v>1235</v>
      </c>
      <c r="D330" s="28" t="s">
        <v>1187</v>
      </c>
      <c r="E330" s="28" t="s">
        <v>1754</v>
      </c>
      <c r="F330" s="28" t="s">
        <v>1248</v>
      </c>
      <c r="G330" s="28" t="s">
        <v>1235</v>
      </c>
      <c r="H330" s="26"/>
    </row>
    <row r="331">
      <c r="A331" s="20" t="s">
        <v>1188</v>
      </c>
      <c r="B331" s="21" t="s">
        <v>1731</v>
      </c>
      <c r="C331" s="21" t="s">
        <v>1471</v>
      </c>
      <c r="D331" s="21" t="s">
        <v>2090</v>
      </c>
      <c r="E331" s="21" t="s">
        <v>1983</v>
      </c>
      <c r="F331" s="21" t="s">
        <v>1423</v>
      </c>
      <c r="G331" s="21" t="s">
        <v>1896</v>
      </c>
      <c r="H331" s="26"/>
    </row>
    <row r="332">
      <c r="A332" s="29"/>
      <c r="B332" s="21" t="s">
        <v>1777</v>
      </c>
      <c r="C332" s="21" t="s">
        <v>1307</v>
      </c>
      <c r="D332" s="21" t="s">
        <v>1177</v>
      </c>
      <c r="E332" s="21" t="s">
        <v>1830</v>
      </c>
      <c r="F332" s="21" t="s">
        <v>1471</v>
      </c>
      <c r="G332" s="21" t="s">
        <v>2095</v>
      </c>
      <c r="H332" s="26"/>
    </row>
    <row r="333">
      <c r="A333" s="29"/>
      <c r="B333" s="21" t="s">
        <v>1967</v>
      </c>
      <c r="C333" s="21" t="s">
        <v>1759</v>
      </c>
      <c r="D333" s="21" t="s">
        <v>1177</v>
      </c>
      <c r="E333" s="21" t="s">
        <v>1307</v>
      </c>
      <c r="F333" s="21" t="s">
        <v>1307</v>
      </c>
      <c r="G333" s="21" t="s">
        <v>1924</v>
      </c>
      <c r="H333" s="26"/>
    </row>
    <row r="334">
      <c r="A334" s="24"/>
      <c r="B334" s="21" t="s">
        <v>1262</v>
      </c>
      <c r="C334" s="21" t="s">
        <v>1641</v>
      </c>
      <c r="D334" s="21" t="s">
        <v>1177</v>
      </c>
      <c r="E334" s="21" t="s">
        <v>1761</v>
      </c>
      <c r="F334" s="21" t="s">
        <v>1422</v>
      </c>
      <c r="G334" s="21" t="s">
        <v>2153</v>
      </c>
      <c r="H334" s="30"/>
      <c r="I334" s="14"/>
    </row>
    <row r="335">
      <c r="A335" s="16" t="s">
        <v>1174</v>
      </c>
      <c r="B335" s="17" t="s">
        <v>2712</v>
      </c>
      <c r="C335" s="18"/>
      <c r="D335" s="18"/>
      <c r="E335" s="18"/>
      <c r="F335" s="18"/>
      <c r="G335" s="18"/>
      <c r="H335" s="18"/>
      <c r="I335" s="16"/>
    </row>
    <row r="336" ht="60.0" customHeight="1">
      <c r="A336" s="20" t="s">
        <v>1176</v>
      </c>
      <c r="B336" s="21" t="str">
        <f t="array" ref="B336">iferror(VLOOKUP(INDIRECT(ADDRESS(ROW()+1,COLUMN(), 4)),Dex!$A$2:$C367,3,false),"")</f>
        <v/>
      </c>
      <c r="C336" s="21" t="str">
        <f t="array" ref="C336">iferror(VLOOKUP(INDIRECT(ADDRESS(ROW()+1,COLUMN(), 4)),Dex!$A$2:$C367,3,false),"")</f>
        <v/>
      </c>
      <c r="D336" s="21" t="str">
        <f t="array" ref="D336">iferror(VLOOKUP(INDIRECT(ADDRESS(ROW()+1,COLUMN(), 4)),Dex!$A$2:$C367,3,false),"")</f>
        <v/>
      </c>
      <c r="E336" s="21" t="str">
        <f t="array" ref="E336">iferror(VLOOKUP(INDIRECT(ADDRESS(ROW()+1,COLUMN(), 4)),Dex!$A$2:$C367,3,false),"")</f>
        <v/>
      </c>
      <c r="F336" s="21" t="str">
        <f t="array" ref="F336">iferror(VLOOKUP(INDIRECT(ADDRESS(ROW()+1,COLUMN(), 4)),Dex!$A$2:$C367,3,false),"")</f>
        <v/>
      </c>
      <c r="G336" s="21" t="str">
        <f t="array" ref="G336">iferror(VLOOKUP(INDIRECT(ADDRESS(ROW()+1,COLUMN(), 4)),Dex!$A$2:$C367,3,false),"")</f>
        <v/>
      </c>
      <c r="H336" s="22" t="str">
        <f t="array" ref="H336">iferror(VLOOKUP("TRAINER_PIC_PSYCHIC_F",Sprites!$A$1:$B367,2,false),"")</f>
        <v/>
      </c>
      <c r="I336" s="23"/>
    </row>
    <row r="337">
      <c r="A337" s="24"/>
      <c r="B337" s="25" t="s">
        <v>839</v>
      </c>
      <c r="C337" s="25" t="s">
        <v>504</v>
      </c>
      <c r="D337" s="25" t="s">
        <v>1001</v>
      </c>
      <c r="E337" s="25" t="s">
        <v>874</v>
      </c>
      <c r="F337" s="25" t="s">
        <v>261</v>
      </c>
      <c r="G337" s="25" t="s">
        <v>376</v>
      </c>
      <c r="H337" s="26"/>
    </row>
    <row r="338">
      <c r="A338" s="16" t="s">
        <v>1178</v>
      </c>
      <c r="B338" s="27" t="s">
        <v>2661</v>
      </c>
      <c r="C338" s="27" t="s">
        <v>2661</v>
      </c>
      <c r="D338" s="27" t="s">
        <v>2661</v>
      </c>
      <c r="E338" s="27" t="s">
        <v>2681</v>
      </c>
      <c r="F338" s="27" t="s">
        <v>2681</v>
      </c>
      <c r="G338" s="27" t="s">
        <v>2678</v>
      </c>
      <c r="H338" s="26"/>
    </row>
    <row r="339">
      <c r="A339" s="16" t="s">
        <v>1181</v>
      </c>
      <c r="B339" s="28" t="s">
        <v>1247</v>
      </c>
      <c r="C339" s="28" t="s">
        <v>1581</v>
      </c>
      <c r="D339" s="28" t="s">
        <v>1209</v>
      </c>
      <c r="E339" s="28" t="s">
        <v>1209</v>
      </c>
      <c r="F339" s="28" t="s">
        <v>1838</v>
      </c>
      <c r="G339" s="28" t="s">
        <v>2662</v>
      </c>
      <c r="H339" s="26"/>
    </row>
    <row r="340">
      <c r="A340" s="16" t="s">
        <v>1182</v>
      </c>
      <c r="B340" s="21" t="s">
        <v>1211</v>
      </c>
      <c r="C340" s="21" t="s">
        <v>1692</v>
      </c>
      <c r="D340" s="21" t="s">
        <v>2713</v>
      </c>
      <c r="E340" s="21" t="s">
        <v>2279</v>
      </c>
      <c r="F340" s="21" t="s">
        <v>2004</v>
      </c>
      <c r="G340" s="21" t="s">
        <v>2279</v>
      </c>
      <c r="H340" s="26"/>
    </row>
    <row r="341">
      <c r="A341" s="16" t="s">
        <v>1186</v>
      </c>
      <c r="B341" s="28" t="s">
        <v>1284</v>
      </c>
      <c r="C341" s="28" t="s">
        <v>1235</v>
      </c>
      <c r="D341" s="28" t="s">
        <v>1235</v>
      </c>
      <c r="E341" s="28" t="s">
        <v>1284</v>
      </c>
      <c r="F341" s="28" t="s">
        <v>1248</v>
      </c>
      <c r="G341" s="28" t="s">
        <v>1284</v>
      </c>
      <c r="H341" s="26"/>
    </row>
    <row r="342">
      <c r="A342" s="20" t="s">
        <v>1188</v>
      </c>
      <c r="B342" s="21" t="s">
        <v>2104</v>
      </c>
      <c r="C342" s="21" t="s">
        <v>1646</v>
      </c>
      <c r="D342" s="21" t="s">
        <v>1712</v>
      </c>
      <c r="E342" s="21" t="s">
        <v>2451</v>
      </c>
      <c r="F342" s="21" t="s">
        <v>1372</v>
      </c>
      <c r="G342" s="21" t="s">
        <v>1778</v>
      </c>
      <c r="H342" s="26"/>
    </row>
    <row r="343">
      <c r="A343" s="29"/>
      <c r="B343" s="21" t="s">
        <v>1778</v>
      </c>
      <c r="C343" s="21" t="s">
        <v>1677</v>
      </c>
      <c r="D343" s="21" t="s">
        <v>1423</v>
      </c>
      <c r="E343" s="21" t="s">
        <v>1778</v>
      </c>
      <c r="F343" s="21" t="s">
        <v>1236</v>
      </c>
      <c r="G343" s="21" t="s">
        <v>1739</v>
      </c>
      <c r="H343" s="26"/>
    </row>
    <row r="344">
      <c r="A344" s="29"/>
      <c r="B344" s="21" t="s">
        <v>1836</v>
      </c>
      <c r="C344" s="21" t="s">
        <v>1974</v>
      </c>
      <c r="D344" s="21" t="s">
        <v>1662</v>
      </c>
      <c r="E344" s="21" t="s">
        <v>1726</v>
      </c>
      <c r="F344" s="21" t="s">
        <v>1323</v>
      </c>
      <c r="G344" s="21" t="s">
        <v>1924</v>
      </c>
      <c r="H344" s="26"/>
    </row>
    <row r="345">
      <c r="A345" s="24"/>
      <c r="B345" s="21" t="s">
        <v>1590</v>
      </c>
      <c r="C345" s="21" t="s">
        <v>1705</v>
      </c>
      <c r="D345" s="21" t="s">
        <v>1915</v>
      </c>
      <c r="E345" s="21" t="s">
        <v>1698</v>
      </c>
      <c r="F345" s="21" t="s">
        <v>1307</v>
      </c>
      <c r="G345" s="21" t="s">
        <v>1590</v>
      </c>
      <c r="H345" s="30"/>
      <c r="I345" s="14"/>
    </row>
    <row r="346">
      <c r="A346" s="16" t="s">
        <v>1174</v>
      </c>
      <c r="B346" s="17" t="s">
        <v>2714</v>
      </c>
      <c r="C346" s="18"/>
      <c r="D346" s="18"/>
      <c r="E346" s="18"/>
      <c r="F346" s="18"/>
      <c r="G346" s="18"/>
      <c r="H346" s="18"/>
      <c r="I346" s="16"/>
    </row>
    <row r="347" ht="60.0" customHeight="1">
      <c r="A347" s="20" t="s">
        <v>1176</v>
      </c>
      <c r="B347" s="21" t="str">
        <f t="array" ref="B347">iferror(VLOOKUP(INDIRECT(ADDRESS(ROW()+1,COLUMN(), 4)),Dex!$A$2:$C367,3,false),"")</f>
        <v/>
      </c>
      <c r="C347" s="21" t="str">
        <f t="array" ref="C347">iferror(VLOOKUP(INDIRECT(ADDRESS(ROW()+1,COLUMN(), 4)),Dex!$A$2:$C367,3,false),"")</f>
        <v/>
      </c>
      <c r="D347" s="21" t="str">
        <f t="array" ref="D347">iferror(VLOOKUP(INDIRECT(ADDRESS(ROW()+1,COLUMN(), 4)),Dex!$A$2:$C367,3,false),"")</f>
        <v/>
      </c>
      <c r="E347" s="21" t="str">
        <f t="array" ref="E347">iferror(VLOOKUP(INDIRECT(ADDRESS(ROW()+1,COLUMN(), 4)),Dex!$A$2:$C367,3,false),"")</f>
        <v/>
      </c>
      <c r="F347" s="21" t="str">
        <f t="array" ref="F347">iferror(VLOOKUP(INDIRECT(ADDRESS(ROW()+1,COLUMN(), 4)),Dex!$A$2:$C367,3,false),"")</f>
        <v/>
      </c>
      <c r="G347" s="21" t="str">
        <f t="array" ref="G347">iferror(VLOOKUP(INDIRECT(ADDRESS(ROW()+1,COLUMN(), 4)),Dex!$A$2:$C367,3,false),"")</f>
        <v/>
      </c>
      <c r="H347" s="22" t="str">
        <f t="array" ref="H347">iferror(VLOOKUP("TRAINER_PIC_BLACK_BELT",Sprites!$A$1:$B367,2,false),"")</f>
        <v/>
      </c>
      <c r="I347" s="23"/>
    </row>
    <row r="348">
      <c r="A348" s="24"/>
      <c r="B348" s="25" t="s">
        <v>319</v>
      </c>
      <c r="C348" s="25" t="s">
        <v>591</v>
      </c>
      <c r="D348" s="25" t="s">
        <v>1165</v>
      </c>
      <c r="E348" s="25" t="s">
        <v>346</v>
      </c>
      <c r="F348" s="25" t="s">
        <v>686</v>
      </c>
      <c r="G348" s="25" t="s">
        <v>599</v>
      </c>
      <c r="H348" s="26"/>
    </row>
    <row r="349">
      <c r="A349" s="16" t="s">
        <v>1178</v>
      </c>
      <c r="B349" s="27" t="s">
        <v>2661</v>
      </c>
      <c r="C349" s="27" t="s">
        <v>2661</v>
      </c>
      <c r="D349" s="27" t="s">
        <v>2661</v>
      </c>
      <c r="E349" s="27" t="s">
        <v>2681</v>
      </c>
      <c r="F349" s="27" t="s">
        <v>2681</v>
      </c>
      <c r="G349" s="27" t="s">
        <v>2678</v>
      </c>
      <c r="H349" s="26"/>
    </row>
    <row r="350">
      <c r="A350" s="16" t="s">
        <v>1181</v>
      </c>
      <c r="B350" s="28" t="s">
        <v>2025</v>
      </c>
      <c r="C350" s="28" t="s">
        <v>1341</v>
      </c>
      <c r="D350" s="28" t="s">
        <v>1417</v>
      </c>
      <c r="E350" s="28" t="s">
        <v>1247</v>
      </c>
      <c r="F350" s="28" t="s">
        <v>1612</v>
      </c>
      <c r="G350" s="28" t="s">
        <v>2674</v>
      </c>
      <c r="H350" s="26"/>
    </row>
    <row r="351">
      <c r="A351" s="16" t="s">
        <v>1182</v>
      </c>
      <c r="B351" s="21" t="s">
        <v>1811</v>
      </c>
      <c r="C351" s="21" t="s">
        <v>1820</v>
      </c>
      <c r="D351" s="21" t="s">
        <v>1419</v>
      </c>
      <c r="E351" s="21" t="s">
        <v>1233</v>
      </c>
      <c r="F351" s="21" t="s">
        <v>1420</v>
      </c>
      <c r="G351" s="21" t="s">
        <v>1356</v>
      </c>
      <c r="H351" s="26"/>
    </row>
    <row r="352">
      <c r="A352" s="16" t="s">
        <v>1186</v>
      </c>
      <c r="B352" s="28" t="s">
        <v>1447</v>
      </c>
      <c r="C352" s="28" t="s">
        <v>1284</v>
      </c>
      <c r="D352" s="28" t="s">
        <v>1248</v>
      </c>
      <c r="E352" s="28" t="s">
        <v>1235</v>
      </c>
      <c r="F352" s="28" t="s">
        <v>1248</v>
      </c>
      <c r="G352" s="28" t="s">
        <v>1235</v>
      </c>
      <c r="H352" s="26"/>
    </row>
    <row r="353">
      <c r="A353" s="20" t="s">
        <v>1188</v>
      </c>
      <c r="B353" s="21" t="s">
        <v>1863</v>
      </c>
      <c r="C353" s="21" t="s">
        <v>1822</v>
      </c>
      <c r="D353" s="21" t="s">
        <v>1677</v>
      </c>
      <c r="E353" s="21" t="s">
        <v>1874</v>
      </c>
      <c r="F353" s="21" t="s">
        <v>1324</v>
      </c>
      <c r="G353" s="21" t="s">
        <v>1874</v>
      </c>
      <c r="H353" s="26"/>
    </row>
    <row r="354">
      <c r="A354" s="29"/>
      <c r="B354" s="21" t="s">
        <v>2054</v>
      </c>
      <c r="C354" s="21" t="s">
        <v>1650</v>
      </c>
      <c r="D354" s="21" t="s">
        <v>1432</v>
      </c>
      <c r="E354" s="21" t="s">
        <v>1887</v>
      </c>
      <c r="F354" s="21" t="s">
        <v>1323</v>
      </c>
      <c r="G354" s="21" t="s">
        <v>1469</v>
      </c>
      <c r="H354" s="26"/>
    </row>
    <row r="355">
      <c r="A355" s="29"/>
      <c r="B355" s="21" t="s">
        <v>1663</v>
      </c>
      <c r="C355" s="21" t="s">
        <v>1886</v>
      </c>
      <c r="D355" s="21" t="s">
        <v>1466</v>
      </c>
      <c r="E355" s="21" t="s">
        <v>1307</v>
      </c>
      <c r="F355" s="21" t="s">
        <v>1425</v>
      </c>
      <c r="G355" s="21" t="s">
        <v>1967</v>
      </c>
      <c r="H355" s="26"/>
    </row>
    <row r="356">
      <c r="A356" s="24"/>
      <c r="B356" s="21" t="s">
        <v>1732</v>
      </c>
      <c r="C356" s="21" t="s">
        <v>1177</v>
      </c>
      <c r="D356" s="21" t="s">
        <v>1594</v>
      </c>
      <c r="E356" s="21" t="s">
        <v>1641</v>
      </c>
      <c r="F356" s="21" t="s">
        <v>1410</v>
      </c>
      <c r="G356" s="21" t="s">
        <v>1311</v>
      </c>
      <c r="H356" s="30"/>
      <c r="I356" s="14"/>
    </row>
    <row r="357">
      <c r="A357" s="16" t="s">
        <v>1174</v>
      </c>
      <c r="B357" s="17" t="s">
        <v>2715</v>
      </c>
      <c r="C357" s="18"/>
      <c r="D357" s="18"/>
      <c r="E357" s="18"/>
      <c r="F357" s="18"/>
      <c r="G357" s="18"/>
      <c r="H357" s="18"/>
      <c r="I357" s="16"/>
    </row>
    <row r="358" ht="60.0" customHeight="1">
      <c r="A358" s="20" t="s">
        <v>1176</v>
      </c>
      <c r="B358" s="21" t="str">
        <f t="array" ref="B358">iferror(VLOOKUP(INDIRECT(ADDRESS(ROW()+1,COLUMN(), 4)),Dex!$A$2:$C367,3,false),"")</f>
        <v/>
      </c>
      <c r="C358" s="21" t="str">
        <f t="array" ref="C358">iferror(VLOOKUP(INDIRECT(ADDRESS(ROW()+1,COLUMN(), 4)),Dex!$A$2:$C367,3,false),"")</f>
        <v/>
      </c>
      <c r="D358" s="21" t="str">
        <f t="array" ref="D358">iferror(VLOOKUP(INDIRECT(ADDRESS(ROW()+1,COLUMN(), 4)),Dex!$A$2:$C367,3,false),"")</f>
        <v/>
      </c>
      <c r="E358" s="21" t="str">
        <f t="array" ref="E358">iferror(VLOOKUP(INDIRECT(ADDRESS(ROW()+1,COLUMN(), 4)),Dex!$A$2:$C367,3,false),"")</f>
        <v/>
      </c>
      <c r="F358" s="21" t="str">
        <f t="array" ref="F358">iferror(VLOOKUP(INDIRECT(ADDRESS(ROW()+1,COLUMN(), 4)),Dex!$A$2:$C367,3,false),"")</f>
        <v/>
      </c>
      <c r="G358" s="21" t="str">
        <f t="array" ref="G358">iferror(VLOOKUP(INDIRECT(ADDRESS(ROW()+1,COLUMN(), 4)),Dex!$A$2:$C367,3,false),"")</f>
        <v/>
      </c>
      <c r="H358" s="22" t="str">
        <f t="array" ref="H358">iferror(VLOOKUP("TRAINER_PIC_EXPERT_M",Sprites!$A$1:$B367,2,false),"")</f>
        <v/>
      </c>
      <c r="I358" s="23"/>
    </row>
    <row r="359">
      <c r="A359" s="24"/>
      <c r="B359" s="25" t="s">
        <v>748</v>
      </c>
      <c r="C359" s="25" t="s">
        <v>380</v>
      </c>
      <c r="D359" s="25" t="s">
        <v>327</v>
      </c>
      <c r="E359" s="25" t="s">
        <v>220</v>
      </c>
      <c r="F359" s="25" t="s">
        <v>829</v>
      </c>
      <c r="G359" s="25" t="s">
        <v>569</v>
      </c>
      <c r="H359" s="26"/>
    </row>
    <row r="360">
      <c r="A360" s="16" t="s">
        <v>1178</v>
      </c>
      <c r="B360" s="27" t="s">
        <v>2681</v>
      </c>
      <c r="C360" s="27" t="s">
        <v>2681</v>
      </c>
      <c r="D360" s="27" t="s">
        <v>2681</v>
      </c>
      <c r="E360" s="27" t="s">
        <v>2678</v>
      </c>
      <c r="F360" s="27" t="s">
        <v>2678</v>
      </c>
      <c r="G360" s="27" t="s">
        <v>2716</v>
      </c>
      <c r="H360" s="26"/>
    </row>
    <row r="361">
      <c r="A361" s="16" t="s">
        <v>1181</v>
      </c>
      <c r="B361" s="28" t="s">
        <v>1247</v>
      </c>
      <c r="C361" s="28" t="s">
        <v>1612</v>
      </c>
      <c r="D361" s="28" t="s">
        <v>1295</v>
      </c>
      <c r="E361" s="28" t="s">
        <v>1701</v>
      </c>
      <c r="F361" s="28" t="s">
        <v>2139</v>
      </c>
      <c r="G361" s="28" t="s">
        <v>2717</v>
      </c>
      <c r="H361" s="26"/>
    </row>
    <row r="362">
      <c r="A362" s="16" t="s">
        <v>1182</v>
      </c>
      <c r="B362" s="21" t="s">
        <v>1445</v>
      </c>
      <c r="C362" s="21" t="s">
        <v>1461</v>
      </c>
      <c r="D362" s="21" t="s">
        <v>1907</v>
      </c>
      <c r="E362" s="21" t="s">
        <v>2310</v>
      </c>
      <c r="F362" s="21" t="s">
        <v>2325</v>
      </c>
      <c r="G362" s="21" t="s">
        <v>2082</v>
      </c>
      <c r="H362" s="26"/>
    </row>
    <row r="363">
      <c r="A363" s="16" t="s">
        <v>1186</v>
      </c>
      <c r="B363" s="28" t="s">
        <v>1754</v>
      </c>
      <c r="C363" s="28" t="s">
        <v>1235</v>
      </c>
      <c r="D363" s="28" t="s">
        <v>1406</v>
      </c>
      <c r="E363" s="28" t="s">
        <v>1235</v>
      </c>
      <c r="F363" s="28" t="s">
        <v>1284</v>
      </c>
      <c r="G363" s="28" t="s">
        <v>1284</v>
      </c>
      <c r="H363" s="26"/>
    </row>
    <row r="364">
      <c r="A364" s="20" t="s">
        <v>1188</v>
      </c>
      <c r="B364" s="21" t="s">
        <v>1777</v>
      </c>
      <c r="C364" s="21" t="s">
        <v>1324</v>
      </c>
      <c r="D364" s="21" t="s">
        <v>1407</v>
      </c>
      <c r="E364" s="21" t="s">
        <v>1415</v>
      </c>
      <c r="F364" s="21" t="s">
        <v>1251</v>
      </c>
      <c r="G364" s="21" t="s">
        <v>1874</v>
      </c>
      <c r="H364" s="26"/>
    </row>
    <row r="365">
      <c r="A365" s="29"/>
      <c r="B365" s="21" t="s">
        <v>1607</v>
      </c>
      <c r="C365" s="21" t="s">
        <v>1273</v>
      </c>
      <c r="D365" s="21" t="s">
        <v>1804</v>
      </c>
      <c r="E365" s="21" t="s">
        <v>1677</v>
      </c>
      <c r="F365" s="21" t="s">
        <v>1890</v>
      </c>
      <c r="G365" s="21" t="s">
        <v>1426</v>
      </c>
      <c r="H365" s="26"/>
    </row>
    <row r="366">
      <c r="A366" s="29"/>
      <c r="B366" s="21" t="s">
        <v>1772</v>
      </c>
      <c r="C366" s="21" t="s">
        <v>1360</v>
      </c>
      <c r="D366" s="21" t="s">
        <v>1761</v>
      </c>
      <c r="E366" s="21" t="s">
        <v>1672</v>
      </c>
      <c r="F366" s="21" t="s">
        <v>1770</v>
      </c>
      <c r="G366" s="21" t="s">
        <v>1594</v>
      </c>
      <c r="H366" s="26"/>
    </row>
    <row r="367">
      <c r="A367" s="24"/>
      <c r="B367" s="21" t="s">
        <v>2141</v>
      </c>
      <c r="C367" s="21" t="s">
        <v>1641</v>
      </c>
      <c r="D367" s="21" t="s">
        <v>2440</v>
      </c>
      <c r="E367" s="21" t="s">
        <v>1915</v>
      </c>
      <c r="F367" s="21" t="s">
        <v>1468</v>
      </c>
      <c r="G367" s="21" t="s">
        <v>1641</v>
      </c>
      <c r="H367" s="30"/>
      <c r="I367" s="14"/>
    </row>
  </sheetData>
  <mergeCells count="136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3:A114"/>
    <mergeCell ref="A119:A122"/>
    <mergeCell ref="A124:A125"/>
    <mergeCell ref="H14:I23"/>
    <mergeCell ref="H25:I34"/>
    <mergeCell ref="H36:I45"/>
    <mergeCell ref="H47:I56"/>
    <mergeCell ref="H58:I67"/>
    <mergeCell ref="H69:I78"/>
    <mergeCell ref="H80:I89"/>
    <mergeCell ref="H91:I100"/>
    <mergeCell ref="H102:I111"/>
    <mergeCell ref="H113:I122"/>
    <mergeCell ref="H124:I133"/>
    <mergeCell ref="H135:I144"/>
    <mergeCell ref="H146:I155"/>
    <mergeCell ref="H157:I166"/>
    <mergeCell ref="H191:I200"/>
    <mergeCell ref="H202:I211"/>
    <mergeCell ref="H213:I222"/>
    <mergeCell ref="H224:I233"/>
    <mergeCell ref="H235:I244"/>
    <mergeCell ref="H246:I255"/>
    <mergeCell ref="H257:I266"/>
    <mergeCell ref="H347:I356"/>
    <mergeCell ref="H358:I367"/>
    <mergeCell ref="H268:I277"/>
    <mergeCell ref="H280:I289"/>
    <mergeCell ref="H291:I300"/>
    <mergeCell ref="H303:I312"/>
    <mergeCell ref="H314:I323"/>
    <mergeCell ref="H325:I334"/>
    <mergeCell ref="H336:I345"/>
    <mergeCell ref="A130:A133"/>
    <mergeCell ref="A135:A136"/>
    <mergeCell ref="A141:A144"/>
    <mergeCell ref="A146:A147"/>
    <mergeCell ref="A152:A155"/>
    <mergeCell ref="A157:A158"/>
    <mergeCell ref="A163:A166"/>
    <mergeCell ref="A169:A170"/>
    <mergeCell ref="A175:A178"/>
    <mergeCell ref="A180:A181"/>
    <mergeCell ref="A186:A189"/>
    <mergeCell ref="A191:A192"/>
    <mergeCell ref="A197:A200"/>
    <mergeCell ref="A202:A203"/>
    <mergeCell ref="A219:A222"/>
    <mergeCell ref="A224:A225"/>
    <mergeCell ref="A230:A233"/>
    <mergeCell ref="A235:A236"/>
    <mergeCell ref="A241:A244"/>
    <mergeCell ref="A246:A247"/>
    <mergeCell ref="A252:A255"/>
    <mergeCell ref="A257:A258"/>
    <mergeCell ref="A263:A266"/>
    <mergeCell ref="A268:A269"/>
    <mergeCell ref="A274:A277"/>
    <mergeCell ref="A280:A281"/>
    <mergeCell ref="A286:A289"/>
    <mergeCell ref="A291:A292"/>
    <mergeCell ref="A336:A337"/>
    <mergeCell ref="A342:A345"/>
    <mergeCell ref="A347:A348"/>
    <mergeCell ref="A353:A356"/>
    <mergeCell ref="A358:A359"/>
    <mergeCell ref="A364:A367"/>
    <mergeCell ref="A297:A300"/>
    <mergeCell ref="A303:A304"/>
    <mergeCell ref="A309:A312"/>
    <mergeCell ref="A314:A315"/>
    <mergeCell ref="A320:A323"/>
    <mergeCell ref="A325:A326"/>
    <mergeCell ref="A331:A334"/>
    <mergeCell ref="B313:H313"/>
    <mergeCell ref="B324:H324"/>
    <mergeCell ref="B335:H335"/>
    <mergeCell ref="B346:H346"/>
    <mergeCell ref="B357:H357"/>
    <mergeCell ref="B256:H256"/>
    <mergeCell ref="B267:H267"/>
    <mergeCell ref="B278:H278"/>
    <mergeCell ref="B279:H279"/>
    <mergeCell ref="B290:H290"/>
    <mergeCell ref="B301:H301"/>
    <mergeCell ref="B302:H302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B35:H35"/>
    <mergeCell ref="B46:H46"/>
    <mergeCell ref="B57:H57"/>
    <mergeCell ref="B68:H68"/>
    <mergeCell ref="B79:H79"/>
    <mergeCell ref="B90:H90"/>
    <mergeCell ref="B101:H101"/>
    <mergeCell ref="H169:I178"/>
    <mergeCell ref="H180:I189"/>
    <mergeCell ref="B112:H112"/>
    <mergeCell ref="B123:H123"/>
    <mergeCell ref="B134:H134"/>
    <mergeCell ref="B145:H145"/>
    <mergeCell ref="B156:H156"/>
    <mergeCell ref="B167:H167"/>
    <mergeCell ref="B168:H168"/>
    <mergeCell ref="A208:A211"/>
    <mergeCell ref="A213:A214"/>
    <mergeCell ref="B179:H179"/>
    <mergeCell ref="B190:H190"/>
    <mergeCell ref="B201:H201"/>
    <mergeCell ref="B212:H212"/>
    <mergeCell ref="B223:H223"/>
    <mergeCell ref="B234:H234"/>
    <mergeCell ref="B245:H245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16" t="s">
        <v>1174</v>
      </c>
      <c r="B1" s="17" t="s">
        <v>2718</v>
      </c>
      <c r="C1" s="18"/>
      <c r="D1" s="18"/>
      <c r="E1" s="18"/>
      <c r="F1" s="18"/>
      <c r="G1" s="18"/>
      <c r="H1" s="18"/>
      <c r="I1" s="19"/>
    </row>
    <row r="2" ht="60.0" customHeight="1">
      <c r="A2" s="20" t="s">
        <v>1176</v>
      </c>
      <c r="B2" s="21" t="str">
        <f t="array" ref="B2">iferror(VLOOKUP(INDIRECT(ADDRESS(ROW()+1,COLUMN(), 4)),Dex!$A$2:$C99,3,false),"")</f>
        <v/>
      </c>
      <c r="C2" s="21" t="str">
        <f t="array" ref="C2">iferror(VLOOKUP(INDIRECT(ADDRESS(ROW()+1,COLUMN(), 4)),Dex!$A$2:$C99,3,false),"")</f>
        <v/>
      </c>
      <c r="D2" s="21" t="str">
        <f t="array" ref="D2">iferror(VLOOKUP(INDIRECT(ADDRESS(ROW()+1,COLUMN(), 4)),Dex!$A$2:$C99,3,false),"")</f>
        <v/>
      </c>
      <c r="E2" s="21" t="str">
        <f t="array" ref="E2">iferror(VLOOKUP(INDIRECT(ADDRESS(ROW()+1,COLUMN(), 4)),Dex!$A$2:$C99,3,false),"")</f>
        <v/>
      </c>
      <c r="F2" s="21" t="str">
        <f t="array" ref="F2">iferror(VLOOKUP(INDIRECT(ADDRESS(ROW()+1,COLUMN(), 4)),Dex!$A$2:$C99,3,false),"")</f>
        <v/>
      </c>
      <c r="G2" s="21" t="str">
        <f t="array" ref="G2">iferror(VLOOKUP(INDIRECT(ADDRESS(ROW()+1,COLUMN(), 4)),Dex!$A$2:$C99,3,false),"")</f>
        <v/>
      </c>
      <c r="H2" s="22" t="str">
        <f t="array" ref="H2">iferror(VLOOKUP("TRAINER_PIC_ELITE_FOUR_SIDNEY",Sprites!$A$1:$B99,2,false),"")</f>
        <v/>
      </c>
      <c r="I2" s="23"/>
    </row>
    <row r="3">
      <c r="A3" s="24"/>
      <c r="B3" s="25" t="s">
        <v>828</v>
      </c>
      <c r="C3" s="25" t="s">
        <v>1022</v>
      </c>
      <c r="D3" s="25" t="s">
        <v>56</v>
      </c>
      <c r="E3" s="25" t="s">
        <v>1147</v>
      </c>
      <c r="F3" s="25" t="s">
        <v>897</v>
      </c>
      <c r="G3" s="25" t="s">
        <v>194</v>
      </c>
      <c r="H3" s="26"/>
    </row>
    <row r="4">
      <c r="A4" s="16" t="s">
        <v>1178</v>
      </c>
      <c r="B4" s="27" t="s">
        <v>2719</v>
      </c>
      <c r="C4" s="27" t="s">
        <v>2719</v>
      </c>
      <c r="D4" s="27" t="s">
        <v>2719</v>
      </c>
      <c r="E4" s="27" t="s">
        <v>2683</v>
      </c>
      <c r="F4" s="27" t="s">
        <v>2683</v>
      </c>
      <c r="G4" s="27" t="s">
        <v>2683</v>
      </c>
      <c r="H4" s="26"/>
    </row>
    <row r="5">
      <c r="A5" s="16" t="s">
        <v>1181</v>
      </c>
      <c r="B5" s="28" t="s">
        <v>1247</v>
      </c>
      <c r="C5" s="28" t="s">
        <v>1295</v>
      </c>
      <c r="D5" s="28" t="s">
        <v>1882</v>
      </c>
      <c r="E5" s="28" t="s">
        <v>2408</v>
      </c>
      <c r="F5" s="28" t="s">
        <v>2720</v>
      </c>
      <c r="G5" s="28" t="s">
        <v>2478</v>
      </c>
      <c r="H5" s="26"/>
    </row>
    <row r="6">
      <c r="A6" s="16" t="s">
        <v>1182</v>
      </c>
      <c r="B6" s="21" t="s">
        <v>1443</v>
      </c>
      <c r="C6" s="21" t="s">
        <v>2721</v>
      </c>
      <c r="D6" s="21" t="s">
        <v>1938</v>
      </c>
      <c r="E6" s="21" t="s">
        <v>2423</v>
      </c>
      <c r="F6" s="21" t="s">
        <v>2637</v>
      </c>
      <c r="G6" s="21" t="s">
        <v>1690</v>
      </c>
      <c r="H6" s="26"/>
    </row>
    <row r="7">
      <c r="A7" s="16" t="s">
        <v>1186</v>
      </c>
      <c r="B7" s="28" t="s">
        <v>1284</v>
      </c>
      <c r="C7" s="28" t="s">
        <v>1269</v>
      </c>
      <c r="D7" s="28" t="s">
        <v>1284</v>
      </c>
      <c r="E7" s="28" t="s">
        <v>1235</v>
      </c>
      <c r="F7" s="28" t="s">
        <v>1284</v>
      </c>
      <c r="G7" s="28" t="s">
        <v>1235</v>
      </c>
      <c r="H7" s="26"/>
    </row>
    <row r="8">
      <c r="A8" s="20" t="s">
        <v>1188</v>
      </c>
      <c r="B8" s="21" t="s">
        <v>1890</v>
      </c>
      <c r="C8" s="21" t="s">
        <v>2722</v>
      </c>
      <c r="D8" s="21" t="s">
        <v>2198</v>
      </c>
      <c r="E8" s="21" t="s">
        <v>1874</v>
      </c>
      <c r="F8" s="21" t="s">
        <v>1890</v>
      </c>
      <c r="G8" s="21" t="s">
        <v>1834</v>
      </c>
      <c r="H8" s="26"/>
    </row>
    <row r="9">
      <c r="A9" s="29"/>
      <c r="B9" s="21" t="s">
        <v>1695</v>
      </c>
      <c r="C9" s="21" t="s">
        <v>1629</v>
      </c>
      <c r="D9" s="21" t="s">
        <v>1618</v>
      </c>
      <c r="E9" s="21" t="s">
        <v>2723</v>
      </c>
      <c r="F9" s="21" t="s">
        <v>2724</v>
      </c>
      <c r="G9" s="21" t="s">
        <v>1594</v>
      </c>
      <c r="H9" s="26"/>
    </row>
    <row r="10">
      <c r="A10" s="29"/>
      <c r="B10" s="21" t="s">
        <v>2026</v>
      </c>
      <c r="C10" s="21" t="s">
        <v>1307</v>
      </c>
      <c r="D10" s="21" t="s">
        <v>1468</v>
      </c>
      <c r="E10" s="21" t="s">
        <v>1471</v>
      </c>
      <c r="F10" s="21" t="s">
        <v>1629</v>
      </c>
      <c r="G10" s="21" t="s">
        <v>1677</v>
      </c>
      <c r="H10" s="26"/>
    </row>
    <row r="11">
      <c r="A11" s="24"/>
      <c r="B11" s="21" t="s">
        <v>1854</v>
      </c>
      <c r="C11" s="21" t="s">
        <v>1705</v>
      </c>
      <c r="D11" s="21" t="s">
        <v>1890</v>
      </c>
      <c r="E11" s="21" t="s">
        <v>1641</v>
      </c>
      <c r="F11" s="21" t="s">
        <v>1377</v>
      </c>
      <c r="G11" s="21" t="s">
        <v>1915</v>
      </c>
      <c r="H11" s="30"/>
      <c r="I11" s="14"/>
    </row>
    <row r="12">
      <c r="A12" s="16" t="s">
        <v>1174</v>
      </c>
      <c r="B12" s="17" t="s">
        <v>2725</v>
      </c>
      <c r="C12" s="18"/>
      <c r="D12" s="18"/>
      <c r="E12" s="18"/>
      <c r="F12" s="18"/>
      <c r="G12" s="18"/>
      <c r="H12" s="18"/>
      <c r="I12" s="16"/>
    </row>
    <row r="13" ht="60.0" customHeight="1">
      <c r="A13" s="20" t="s">
        <v>1176</v>
      </c>
      <c r="B13" s="21" t="str">
        <f t="array" ref="B13">iferror(VLOOKUP(INDIRECT(ADDRESS(ROW()+1,COLUMN(), 4)),Dex!$A$2:$C99,3,false),"")</f>
        <v/>
      </c>
      <c r="C13" s="21" t="str">
        <f t="array" ref="C13">iferror(VLOOKUP(INDIRECT(ADDRESS(ROW()+1,COLUMN(), 4)),Dex!$A$2:$C99,3,false),"")</f>
        <v/>
      </c>
      <c r="D13" s="21" t="str">
        <f t="array" ref="D13">iferror(VLOOKUP(INDIRECT(ADDRESS(ROW()+1,COLUMN(), 4)),Dex!$A$2:$C99,3,false),"")</f>
        <v/>
      </c>
      <c r="E13" s="21" t="str">
        <f t="array" ref="E13">iferror(VLOOKUP(INDIRECT(ADDRESS(ROW()+1,COLUMN(), 4)),Dex!$A$2:$C99,3,false),"")</f>
        <v/>
      </c>
      <c r="F13" s="21" t="str">
        <f t="array" ref="F13">iferror(VLOOKUP(INDIRECT(ADDRESS(ROW()+1,COLUMN(), 4)),Dex!$A$2:$C99,3,false),"")</f>
        <v/>
      </c>
      <c r="G13" s="21" t="str">
        <f t="array" ref="G13">iferror(VLOOKUP(INDIRECT(ADDRESS(ROW()+1,COLUMN(), 4)),Dex!$A$2:$C99,3,false),"")</f>
        <v/>
      </c>
      <c r="H13" s="22" t="str">
        <f t="array" ref="H13">iferror(VLOOKUP("TRAINER_PIC_ELITE_FOUR_SIDNEY",Sprites!$A$1:$B99,2,false),"")</f>
        <v/>
      </c>
      <c r="I13" s="23"/>
    </row>
    <row r="14">
      <c r="A14" s="24"/>
      <c r="B14" s="25" t="s">
        <v>914</v>
      </c>
      <c r="C14" s="25" t="s">
        <v>213</v>
      </c>
      <c r="D14" s="25" t="s">
        <v>1169</v>
      </c>
      <c r="E14" s="25" t="s">
        <v>1147</v>
      </c>
      <c r="F14" s="25" t="s">
        <v>623</v>
      </c>
      <c r="G14" s="25" t="s">
        <v>194</v>
      </c>
      <c r="H14" s="26"/>
    </row>
    <row r="15">
      <c r="A15" s="16" t="s">
        <v>1178</v>
      </c>
      <c r="B15" s="27" t="s">
        <v>2719</v>
      </c>
      <c r="C15" s="27" t="s">
        <v>2719</v>
      </c>
      <c r="D15" s="27" t="s">
        <v>2719</v>
      </c>
      <c r="E15" s="27" t="s">
        <v>2683</v>
      </c>
      <c r="F15" s="27" t="s">
        <v>2683</v>
      </c>
      <c r="G15" s="27" t="s">
        <v>2683</v>
      </c>
      <c r="H15" s="26"/>
    </row>
    <row r="16">
      <c r="A16" s="16" t="s">
        <v>1181</v>
      </c>
      <c r="B16" s="28" t="s">
        <v>1457</v>
      </c>
      <c r="C16" s="28" t="s">
        <v>1209</v>
      </c>
      <c r="D16" s="28" t="s">
        <v>1838</v>
      </c>
      <c r="E16" s="28" t="s">
        <v>1247</v>
      </c>
      <c r="F16" s="28" t="s">
        <v>1882</v>
      </c>
      <c r="G16" s="28" t="s">
        <v>2478</v>
      </c>
      <c r="H16" s="26"/>
    </row>
    <row r="17">
      <c r="A17" s="16" t="s">
        <v>1182</v>
      </c>
      <c r="B17" s="21" t="s">
        <v>1298</v>
      </c>
      <c r="C17" s="21" t="s">
        <v>1895</v>
      </c>
      <c r="D17" s="21" t="s">
        <v>1298</v>
      </c>
      <c r="E17" s="21" t="s">
        <v>2423</v>
      </c>
      <c r="F17" s="21" t="s">
        <v>1747</v>
      </c>
      <c r="G17" s="21" t="s">
        <v>1690</v>
      </c>
      <c r="H17" s="26"/>
    </row>
    <row r="18">
      <c r="A18" s="16" t="s">
        <v>1186</v>
      </c>
      <c r="B18" s="28" t="s">
        <v>1235</v>
      </c>
      <c r="C18" s="28" t="s">
        <v>1284</v>
      </c>
      <c r="D18" s="28" t="s">
        <v>1235</v>
      </c>
      <c r="E18" s="28" t="s">
        <v>1235</v>
      </c>
      <c r="F18" s="28" t="s">
        <v>1284</v>
      </c>
      <c r="G18" s="28" t="s">
        <v>1235</v>
      </c>
      <c r="H18" s="26"/>
    </row>
    <row r="19">
      <c r="A19" s="20" t="s">
        <v>1188</v>
      </c>
      <c r="B19" s="21" t="s">
        <v>1737</v>
      </c>
      <c r="C19" s="21" t="s">
        <v>1822</v>
      </c>
      <c r="D19" s="21" t="s">
        <v>1814</v>
      </c>
      <c r="E19" s="21" t="s">
        <v>1874</v>
      </c>
      <c r="F19" s="21" t="s">
        <v>1890</v>
      </c>
      <c r="G19" s="21" t="s">
        <v>1834</v>
      </c>
      <c r="H19" s="26"/>
    </row>
    <row r="20">
      <c r="A20" s="29"/>
      <c r="B20" s="21" t="s">
        <v>1307</v>
      </c>
      <c r="C20" s="21" t="s">
        <v>2390</v>
      </c>
      <c r="D20" s="21" t="s">
        <v>1594</v>
      </c>
      <c r="E20" s="21" t="s">
        <v>2723</v>
      </c>
      <c r="F20" s="21" t="s">
        <v>1373</v>
      </c>
      <c r="G20" s="21" t="s">
        <v>1983</v>
      </c>
      <c r="H20" s="26"/>
    </row>
    <row r="21">
      <c r="A21" s="29"/>
      <c r="B21" s="21" t="s">
        <v>1829</v>
      </c>
      <c r="C21" s="21" t="s">
        <v>1311</v>
      </c>
      <c r="D21" s="21" t="s">
        <v>1576</v>
      </c>
      <c r="E21" s="21" t="s">
        <v>1359</v>
      </c>
      <c r="F21" s="21" t="s">
        <v>1739</v>
      </c>
      <c r="G21" s="21" t="s">
        <v>1993</v>
      </c>
      <c r="H21" s="26"/>
    </row>
    <row r="22">
      <c r="A22" s="24"/>
      <c r="B22" s="21" t="s">
        <v>1225</v>
      </c>
      <c r="C22" s="21" t="s">
        <v>1944</v>
      </c>
      <c r="D22" s="21" t="s">
        <v>1621</v>
      </c>
      <c r="E22" s="21" t="s">
        <v>1243</v>
      </c>
      <c r="F22" s="21" t="s">
        <v>1750</v>
      </c>
      <c r="G22" s="21" t="s">
        <v>1621</v>
      </c>
      <c r="H22" s="30"/>
      <c r="I22" s="14"/>
    </row>
    <row r="23">
      <c r="A23" s="16" t="s">
        <v>1174</v>
      </c>
      <c r="B23" s="17" t="s">
        <v>2726</v>
      </c>
      <c r="C23" s="18"/>
      <c r="D23" s="18"/>
      <c r="E23" s="18"/>
      <c r="F23" s="18"/>
      <c r="G23" s="18"/>
      <c r="H23" s="18"/>
      <c r="I23" s="16"/>
    </row>
    <row r="24" ht="60.0" customHeight="1">
      <c r="A24" s="20" t="s">
        <v>1176</v>
      </c>
      <c r="B24" s="21" t="str">
        <f t="array" ref="B24">iferror(VLOOKUP(INDIRECT(ADDRESS(ROW()+1,COLUMN(), 4)),Dex!$A$2:$C99,3,false),"")</f>
        <v/>
      </c>
      <c r="C24" s="21" t="str">
        <f t="array" ref="C24">iferror(VLOOKUP(INDIRECT(ADDRESS(ROW()+1,COLUMN(), 4)),Dex!$A$2:$C99,3,false),"")</f>
        <v/>
      </c>
      <c r="D24" s="21" t="str">
        <f t="array" ref="D24">iferror(VLOOKUP(INDIRECT(ADDRESS(ROW()+1,COLUMN(), 4)),Dex!$A$2:$C99,3,false),"")</f>
        <v/>
      </c>
      <c r="E24" s="21" t="str">
        <f t="array" ref="E24">iferror(VLOOKUP(INDIRECT(ADDRESS(ROW()+1,COLUMN(), 4)),Dex!$A$2:$C99,3,false),"")</f>
        <v/>
      </c>
      <c r="F24" s="21" t="str">
        <f t="array" ref="F24">iferror(VLOOKUP(INDIRECT(ADDRESS(ROW()+1,COLUMN(), 4)),Dex!$A$2:$C99,3,false),"")</f>
        <v/>
      </c>
      <c r="G24" s="21" t="str">
        <f t="array" ref="G24">iferror(VLOOKUP(INDIRECT(ADDRESS(ROW()+1,COLUMN(), 4)),Dex!$A$2:$C99,3,false),"")</f>
        <v/>
      </c>
      <c r="H24" s="22" t="str">
        <f t="array" ref="H24">iferror(VLOOKUP("TRAINER_PIC_ELITE_FOUR_PHOEBE",Sprites!$A$1:$B99,2,false),"")</f>
        <v/>
      </c>
      <c r="I24" s="23"/>
    </row>
    <row r="25">
      <c r="A25" s="24"/>
      <c r="B25" s="25" t="s">
        <v>245</v>
      </c>
      <c r="C25" s="25" t="s">
        <v>729</v>
      </c>
      <c r="D25" s="25" t="s">
        <v>735</v>
      </c>
      <c r="E25" s="25" t="s">
        <v>1014</v>
      </c>
      <c r="F25" s="25" t="s">
        <v>1029</v>
      </c>
      <c r="G25" s="25" t="s">
        <v>143</v>
      </c>
      <c r="H25" s="26"/>
    </row>
    <row r="26">
      <c r="A26" s="16" t="s">
        <v>1178</v>
      </c>
      <c r="B26" s="27" t="s">
        <v>2719</v>
      </c>
      <c r="C26" s="27" t="s">
        <v>2683</v>
      </c>
      <c r="D26" s="27" t="s">
        <v>2719</v>
      </c>
      <c r="E26" s="27" t="s">
        <v>2683</v>
      </c>
      <c r="F26" s="27" t="s">
        <v>2683</v>
      </c>
      <c r="G26" s="27" t="s">
        <v>2683</v>
      </c>
      <c r="H26" s="26"/>
    </row>
    <row r="27">
      <c r="A27" s="16" t="s">
        <v>1181</v>
      </c>
      <c r="B27" s="28" t="s">
        <v>1282</v>
      </c>
      <c r="C27" s="28" t="s">
        <v>1882</v>
      </c>
      <c r="D27" s="28" t="s">
        <v>1838</v>
      </c>
      <c r="E27" s="28" t="s">
        <v>1901</v>
      </c>
      <c r="F27" s="28" t="s">
        <v>1209</v>
      </c>
      <c r="G27" s="28" t="s">
        <v>2727</v>
      </c>
      <c r="H27" s="26"/>
    </row>
    <row r="28">
      <c r="A28" s="16" t="s">
        <v>1182</v>
      </c>
      <c r="B28" s="21" t="s">
        <v>1356</v>
      </c>
      <c r="C28" s="21" t="s">
        <v>1906</v>
      </c>
      <c r="D28" s="21" t="s">
        <v>1730</v>
      </c>
      <c r="E28" s="21" t="s">
        <v>2728</v>
      </c>
      <c r="F28" s="21" t="s">
        <v>1461</v>
      </c>
      <c r="G28" s="21" t="s">
        <v>1730</v>
      </c>
      <c r="H28" s="26"/>
    </row>
    <row r="29">
      <c r="A29" s="16" t="s">
        <v>1186</v>
      </c>
      <c r="B29" s="28" t="s">
        <v>1235</v>
      </c>
      <c r="C29" s="28" t="s">
        <v>1249</v>
      </c>
      <c r="D29" s="28" t="s">
        <v>1284</v>
      </c>
      <c r="E29" s="28" t="s">
        <v>1284</v>
      </c>
      <c r="F29" s="28" t="s">
        <v>1235</v>
      </c>
      <c r="G29" s="28" t="s">
        <v>1284</v>
      </c>
      <c r="H29" s="26"/>
    </row>
    <row r="30">
      <c r="A30" s="20" t="s">
        <v>1188</v>
      </c>
      <c r="B30" s="21" t="s">
        <v>1238</v>
      </c>
      <c r="C30" s="21" t="s">
        <v>1742</v>
      </c>
      <c r="D30" s="21" t="s">
        <v>1731</v>
      </c>
      <c r="E30" s="21" t="s">
        <v>2729</v>
      </c>
      <c r="F30" s="21" t="s">
        <v>1874</v>
      </c>
      <c r="G30" s="21" t="s">
        <v>2198</v>
      </c>
      <c r="H30" s="26"/>
    </row>
    <row r="31">
      <c r="A31" s="29"/>
      <c r="B31" s="21" t="s">
        <v>1376</v>
      </c>
      <c r="C31" s="21" t="s">
        <v>1740</v>
      </c>
      <c r="D31" s="21" t="s">
        <v>1724</v>
      </c>
      <c r="E31" s="21" t="s">
        <v>2214</v>
      </c>
      <c r="F31" s="21" t="s">
        <v>1578</v>
      </c>
      <c r="G31" s="21" t="s">
        <v>1742</v>
      </c>
      <c r="H31" s="26"/>
    </row>
    <row r="32">
      <c r="A32" s="29"/>
      <c r="B32" s="21" t="s">
        <v>1311</v>
      </c>
      <c r="C32" s="21" t="s">
        <v>1886</v>
      </c>
      <c r="D32" s="21" t="s">
        <v>1605</v>
      </c>
      <c r="E32" s="21" t="s">
        <v>1815</v>
      </c>
      <c r="F32" s="21" t="s">
        <v>1307</v>
      </c>
      <c r="G32" s="21" t="s">
        <v>1878</v>
      </c>
      <c r="H32" s="26"/>
    </row>
    <row r="33">
      <c r="A33" s="24"/>
      <c r="B33" s="21" t="s">
        <v>1377</v>
      </c>
      <c r="C33" s="21" t="s">
        <v>1652</v>
      </c>
      <c r="D33" s="21" t="s">
        <v>1742</v>
      </c>
      <c r="E33" s="21" t="s">
        <v>1377</v>
      </c>
      <c r="F33" s="21" t="s">
        <v>1410</v>
      </c>
      <c r="G33" s="21" t="s">
        <v>1924</v>
      </c>
      <c r="H33" s="30"/>
      <c r="I33" s="14"/>
    </row>
    <row r="34">
      <c r="A34" s="16" t="s">
        <v>1174</v>
      </c>
      <c r="B34" s="17" t="s">
        <v>2730</v>
      </c>
      <c r="C34" s="18"/>
      <c r="D34" s="18"/>
      <c r="E34" s="18"/>
      <c r="F34" s="18"/>
      <c r="G34" s="18"/>
      <c r="H34" s="18"/>
      <c r="I34" s="16"/>
    </row>
    <row r="35" ht="60.0" customHeight="1">
      <c r="A35" s="20" t="s">
        <v>1176</v>
      </c>
      <c r="B35" s="21" t="str">
        <f t="array" ref="B35">iferror(VLOOKUP(INDIRECT(ADDRESS(ROW()+1,COLUMN(), 4)),Dex!$A$2:$C99,3,false),"")</f>
        <v/>
      </c>
      <c r="C35" s="21" t="str">
        <f t="array" ref="C35">iferror(VLOOKUP(INDIRECT(ADDRESS(ROW()+1,COLUMN(), 4)),Dex!$A$2:$C99,3,false),"")</f>
        <v/>
      </c>
      <c r="D35" s="21" t="str">
        <f t="array" ref="D35">iferror(VLOOKUP(INDIRECT(ADDRESS(ROW()+1,COLUMN(), 4)),Dex!$A$2:$C99,3,false),"")</f>
        <v/>
      </c>
      <c r="E35" s="21" t="str">
        <f t="array" ref="E35">iferror(VLOOKUP(INDIRECT(ADDRESS(ROW()+1,COLUMN(), 4)),Dex!$A$2:$C99,3,false),"")</f>
        <v/>
      </c>
      <c r="F35" s="21" t="str">
        <f t="array" ref="F35">iferror(VLOOKUP(INDIRECT(ADDRESS(ROW()+1,COLUMN(), 4)),Dex!$A$2:$C99,3,false),"")</f>
        <v/>
      </c>
      <c r="G35" s="21" t="str">
        <f t="array" ref="G35">iferror(VLOOKUP(INDIRECT(ADDRESS(ROW()+1,COLUMN(), 4)),Dex!$A$2:$C99,3,false),"")</f>
        <v/>
      </c>
      <c r="H35" s="22" t="str">
        <f t="array" ref="H35">iferror(VLOOKUP("TRAINER_PIC_ELITE_FOUR_PHOEBE",Sprites!$A$1:$B99,2,false),"")</f>
        <v/>
      </c>
      <c r="I35" s="23"/>
    </row>
    <row r="36">
      <c r="A36" s="24"/>
      <c r="B36" s="25" t="s">
        <v>911</v>
      </c>
      <c r="C36" s="25" t="s">
        <v>768</v>
      </c>
      <c r="D36" s="25" t="s">
        <v>18</v>
      </c>
      <c r="E36" s="25" t="s">
        <v>1014</v>
      </c>
      <c r="F36" s="25" t="s">
        <v>619</v>
      </c>
      <c r="G36" s="25" t="s">
        <v>143</v>
      </c>
      <c r="H36" s="26"/>
    </row>
    <row r="37">
      <c r="A37" s="16" t="s">
        <v>1178</v>
      </c>
      <c r="B37" s="27" t="s">
        <v>2719</v>
      </c>
      <c r="C37" s="27" t="s">
        <v>2683</v>
      </c>
      <c r="D37" s="27" t="s">
        <v>2719</v>
      </c>
      <c r="E37" s="27" t="s">
        <v>2683</v>
      </c>
      <c r="F37" s="27" t="s">
        <v>2683</v>
      </c>
      <c r="G37" s="27" t="s">
        <v>2683</v>
      </c>
      <c r="H37" s="26"/>
    </row>
    <row r="38">
      <c r="A38" s="16" t="s">
        <v>1181</v>
      </c>
      <c r="B38" s="28" t="s">
        <v>1247</v>
      </c>
      <c r="C38" s="28" t="s">
        <v>2731</v>
      </c>
      <c r="D38" s="28" t="s">
        <v>1457</v>
      </c>
      <c r="E38" s="28" t="s">
        <v>1901</v>
      </c>
      <c r="F38" s="28" t="s">
        <v>2732</v>
      </c>
      <c r="G38" s="28" t="s">
        <v>2727</v>
      </c>
      <c r="H38" s="26"/>
    </row>
    <row r="39">
      <c r="A39" s="16" t="s">
        <v>1182</v>
      </c>
      <c r="B39" s="21" t="s">
        <v>1907</v>
      </c>
      <c r="C39" s="21" t="s">
        <v>1730</v>
      </c>
      <c r="D39" s="21" t="s">
        <v>1648</v>
      </c>
      <c r="E39" s="21" t="s">
        <v>2728</v>
      </c>
      <c r="F39" s="21" t="s">
        <v>1368</v>
      </c>
      <c r="G39" s="21" t="s">
        <v>1730</v>
      </c>
      <c r="H39" s="26"/>
    </row>
    <row r="40">
      <c r="A40" s="16" t="s">
        <v>1186</v>
      </c>
      <c r="B40" s="28" t="s">
        <v>1235</v>
      </c>
      <c r="C40" s="28" t="s">
        <v>1284</v>
      </c>
      <c r="D40" s="28" t="s">
        <v>1284</v>
      </c>
      <c r="E40" s="28" t="s">
        <v>1284</v>
      </c>
      <c r="F40" s="28" t="s">
        <v>1269</v>
      </c>
      <c r="G40" s="28" t="s">
        <v>1284</v>
      </c>
      <c r="H40" s="26"/>
    </row>
    <row r="41">
      <c r="A41" s="20" t="s">
        <v>1188</v>
      </c>
      <c r="B41" s="21" t="s">
        <v>1874</v>
      </c>
      <c r="C41" s="21" t="s">
        <v>2104</v>
      </c>
      <c r="D41" s="21" t="s">
        <v>1793</v>
      </c>
      <c r="E41" s="21" t="s">
        <v>2729</v>
      </c>
      <c r="F41" s="21" t="s">
        <v>2192</v>
      </c>
      <c r="G41" s="21" t="s">
        <v>2198</v>
      </c>
      <c r="H41" s="26"/>
    </row>
    <row r="42">
      <c r="A42" s="29"/>
      <c r="B42" s="21" t="s">
        <v>1816</v>
      </c>
      <c r="C42" s="21" t="s">
        <v>1629</v>
      </c>
      <c r="D42" s="21" t="s">
        <v>1878</v>
      </c>
      <c r="E42" s="21" t="s">
        <v>2214</v>
      </c>
      <c r="F42" s="21" t="s">
        <v>1828</v>
      </c>
      <c r="G42" s="21" t="s">
        <v>1742</v>
      </c>
      <c r="H42" s="26"/>
    </row>
    <row r="43">
      <c r="A43" s="29"/>
      <c r="B43" s="21" t="s">
        <v>1307</v>
      </c>
      <c r="C43" s="21" t="s">
        <v>1742</v>
      </c>
      <c r="D43" s="21" t="s">
        <v>1606</v>
      </c>
      <c r="E43" s="21" t="s">
        <v>1605</v>
      </c>
      <c r="F43" s="21" t="s">
        <v>1578</v>
      </c>
      <c r="G43" s="21" t="s">
        <v>1878</v>
      </c>
      <c r="H43" s="26"/>
    </row>
    <row r="44">
      <c r="A44" s="24"/>
      <c r="B44" s="21" t="s">
        <v>1944</v>
      </c>
      <c r="C44" s="21" t="s">
        <v>1389</v>
      </c>
      <c r="D44" s="21" t="s">
        <v>1225</v>
      </c>
      <c r="E44" s="21" t="s">
        <v>1944</v>
      </c>
      <c r="F44" s="21" t="s">
        <v>1740</v>
      </c>
      <c r="G44" s="21" t="s">
        <v>1389</v>
      </c>
      <c r="H44" s="30"/>
      <c r="I44" s="14"/>
    </row>
    <row r="45">
      <c r="A45" s="16" t="s">
        <v>1174</v>
      </c>
      <c r="B45" s="17" t="s">
        <v>2733</v>
      </c>
      <c r="C45" s="18"/>
      <c r="D45" s="18"/>
      <c r="E45" s="18"/>
      <c r="F45" s="18"/>
      <c r="G45" s="18"/>
      <c r="H45" s="18"/>
      <c r="I45" s="16"/>
    </row>
    <row r="46" ht="60.0" customHeight="1">
      <c r="A46" s="20" t="s">
        <v>1176</v>
      </c>
      <c r="B46" s="21" t="str">
        <f t="array" ref="B46">iferror(VLOOKUP(INDIRECT(ADDRESS(ROW()+1,COLUMN(), 4)),Dex!$A$2:$C99,3,false),"")</f>
        <v/>
      </c>
      <c r="C46" s="21" t="str">
        <f t="array" ref="C46">iferror(VLOOKUP(INDIRECT(ADDRESS(ROW()+1,COLUMN(), 4)),Dex!$A$2:$C99,3,false),"")</f>
        <v/>
      </c>
      <c r="D46" s="21" t="str">
        <f t="array" ref="D46">iferror(VLOOKUP(INDIRECT(ADDRESS(ROW()+1,COLUMN(), 4)),Dex!$A$2:$C99,3,false),"")</f>
        <v/>
      </c>
      <c r="E46" s="21" t="str">
        <f t="array" ref="E46">iferror(VLOOKUP(INDIRECT(ADDRESS(ROW()+1,COLUMN(), 4)),Dex!$A$2:$C99,3,false),"")</f>
        <v/>
      </c>
      <c r="F46" s="21" t="str">
        <f t="array" ref="F46">iferror(VLOOKUP(INDIRECT(ADDRESS(ROW()+1,COLUMN(), 4)),Dex!$A$2:$C99,3,false),"")</f>
        <v/>
      </c>
      <c r="G46" s="21" t="str">
        <f t="array" ref="G46">iferror(VLOOKUP(INDIRECT(ADDRESS(ROW()+1,COLUMN(), 4)),Dex!$A$2:$C99,3,false),"")</f>
        <v/>
      </c>
      <c r="H46" s="22" t="str">
        <f t="array" ref="H46">iferror(VLOOKUP("TRAINER_PIC_ELITE_FOUR_GLACIA",Sprites!$A$1:$B99,2,false),"")</f>
        <v/>
      </c>
      <c r="I46" s="23"/>
    </row>
    <row r="47">
      <c r="A47" s="24"/>
      <c r="B47" s="25" t="s">
        <v>595</v>
      </c>
      <c r="C47" s="25" t="s">
        <v>582</v>
      </c>
      <c r="D47" s="25" t="s">
        <v>1131</v>
      </c>
      <c r="E47" s="25" t="s">
        <v>1171</v>
      </c>
      <c r="F47" s="25" t="s">
        <v>815</v>
      </c>
      <c r="G47" s="25" t="s">
        <v>1161</v>
      </c>
      <c r="H47" s="26"/>
    </row>
    <row r="48">
      <c r="A48" s="16" t="s">
        <v>1178</v>
      </c>
      <c r="B48" s="27" t="s">
        <v>2683</v>
      </c>
      <c r="C48" s="27" t="s">
        <v>2683</v>
      </c>
      <c r="D48" s="27" t="s">
        <v>2683</v>
      </c>
      <c r="E48" s="27" t="s">
        <v>2719</v>
      </c>
      <c r="F48" s="27" t="s">
        <v>2683</v>
      </c>
      <c r="G48" s="27" t="s">
        <v>2683</v>
      </c>
      <c r="H48" s="26"/>
    </row>
    <row r="49">
      <c r="A49" s="16" t="s">
        <v>1181</v>
      </c>
      <c r="B49" s="28" t="s">
        <v>1247</v>
      </c>
      <c r="C49" s="28" t="s">
        <v>2734</v>
      </c>
      <c r="D49" s="28" t="s">
        <v>1961</v>
      </c>
      <c r="E49" s="28" t="s">
        <v>1295</v>
      </c>
      <c r="F49" s="28" t="s">
        <v>1838</v>
      </c>
      <c r="G49" s="28" t="s">
        <v>1703</v>
      </c>
      <c r="H49" s="26"/>
    </row>
    <row r="50">
      <c r="A50" s="16" t="s">
        <v>1182</v>
      </c>
      <c r="B50" s="21" t="s">
        <v>2066</v>
      </c>
      <c r="C50" s="21" t="s">
        <v>2052</v>
      </c>
      <c r="D50" s="21" t="s">
        <v>2053</v>
      </c>
      <c r="E50" s="21" t="s">
        <v>1445</v>
      </c>
      <c r="F50" s="21" t="s">
        <v>2735</v>
      </c>
      <c r="G50" s="21" t="s">
        <v>2736</v>
      </c>
      <c r="H50" s="26"/>
    </row>
    <row r="51">
      <c r="A51" s="16" t="s">
        <v>1186</v>
      </c>
      <c r="B51" s="28" t="s">
        <v>1235</v>
      </c>
      <c r="C51" s="28" t="s">
        <v>1256</v>
      </c>
      <c r="D51" s="28" t="s">
        <v>1269</v>
      </c>
      <c r="E51" s="28" t="s">
        <v>1257</v>
      </c>
      <c r="F51" s="28" t="s">
        <v>1284</v>
      </c>
      <c r="G51" s="28" t="s">
        <v>1235</v>
      </c>
      <c r="H51" s="26"/>
    </row>
    <row r="52">
      <c r="A52" s="20" t="s">
        <v>1188</v>
      </c>
      <c r="B52" s="21" t="s">
        <v>1677</v>
      </c>
      <c r="C52" s="21" t="s">
        <v>2054</v>
      </c>
      <c r="D52" s="21" t="s">
        <v>2418</v>
      </c>
      <c r="E52" s="21" t="s">
        <v>1815</v>
      </c>
      <c r="F52" s="21" t="s">
        <v>1828</v>
      </c>
      <c r="G52" s="21" t="s">
        <v>2656</v>
      </c>
      <c r="H52" s="26"/>
    </row>
    <row r="53">
      <c r="A53" s="29"/>
      <c r="B53" s="21" t="s">
        <v>2068</v>
      </c>
      <c r="C53" s="21" t="s">
        <v>1285</v>
      </c>
      <c r="D53" s="21" t="s">
        <v>2054</v>
      </c>
      <c r="E53" s="21" t="s">
        <v>1726</v>
      </c>
      <c r="F53" s="21" t="s">
        <v>1468</v>
      </c>
      <c r="G53" s="21" t="s">
        <v>1779</v>
      </c>
      <c r="H53" s="26"/>
    </row>
    <row r="54">
      <c r="A54" s="29"/>
      <c r="B54" s="21" t="s">
        <v>1678</v>
      </c>
      <c r="C54" s="21" t="s">
        <v>1878</v>
      </c>
      <c r="D54" s="21" t="s">
        <v>2068</v>
      </c>
      <c r="E54" s="21" t="s">
        <v>1698</v>
      </c>
      <c r="F54" s="21" t="s">
        <v>2737</v>
      </c>
      <c r="G54" s="21" t="s">
        <v>1959</v>
      </c>
      <c r="H54" s="26"/>
    </row>
    <row r="55">
      <c r="A55" s="24"/>
      <c r="B55" s="21" t="s">
        <v>1705</v>
      </c>
      <c r="C55" s="21" t="s">
        <v>2306</v>
      </c>
      <c r="D55" s="21" t="s">
        <v>1598</v>
      </c>
      <c r="E55" s="21" t="s">
        <v>1473</v>
      </c>
      <c r="F55" s="21" t="s">
        <v>1618</v>
      </c>
      <c r="G55" s="21" t="s">
        <v>1641</v>
      </c>
      <c r="H55" s="30"/>
      <c r="I55" s="14"/>
    </row>
    <row r="56">
      <c r="A56" s="16" t="s">
        <v>1174</v>
      </c>
      <c r="B56" s="17" t="s">
        <v>2738</v>
      </c>
      <c r="C56" s="18"/>
      <c r="D56" s="18"/>
      <c r="E56" s="18"/>
      <c r="F56" s="18"/>
      <c r="G56" s="18"/>
      <c r="H56" s="18"/>
      <c r="I56" s="16"/>
    </row>
    <row r="57" ht="60.0" customHeight="1">
      <c r="A57" s="20" t="s">
        <v>1176</v>
      </c>
      <c r="B57" s="21" t="str">
        <f t="array" ref="B57">iferror(VLOOKUP(INDIRECT(ADDRESS(ROW()+1,COLUMN(), 4)),Dex!$A$2:$C99,3,false),"")</f>
        <v/>
      </c>
      <c r="C57" s="21" t="str">
        <f t="array" ref="C57">iferror(VLOOKUP(INDIRECT(ADDRESS(ROW()+1,COLUMN(), 4)),Dex!$A$2:$C99,3,false),"")</f>
        <v/>
      </c>
      <c r="D57" s="21" t="str">
        <f t="array" ref="D57">iferror(VLOOKUP(INDIRECT(ADDRESS(ROW()+1,COLUMN(), 4)),Dex!$A$2:$C99,3,false),"")</f>
        <v/>
      </c>
      <c r="E57" s="21" t="str">
        <f t="array" ref="E57">iferror(VLOOKUP(INDIRECT(ADDRESS(ROW()+1,COLUMN(), 4)),Dex!$A$2:$C99,3,false),"")</f>
        <v/>
      </c>
      <c r="F57" s="21" t="str">
        <f t="array" ref="F57">iferror(VLOOKUP(INDIRECT(ADDRESS(ROW()+1,COLUMN(), 4)),Dex!$A$2:$C99,3,false),"")</f>
        <v/>
      </c>
      <c r="G57" s="21" t="str">
        <f t="array" ref="G57">iferror(VLOOKUP(INDIRECT(ADDRESS(ROW()+1,COLUMN(), 4)),Dex!$A$2:$C99,3,false),"")</f>
        <v/>
      </c>
      <c r="H57" s="22" t="str">
        <f t="array" ref="H57">iferror(VLOOKUP("TRAINER_PIC_ELITE_FOUR_GLACIA",Sprites!$A$1:$B99,2,false),"")</f>
        <v/>
      </c>
      <c r="I57" s="23"/>
    </row>
    <row r="58">
      <c r="A58" s="24"/>
      <c r="B58" s="25" t="s">
        <v>1028</v>
      </c>
      <c r="C58" s="25" t="s">
        <v>927</v>
      </c>
      <c r="D58" s="25" t="s">
        <v>582</v>
      </c>
      <c r="E58" s="25" t="s">
        <v>319</v>
      </c>
      <c r="F58" s="25" t="s">
        <v>1161</v>
      </c>
      <c r="G58" s="25" t="s">
        <v>814</v>
      </c>
      <c r="H58" s="26"/>
    </row>
    <row r="59">
      <c r="A59" s="16" t="s">
        <v>1178</v>
      </c>
      <c r="B59" s="27" t="s">
        <v>2683</v>
      </c>
      <c r="C59" s="27" t="s">
        <v>2683</v>
      </c>
      <c r="D59" s="27" t="s">
        <v>2683</v>
      </c>
      <c r="E59" s="27" t="s">
        <v>2719</v>
      </c>
      <c r="F59" s="27" t="s">
        <v>2683</v>
      </c>
      <c r="G59" s="27" t="s">
        <v>2683</v>
      </c>
      <c r="H59" s="26"/>
    </row>
    <row r="60">
      <c r="A60" s="16" t="s">
        <v>1181</v>
      </c>
      <c r="B60" s="28" t="s">
        <v>2045</v>
      </c>
      <c r="C60" s="28" t="s">
        <v>1247</v>
      </c>
      <c r="D60" s="28" t="s">
        <v>2734</v>
      </c>
      <c r="E60" s="28" t="s">
        <v>1403</v>
      </c>
      <c r="F60" s="28" t="s">
        <v>1961</v>
      </c>
      <c r="G60" s="28" t="s">
        <v>2146</v>
      </c>
      <c r="H60" s="26"/>
    </row>
    <row r="61">
      <c r="A61" s="16" t="s">
        <v>1182</v>
      </c>
      <c r="B61" s="21" t="s">
        <v>2739</v>
      </c>
      <c r="C61" s="21" t="s">
        <v>1654</v>
      </c>
      <c r="D61" s="21" t="s">
        <v>2052</v>
      </c>
      <c r="E61" s="21" t="s">
        <v>1860</v>
      </c>
      <c r="F61" s="21" t="s">
        <v>2736</v>
      </c>
      <c r="G61" s="21" t="s">
        <v>2740</v>
      </c>
      <c r="H61" s="26"/>
    </row>
    <row r="62">
      <c r="A62" s="16" t="s">
        <v>1186</v>
      </c>
      <c r="B62" s="28" t="s">
        <v>1447</v>
      </c>
      <c r="C62" s="28" t="s">
        <v>1754</v>
      </c>
      <c r="D62" s="28" t="s">
        <v>1447</v>
      </c>
      <c r="E62" s="28" t="s">
        <v>1447</v>
      </c>
      <c r="F62" s="28" t="s">
        <v>1754</v>
      </c>
      <c r="G62" s="28" t="s">
        <v>1754</v>
      </c>
      <c r="H62" s="26"/>
    </row>
    <row r="63">
      <c r="A63" s="20" t="s">
        <v>1188</v>
      </c>
      <c r="B63" s="21" t="s">
        <v>1723</v>
      </c>
      <c r="C63" s="21" t="s">
        <v>1874</v>
      </c>
      <c r="D63" s="21" t="s">
        <v>2054</v>
      </c>
      <c r="E63" s="21" t="s">
        <v>1863</v>
      </c>
      <c r="F63" s="21" t="s">
        <v>2656</v>
      </c>
      <c r="G63" s="21" t="s">
        <v>2268</v>
      </c>
      <c r="H63" s="26"/>
    </row>
    <row r="64">
      <c r="A64" s="29"/>
      <c r="B64" s="21" t="s">
        <v>1605</v>
      </c>
      <c r="C64" s="21" t="s">
        <v>2741</v>
      </c>
      <c r="D64" s="21" t="s">
        <v>1285</v>
      </c>
      <c r="E64" s="21" t="s">
        <v>2054</v>
      </c>
      <c r="F64" s="21" t="s">
        <v>1469</v>
      </c>
      <c r="G64" s="21" t="s">
        <v>1920</v>
      </c>
      <c r="H64" s="26"/>
    </row>
    <row r="65">
      <c r="A65" s="29"/>
      <c r="B65" s="21" t="s">
        <v>2153</v>
      </c>
      <c r="C65" s="21" t="s">
        <v>1359</v>
      </c>
      <c r="D65" s="21" t="s">
        <v>1618</v>
      </c>
      <c r="E65" s="21" t="s">
        <v>1731</v>
      </c>
      <c r="F65" s="21" t="s">
        <v>1874</v>
      </c>
      <c r="G65" s="21" t="s">
        <v>2742</v>
      </c>
      <c r="H65" s="26"/>
    </row>
    <row r="66">
      <c r="A66" s="24"/>
      <c r="B66" s="21" t="s">
        <v>1954</v>
      </c>
      <c r="C66" s="21" t="s">
        <v>1943</v>
      </c>
      <c r="D66" s="21" t="s">
        <v>2306</v>
      </c>
      <c r="E66" s="21" t="s">
        <v>1954</v>
      </c>
      <c r="F66" s="21" t="s">
        <v>1954</v>
      </c>
      <c r="G66" s="21" t="s">
        <v>1678</v>
      </c>
      <c r="H66" s="30"/>
      <c r="I66" s="14"/>
    </row>
    <row r="67">
      <c r="A67" s="16" t="s">
        <v>1174</v>
      </c>
      <c r="B67" s="17" t="s">
        <v>2743</v>
      </c>
      <c r="C67" s="18"/>
      <c r="D67" s="18"/>
      <c r="E67" s="18"/>
      <c r="F67" s="18"/>
      <c r="G67" s="18"/>
      <c r="H67" s="18"/>
      <c r="I67" s="16"/>
    </row>
    <row r="68" ht="60.0" customHeight="1">
      <c r="A68" s="20" t="s">
        <v>1176</v>
      </c>
      <c r="B68" s="21" t="str">
        <f t="array" ref="B68">iferror(VLOOKUP(INDIRECT(ADDRESS(ROW()+1,COLUMN(), 4)),Dex!$A$2:$C99,3,false),"")</f>
        <v/>
      </c>
      <c r="C68" s="21" t="str">
        <f t="array" ref="C68">iferror(VLOOKUP(INDIRECT(ADDRESS(ROW()+1,COLUMN(), 4)),Dex!$A$2:$C99,3,false),"")</f>
        <v/>
      </c>
      <c r="D68" s="21" t="str">
        <f t="array" ref="D68">iferror(VLOOKUP(INDIRECT(ADDRESS(ROW()+1,COLUMN(), 4)),Dex!$A$2:$C99,3,false),"")</f>
        <v/>
      </c>
      <c r="E68" s="21" t="str">
        <f t="array" ref="E68">iferror(VLOOKUP(INDIRECT(ADDRESS(ROW()+1,COLUMN(), 4)),Dex!$A$2:$C99,3,false),"")</f>
        <v/>
      </c>
      <c r="F68" s="21" t="str">
        <f t="array" ref="F68">iferror(VLOOKUP(INDIRECT(ADDRESS(ROW()+1,COLUMN(), 4)),Dex!$A$2:$C99,3,false),"")</f>
        <v/>
      </c>
      <c r="G68" s="21" t="str">
        <f t="array" ref="G68">iferror(VLOOKUP(INDIRECT(ADDRESS(ROW()+1,COLUMN(), 4)),Dex!$A$2:$C99,3,false),"")</f>
        <v/>
      </c>
      <c r="H68" s="22" t="str">
        <f t="array" ref="H68">iferror(VLOOKUP("TRAINER_PIC_ELITE_FOUR_DRAKE",Sprites!$A$1:$B99,2,false),"")</f>
        <v/>
      </c>
      <c r="I68" s="23"/>
    </row>
    <row r="69">
      <c r="A69" s="24"/>
      <c r="B69" s="25" t="s">
        <v>1136</v>
      </c>
      <c r="C69" s="25" t="s">
        <v>444</v>
      </c>
      <c r="D69" s="25" t="s">
        <v>898</v>
      </c>
      <c r="E69" s="25" t="s">
        <v>331</v>
      </c>
      <c r="F69" s="25" t="s">
        <v>808</v>
      </c>
      <c r="G69" s="25" t="s">
        <v>479</v>
      </c>
      <c r="H69" s="26"/>
    </row>
    <row r="70">
      <c r="A70" s="16" t="s">
        <v>1178</v>
      </c>
      <c r="B70" s="27" t="s">
        <v>2683</v>
      </c>
      <c r="C70" s="27" t="s">
        <v>2683</v>
      </c>
      <c r="D70" s="27" t="s">
        <v>2683</v>
      </c>
      <c r="E70" s="27" t="s">
        <v>2683</v>
      </c>
      <c r="F70" s="27" t="s">
        <v>2683</v>
      </c>
      <c r="G70" s="27" t="s">
        <v>2683</v>
      </c>
      <c r="H70" s="26"/>
    </row>
    <row r="71">
      <c r="A71" s="16" t="s">
        <v>1181</v>
      </c>
      <c r="B71" s="28" t="s">
        <v>1882</v>
      </c>
      <c r="C71" s="28" t="s">
        <v>1247</v>
      </c>
      <c r="D71" s="28" t="s">
        <v>2744</v>
      </c>
      <c r="E71" s="28" t="s">
        <v>1295</v>
      </c>
      <c r="F71" s="28" t="s">
        <v>1209</v>
      </c>
      <c r="G71" s="28" t="s">
        <v>2745</v>
      </c>
      <c r="H71" s="26"/>
    </row>
    <row r="72">
      <c r="A72" s="16" t="s">
        <v>1182</v>
      </c>
      <c r="B72" s="21" t="s">
        <v>1783</v>
      </c>
      <c r="C72" s="21" t="s">
        <v>2082</v>
      </c>
      <c r="D72" s="21" t="s">
        <v>2746</v>
      </c>
      <c r="E72" s="21" t="s">
        <v>1798</v>
      </c>
      <c r="F72" s="21" t="s">
        <v>2735</v>
      </c>
      <c r="G72" s="21" t="s">
        <v>2562</v>
      </c>
      <c r="H72" s="26"/>
    </row>
    <row r="73">
      <c r="A73" s="16" t="s">
        <v>1186</v>
      </c>
      <c r="B73" s="28" t="s">
        <v>1269</v>
      </c>
      <c r="C73" s="28" t="s">
        <v>1235</v>
      </c>
      <c r="D73" s="28" t="s">
        <v>1235</v>
      </c>
      <c r="E73" s="28" t="s">
        <v>1284</v>
      </c>
      <c r="F73" s="28" t="s">
        <v>1284</v>
      </c>
      <c r="G73" s="28" t="s">
        <v>1235</v>
      </c>
      <c r="H73" s="26"/>
    </row>
    <row r="74">
      <c r="A74" s="20" t="s">
        <v>1188</v>
      </c>
      <c r="B74" s="21" t="s">
        <v>2479</v>
      </c>
      <c r="C74" s="21" t="s">
        <v>1943</v>
      </c>
      <c r="D74" s="21" t="s">
        <v>1710</v>
      </c>
      <c r="E74" s="21" t="s">
        <v>1695</v>
      </c>
      <c r="F74" s="21" t="s">
        <v>2747</v>
      </c>
      <c r="G74" s="21" t="s">
        <v>1738</v>
      </c>
      <c r="H74" s="26"/>
    </row>
    <row r="75">
      <c r="A75" s="29"/>
      <c r="B75" s="21" t="s">
        <v>1742</v>
      </c>
      <c r="C75" s="21" t="s">
        <v>1993</v>
      </c>
      <c r="D75" s="21" t="s">
        <v>1712</v>
      </c>
      <c r="E75" s="21" t="s">
        <v>1468</v>
      </c>
      <c r="F75" s="21" t="s">
        <v>1828</v>
      </c>
      <c r="G75" s="21" t="s">
        <v>1677</v>
      </c>
      <c r="H75" s="26"/>
    </row>
    <row r="76">
      <c r="A76" s="29"/>
      <c r="B76" s="21" t="s">
        <v>2104</v>
      </c>
      <c r="C76" s="21" t="s">
        <v>1874</v>
      </c>
      <c r="D76" s="21" t="s">
        <v>1818</v>
      </c>
      <c r="E76" s="21" t="s">
        <v>1698</v>
      </c>
      <c r="F76" s="21" t="s">
        <v>1618</v>
      </c>
      <c r="G76" s="21" t="s">
        <v>1915</v>
      </c>
      <c r="H76" s="26"/>
    </row>
    <row r="77">
      <c r="A77" s="24"/>
      <c r="B77" s="21" t="s">
        <v>1329</v>
      </c>
      <c r="C77" s="21" t="s">
        <v>1915</v>
      </c>
      <c r="D77" s="21" t="s">
        <v>1725</v>
      </c>
      <c r="E77" s="21" t="s">
        <v>1959</v>
      </c>
      <c r="F77" s="21" t="s">
        <v>1377</v>
      </c>
      <c r="G77" s="21" t="s">
        <v>1377</v>
      </c>
      <c r="H77" s="30"/>
      <c r="I77" s="14"/>
    </row>
    <row r="78">
      <c r="A78" s="16" t="s">
        <v>1174</v>
      </c>
      <c r="B78" s="17" t="s">
        <v>2748</v>
      </c>
      <c r="C78" s="18"/>
      <c r="D78" s="18"/>
      <c r="E78" s="18"/>
      <c r="F78" s="18"/>
      <c r="G78" s="18"/>
      <c r="H78" s="18"/>
      <c r="I78" s="16"/>
    </row>
    <row r="79" ht="60.0" customHeight="1">
      <c r="A79" s="20" t="s">
        <v>1176</v>
      </c>
      <c r="B79" s="21" t="str">
        <f t="array" ref="B79">iferror(VLOOKUP(INDIRECT(ADDRESS(ROW()+1,COLUMN(), 4)),Dex!$A$2:$C99,3,false),"")</f>
        <v/>
      </c>
      <c r="C79" s="21" t="str">
        <f t="array" ref="C79">iferror(VLOOKUP(INDIRECT(ADDRESS(ROW()+1,COLUMN(), 4)),Dex!$A$2:$C99,3,false),"")</f>
        <v/>
      </c>
      <c r="D79" s="21" t="str">
        <f t="array" ref="D79">iferror(VLOOKUP(INDIRECT(ADDRESS(ROW()+1,COLUMN(), 4)),Dex!$A$2:$C99,3,false),"")</f>
        <v/>
      </c>
      <c r="E79" s="21" t="str">
        <f t="array" ref="E79">iferror(VLOOKUP(INDIRECT(ADDRESS(ROW()+1,COLUMN(), 4)),Dex!$A$2:$C99,3,false),"")</f>
        <v/>
      </c>
      <c r="F79" s="21" t="str">
        <f t="array" ref="F79">iferror(VLOOKUP(INDIRECT(ADDRESS(ROW()+1,COLUMN(), 4)),Dex!$A$2:$C99,3,false),"")</f>
        <v/>
      </c>
      <c r="G79" s="21" t="str">
        <f t="array" ref="G79">iferror(VLOOKUP(INDIRECT(ADDRESS(ROW()+1,COLUMN(), 4)),Dex!$A$2:$C99,3,false),"")</f>
        <v/>
      </c>
      <c r="H79" s="22" t="str">
        <f t="array" ref="H79">iferror(VLOOKUP("TRAINER_PIC_ELITE_FOUR_DRAKE",Sprites!$A$1:$B99,2,false),"")</f>
        <v/>
      </c>
      <c r="I79" s="23"/>
    </row>
    <row r="80">
      <c r="A80" s="24"/>
      <c r="B80" s="25" t="s">
        <v>1136</v>
      </c>
      <c r="C80" s="25" t="s">
        <v>331</v>
      </c>
      <c r="D80" s="25" t="s">
        <v>898</v>
      </c>
      <c r="E80" s="25" t="s">
        <v>10</v>
      </c>
      <c r="F80" s="25" t="s">
        <v>809</v>
      </c>
      <c r="G80" s="25" t="s">
        <v>479</v>
      </c>
      <c r="H80" s="26"/>
    </row>
    <row r="81">
      <c r="A81" s="16" t="s">
        <v>1178</v>
      </c>
      <c r="B81" s="27" t="s">
        <v>2683</v>
      </c>
      <c r="C81" s="27" t="s">
        <v>2683</v>
      </c>
      <c r="D81" s="27" t="s">
        <v>2683</v>
      </c>
      <c r="E81" s="27" t="s">
        <v>2683</v>
      </c>
      <c r="F81" s="27" t="s">
        <v>2683</v>
      </c>
      <c r="G81" s="27" t="s">
        <v>2683</v>
      </c>
      <c r="H81" s="26"/>
    </row>
    <row r="82">
      <c r="A82" s="16" t="s">
        <v>1181</v>
      </c>
      <c r="B82" s="28" t="s">
        <v>1247</v>
      </c>
      <c r="C82" s="28" t="s">
        <v>1295</v>
      </c>
      <c r="D82" s="28" t="s">
        <v>1295</v>
      </c>
      <c r="E82" s="28" t="s">
        <v>1882</v>
      </c>
      <c r="F82" s="28" t="s">
        <v>1572</v>
      </c>
      <c r="G82" s="28" t="s">
        <v>2745</v>
      </c>
      <c r="H82" s="26"/>
    </row>
    <row r="83">
      <c r="A83" s="16" t="s">
        <v>1182</v>
      </c>
      <c r="B83" s="21" t="s">
        <v>1783</v>
      </c>
      <c r="C83" s="21" t="s">
        <v>1356</v>
      </c>
      <c r="D83" s="21" t="s">
        <v>2746</v>
      </c>
      <c r="E83" s="21" t="s">
        <v>1444</v>
      </c>
      <c r="F83" s="21" t="s">
        <v>2740</v>
      </c>
      <c r="G83" s="21" t="s">
        <v>2562</v>
      </c>
      <c r="H83" s="26"/>
    </row>
    <row r="84">
      <c r="A84" s="16" t="s">
        <v>1186</v>
      </c>
      <c r="B84" s="28" t="s">
        <v>1269</v>
      </c>
      <c r="C84" s="28" t="s">
        <v>1257</v>
      </c>
      <c r="D84" s="28" t="s">
        <v>1406</v>
      </c>
      <c r="E84" s="28" t="s">
        <v>1284</v>
      </c>
      <c r="F84" s="28" t="s">
        <v>1249</v>
      </c>
      <c r="G84" s="28" t="s">
        <v>1284</v>
      </c>
      <c r="H84" s="26"/>
    </row>
    <row r="85">
      <c r="A85" s="20" t="s">
        <v>1188</v>
      </c>
      <c r="B85" s="21" t="s">
        <v>2479</v>
      </c>
      <c r="C85" s="21" t="s">
        <v>1695</v>
      </c>
      <c r="D85" s="21" t="s">
        <v>2749</v>
      </c>
      <c r="E85" s="21" t="s">
        <v>1629</v>
      </c>
      <c r="F85" s="21" t="s">
        <v>2268</v>
      </c>
      <c r="G85" s="21" t="s">
        <v>1828</v>
      </c>
      <c r="H85" s="26"/>
    </row>
    <row r="86">
      <c r="A86" s="29"/>
      <c r="B86" s="21" t="s">
        <v>1742</v>
      </c>
      <c r="C86" s="21" t="s">
        <v>1769</v>
      </c>
      <c r="D86" s="21" t="s">
        <v>1588</v>
      </c>
      <c r="E86" s="21" t="s">
        <v>1822</v>
      </c>
      <c r="F86" s="21" t="s">
        <v>2459</v>
      </c>
      <c r="G86" s="21" t="s">
        <v>1778</v>
      </c>
      <c r="H86" s="26"/>
    </row>
    <row r="87">
      <c r="A87" s="29"/>
      <c r="B87" s="21" t="s">
        <v>1879</v>
      </c>
      <c r="C87" s="21" t="s">
        <v>1698</v>
      </c>
      <c r="D87" s="21" t="s">
        <v>1672</v>
      </c>
      <c r="E87" s="21" t="s">
        <v>1739</v>
      </c>
      <c r="F87" s="21" t="s">
        <v>1919</v>
      </c>
      <c r="G87" s="21" t="s">
        <v>1740</v>
      </c>
      <c r="H87" s="26"/>
    </row>
    <row r="88">
      <c r="A88" s="24"/>
      <c r="B88" s="21" t="s">
        <v>1880</v>
      </c>
      <c r="C88" s="21" t="s">
        <v>1944</v>
      </c>
      <c r="D88" s="21" t="s">
        <v>1818</v>
      </c>
      <c r="E88" s="21" t="s">
        <v>1944</v>
      </c>
      <c r="F88" s="21" t="s">
        <v>1389</v>
      </c>
      <c r="G88" s="21" t="s">
        <v>1944</v>
      </c>
      <c r="H88" s="30"/>
      <c r="I88" s="14"/>
    </row>
    <row r="89">
      <c r="A89" s="16" t="s">
        <v>1174</v>
      </c>
      <c r="B89" s="17" t="s">
        <v>2750</v>
      </c>
      <c r="C89" s="18"/>
      <c r="D89" s="18"/>
      <c r="E89" s="18"/>
      <c r="F89" s="18"/>
      <c r="G89" s="18"/>
      <c r="H89" s="18"/>
      <c r="I89" s="16"/>
    </row>
    <row r="90" ht="60.0" customHeight="1">
      <c r="A90" s="20" t="s">
        <v>1176</v>
      </c>
      <c r="B90" s="21" t="str">
        <f t="array" ref="B90">iferror(VLOOKUP(INDIRECT(ADDRESS(ROW()+1,COLUMN(), 4)),Dex!$A$2:$C99,3,false),"")</f>
        <v/>
      </c>
      <c r="C90" s="21" t="str">
        <f t="array" ref="C90">iferror(VLOOKUP(INDIRECT(ADDRESS(ROW()+1,COLUMN(), 4)),Dex!$A$2:$C99,3,false),"")</f>
        <v/>
      </c>
      <c r="D90" s="21" t="str">
        <f t="array" ref="D90">iferror(VLOOKUP(INDIRECT(ADDRESS(ROW()+1,COLUMN(), 4)),Dex!$A$2:$C99,3,false),"")</f>
        <v/>
      </c>
      <c r="E90" s="21" t="str">
        <f t="array" ref="E90">iferror(VLOOKUP(INDIRECT(ADDRESS(ROW()+1,COLUMN(), 4)),Dex!$A$2:$C99,3,false),"")</f>
        <v/>
      </c>
      <c r="F90" s="21" t="str">
        <f t="array" ref="F90">iferror(VLOOKUP(INDIRECT(ADDRESS(ROW()+1,COLUMN(), 4)),Dex!$A$2:$C99,3,false),"")</f>
        <v/>
      </c>
      <c r="G90" s="21" t="str">
        <f t="array" ref="G90">iferror(VLOOKUP(INDIRECT(ADDRESS(ROW()+1,COLUMN(), 4)),Dex!$A$2:$C99,3,false),"")</f>
        <v/>
      </c>
      <c r="H90" s="22" t="str">
        <f t="array" ref="H90">iferror(VLOOKUP("TRAINER_PIC_CHAMPION_WALLACE",Sprites!$A$1:$B99,2,false),"")</f>
        <v/>
      </c>
      <c r="I90" s="23"/>
    </row>
    <row r="91">
      <c r="A91" s="24"/>
      <c r="B91" s="25" t="s">
        <v>492</v>
      </c>
      <c r="C91" s="25" t="s">
        <v>1085</v>
      </c>
      <c r="D91" s="25" t="s">
        <v>882</v>
      </c>
      <c r="E91" s="25" t="s">
        <v>614</v>
      </c>
      <c r="F91" s="25" t="s">
        <v>622</v>
      </c>
      <c r="G91" s="25" t="s">
        <v>351</v>
      </c>
      <c r="H91" s="26"/>
    </row>
    <row r="92">
      <c r="A92" s="16" t="s">
        <v>1178</v>
      </c>
      <c r="B92" s="27" t="s">
        <v>2683</v>
      </c>
      <c r="C92" s="27" t="s">
        <v>2683</v>
      </c>
      <c r="D92" s="27" t="s">
        <v>2683</v>
      </c>
      <c r="E92" s="27" t="s">
        <v>2683</v>
      </c>
      <c r="F92" s="27" t="s">
        <v>2683</v>
      </c>
      <c r="G92" s="27" t="s">
        <v>2683</v>
      </c>
      <c r="H92" s="26"/>
    </row>
    <row r="93">
      <c r="A93" s="16" t="s">
        <v>1181</v>
      </c>
      <c r="B93" s="28" t="s">
        <v>2751</v>
      </c>
      <c r="C93" s="28" t="s">
        <v>1246</v>
      </c>
      <c r="D93" s="28" t="s">
        <v>1295</v>
      </c>
      <c r="E93" s="28" t="s">
        <v>1571</v>
      </c>
      <c r="F93" s="28" t="s">
        <v>1295</v>
      </c>
      <c r="G93" s="28" t="s">
        <v>2319</v>
      </c>
      <c r="H93" s="26"/>
    </row>
    <row r="94">
      <c r="A94" s="16" t="s">
        <v>1182</v>
      </c>
      <c r="B94" s="21" t="s">
        <v>2752</v>
      </c>
      <c r="C94" s="21" t="s">
        <v>1212</v>
      </c>
      <c r="D94" s="21" t="s">
        <v>1231</v>
      </c>
      <c r="E94" s="21" t="s">
        <v>1798</v>
      </c>
      <c r="F94" s="21" t="s">
        <v>1317</v>
      </c>
      <c r="G94" s="21" t="s">
        <v>1212</v>
      </c>
      <c r="H94" s="26"/>
    </row>
    <row r="95">
      <c r="A95" s="16" t="s">
        <v>1186</v>
      </c>
      <c r="B95" s="28" t="s">
        <v>1249</v>
      </c>
      <c r="C95" s="28" t="s">
        <v>1248</v>
      </c>
      <c r="D95" s="28" t="s">
        <v>1234</v>
      </c>
      <c r="E95" s="28" t="s">
        <v>1284</v>
      </c>
      <c r="F95" s="28" t="s">
        <v>1284</v>
      </c>
      <c r="G95" s="28" t="s">
        <v>1235</v>
      </c>
      <c r="H95" s="26"/>
    </row>
    <row r="96">
      <c r="A96" s="20" t="s">
        <v>1188</v>
      </c>
      <c r="B96" s="21" t="s">
        <v>2591</v>
      </c>
      <c r="C96" s="21" t="s">
        <v>1760</v>
      </c>
      <c r="D96" s="21" t="s">
        <v>1758</v>
      </c>
      <c r="E96" s="21" t="s">
        <v>2268</v>
      </c>
      <c r="F96" s="21" t="s">
        <v>1695</v>
      </c>
      <c r="G96" s="21" t="s">
        <v>1677</v>
      </c>
      <c r="H96" s="26"/>
    </row>
    <row r="97">
      <c r="A97" s="29"/>
      <c r="B97" s="21" t="s">
        <v>1760</v>
      </c>
      <c r="C97" s="21" t="s">
        <v>2098</v>
      </c>
      <c r="D97" s="21" t="s">
        <v>1817</v>
      </c>
      <c r="E97" s="21" t="s">
        <v>1251</v>
      </c>
      <c r="F97" s="21" t="s">
        <v>1371</v>
      </c>
      <c r="G97" s="21" t="s">
        <v>1760</v>
      </c>
      <c r="H97" s="26"/>
    </row>
    <row r="98">
      <c r="A98" s="29"/>
      <c r="B98" s="21" t="s">
        <v>1663</v>
      </c>
      <c r="C98" s="21" t="s">
        <v>1177</v>
      </c>
      <c r="D98" s="21" t="s">
        <v>1761</v>
      </c>
      <c r="E98" s="21" t="s">
        <v>1618</v>
      </c>
      <c r="F98" s="21" t="s">
        <v>1468</v>
      </c>
      <c r="G98" s="21" t="s">
        <v>1678</v>
      </c>
      <c r="H98" s="26"/>
    </row>
    <row r="99">
      <c r="A99" s="24"/>
      <c r="B99" s="21" t="s">
        <v>1468</v>
      </c>
      <c r="C99" s="21" t="s">
        <v>1177</v>
      </c>
      <c r="D99" s="21" t="s">
        <v>1473</v>
      </c>
      <c r="E99" s="21" t="s">
        <v>1600</v>
      </c>
      <c r="F99" s="21" t="s">
        <v>1857</v>
      </c>
      <c r="G99" s="21" t="s">
        <v>1323</v>
      </c>
      <c r="H99" s="30"/>
      <c r="I99" s="14"/>
    </row>
  </sheetData>
  <mergeCells count="36">
    <mergeCell ref="B1:H1"/>
    <mergeCell ref="A2:A3"/>
    <mergeCell ref="H2:I11"/>
    <mergeCell ref="A8:A11"/>
    <mergeCell ref="B12:H12"/>
    <mergeCell ref="A13:A14"/>
    <mergeCell ref="H13:I22"/>
    <mergeCell ref="H35:I44"/>
    <mergeCell ref="H46:I55"/>
    <mergeCell ref="H57:I66"/>
    <mergeCell ref="H68:I77"/>
    <mergeCell ref="H79:I88"/>
    <mergeCell ref="H90:I99"/>
    <mergeCell ref="B56:H56"/>
    <mergeCell ref="B67:H67"/>
    <mergeCell ref="B78:H78"/>
    <mergeCell ref="B89:H89"/>
    <mergeCell ref="A19:A22"/>
    <mergeCell ref="B23:H23"/>
    <mergeCell ref="A24:A25"/>
    <mergeCell ref="H24:I33"/>
    <mergeCell ref="A30:A33"/>
    <mergeCell ref="B34:H34"/>
    <mergeCell ref="B45:H45"/>
    <mergeCell ref="A74:A77"/>
    <mergeCell ref="A79:A80"/>
    <mergeCell ref="A85:A88"/>
    <mergeCell ref="A90:A91"/>
    <mergeCell ref="A96:A99"/>
    <mergeCell ref="A35:A36"/>
    <mergeCell ref="A41:A44"/>
    <mergeCell ref="A46:A47"/>
    <mergeCell ref="A52:A55"/>
    <mergeCell ref="A57:A58"/>
    <mergeCell ref="A63:A66"/>
    <mergeCell ref="A68:A69"/>
  </mergeCells>
  <drawing r:id="rId2"/>
  <legacyDrawing r:id="rId3"/>
</worksheet>
</file>